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65900768822ce96c/Desktop/Projects Data Analyst/Excel/Ecommerce Sales Dashboard -Excel/to do/"/>
    </mc:Choice>
  </mc:AlternateContent>
  <xr:revisionPtr revIDLastSave="5" documentId="8_{0DBE11CA-F107-4682-ABD4-F6CF137FDD2D}" xr6:coauthVersionLast="47" xr6:coauthVersionMax="47" xr10:uidLastSave="{00D6B00D-CDDF-48EE-8570-36610C3CFBEC}"/>
  <bookViews>
    <workbookView xWindow="-108" yWindow="-108" windowWidth="23256" windowHeight="12456" activeTab="1" xr2:uid="{00000000-000D-0000-FFFF-FFFF00000000}"/>
  </bookViews>
  <sheets>
    <sheet name="Dashboard" sheetId="4" r:id="rId1"/>
    <sheet name="Pivot" sheetId="2" r:id="rId2"/>
    <sheet name="EcommerceData" sheetId="1" r:id="rId3"/>
  </sheets>
  <definedNames>
    <definedName name="_xlnm._FilterDatabase" localSheetId="2" hidden="1">EcommerceData!$A$1:$Y$1019</definedName>
    <definedName name="_xlchart.v5.0" hidden="1">Pivot!$O$3</definedName>
    <definedName name="_xlchart.v5.1" hidden="1">Pivot!$O$4:$O$28</definedName>
    <definedName name="_xlchart.v5.2" hidden="1">Pivot!$P$3</definedName>
    <definedName name="_xlchart.v5.3" hidden="1">Pivot!$P$4:$P$28</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29" i="4" l="1"/>
  <c r="J30" i="4"/>
  <c r="J31" i="4"/>
  <c r="J32" i="4"/>
  <c r="J33" i="4"/>
  <c r="J34" i="4"/>
  <c r="J35" i="4"/>
  <c r="J36" i="4"/>
  <c r="J37" i="4"/>
  <c r="J28" i="4"/>
  <c r="E29" i="4"/>
  <c r="E30" i="4"/>
  <c r="E31" i="4"/>
  <c r="E32" i="4"/>
  <c r="E33" i="4"/>
  <c r="E34" i="4"/>
  <c r="E35" i="4"/>
  <c r="E36" i="4"/>
  <c r="E37" i="4"/>
  <c r="E28" i="4"/>
  <c r="O5" i="2"/>
  <c r="O6" i="2"/>
  <c r="O7" i="2"/>
  <c r="O8" i="2"/>
  <c r="O9" i="2"/>
  <c r="O10" i="2"/>
  <c r="O11" i="2"/>
  <c r="O12" i="2"/>
  <c r="O13" i="2"/>
  <c r="O14" i="2"/>
  <c r="O15" i="2"/>
  <c r="O16" i="2"/>
  <c r="O17" i="2"/>
  <c r="O18" i="2"/>
  <c r="O19" i="2"/>
  <c r="O20" i="2"/>
  <c r="O21" i="2"/>
  <c r="O22" i="2"/>
  <c r="O23" i="2"/>
  <c r="O24" i="2"/>
  <c r="O25" i="2"/>
  <c r="O26" i="2"/>
  <c r="O27" i="2"/>
  <c r="O28" i="2"/>
  <c r="O4" i="2"/>
  <c r="J12" i="2"/>
  <c r="J13" i="2"/>
  <c r="J14" i="2"/>
  <c r="J15" i="2"/>
  <c r="J16" i="2"/>
  <c r="J11" i="2"/>
  <c r="F5" i="2"/>
  <c r="F6" i="2"/>
  <c r="F7" i="2"/>
  <c r="F8" i="2"/>
  <c r="F9" i="2"/>
  <c r="F10" i="2"/>
  <c r="F11" i="2"/>
  <c r="F12" i="2"/>
  <c r="F13" i="2"/>
  <c r="F14" i="2"/>
  <c r="F15" i="2"/>
  <c r="F4" i="2"/>
  <c r="AB338" i="1"/>
  <c r="AA2" i="1"/>
  <c r="AB2" i="1" s="1"/>
  <c r="AA3" i="1"/>
  <c r="AB3" i="1" s="1"/>
  <c r="AA4" i="1"/>
  <c r="AB4" i="1" s="1"/>
  <c r="AA5" i="1"/>
  <c r="AB5" i="1" s="1"/>
  <c r="AA6" i="1"/>
  <c r="AB6" i="1" s="1"/>
  <c r="AA7" i="1"/>
  <c r="AB7" i="1" s="1"/>
  <c r="AA8" i="1"/>
  <c r="AB8" i="1" s="1"/>
  <c r="AA9" i="1"/>
  <c r="AB9" i="1" s="1"/>
  <c r="AA10" i="1"/>
  <c r="AB10" i="1" s="1"/>
  <c r="AA11" i="1"/>
  <c r="AB11" i="1" s="1"/>
  <c r="AA12" i="1"/>
  <c r="AB12" i="1" s="1"/>
  <c r="AA13" i="1"/>
  <c r="AB13" i="1" s="1"/>
  <c r="AA14" i="1"/>
  <c r="AB14" i="1" s="1"/>
  <c r="AA15" i="1"/>
  <c r="AB15" i="1" s="1"/>
  <c r="AA16" i="1"/>
  <c r="AB16" i="1" s="1"/>
  <c r="AA17" i="1"/>
  <c r="AB17" i="1" s="1"/>
  <c r="AA18" i="1"/>
  <c r="AB18" i="1" s="1"/>
  <c r="AA19" i="1"/>
  <c r="AB19" i="1" s="1"/>
  <c r="AA20" i="1"/>
  <c r="AB20" i="1" s="1"/>
  <c r="AA21" i="1"/>
  <c r="AB21" i="1" s="1"/>
  <c r="AA22" i="1"/>
  <c r="AB22" i="1" s="1"/>
  <c r="AA23" i="1"/>
  <c r="AB23" i="1" s="1"/>
  <c r="AA24" i="1"/>
  <c r="AB24" i="1" s="1"/>
  <c r="AA25" i="1"/>
  <c r="AB25" i="1" s="1"/>
  <c r="AA26" i="1"/>
  <c r="AB26" i="1" s="1"/>
  <c r="AA27" i="1"/>
  <c r="AB27" i="1" s="1"/>
  <c r="AA28" i="1"/>
  <c r="AB28" i="1" s="1"/>
  <c r="AA29" i="1"/>
  <c r="AB29" i="1" s="1"/>
  <c r="AA30" i="1"/>
  <c r="AB30" i="1" s="1"/>
  <c r="AA31" i="1"/>
  <c r="AB31" i="1" s="1"/>
  <c r="AA32" i="1"/>
  <c r="AB32" i="1" s="1"/>
  <c r="AA33" i="1"/>
  <c r="AB33" i="1" s="1"/>
  <c r="AA34" i="1"/>
  <c r="AB34" i="1" s="1"/>
  <c r="AA35" i="1"/>
  <c r="AB35" i="1" s="1"/>
  <c r="AA36" i="1"/>
  <c r="AB36" i="1" s="1"/>
  <c r="AA37" i="1"/>
  <c r="AB37" i="1" s="1"/>
  <c r="AA38" i="1"/>
  <c r="AB38" i="1" s="1"/>
  <c r="AA39" i="1"/>
  <c r="AB39" i="1" s="1"/>
  <c r="AA40" i="1"/>
  <c r="AB40" i="1" s="1"/>
  <c r="AA41" i="1"/>
  <c r="AB41" i="1" s="1"/>
  <c r="AA42" i="1"/>
  <c r="AB42" i="1" s="1"/>
  <c r="AA43" i="1"/>
  <c r="AB43" i="1" s="1"/>
  <c r="AA44" i="1"/>
  <c r="AB44" i="1" s="1"/>
  <c r="AA45" i="1"/>
  <c r="AB45" i="1" s="1"/>
  <c r="AA46" i="1"/>
  <c r="AB46" i="1" s="1"/>
  <c r="AA47" i="1"/>
  <c r="AB47" i="1" s="1"/>
  <c r="AA48" i="1"/>
  <c r="AB48" i="1" s="1"/>
  <c r="AA49" i="1"/>
  <c r="AB49" i="1" s="1"/>
  <c r="AA50" i="1"/>
  <c r="AB50" i="1" s="1"/>
  <c r="AA51" i="1"/>
  <c r="AB51" i="1" s="1"/>
  <c r="AA52" i="1"/>
  <c r="AB52" i="1" s="1"/>
  <c r="AA53" i="1"/>
  <c r="AB53" i="1" s="1"/>
  <c r="AA54" i="1"/>
  <c r="AB54" i="1" s="1"/>
  <c r="AA55" i="1"/>
  <c r="AB55" i="1" s="1"/>
  <c r="AA56" i="1"/>
  <c r="AB56" i="1" s="1"/>
  <c r="AA57" i="1"/>
  <c r="AB57" i="1" s="1"/>
  <c r="AA58" i="1"/>
  <c r="AB58" i="1" s="1"/>
  <c r="AA59" i="1"/>
  <c r="AB59" i="1" s="1"/>
  <c r="AA60" i="1"/>
  <c r="AB60" i="1" s="1"/>
  <c r="AA61" i="1"/>
  <c r="AB61" i="1" s="1"/>
  <c r="AA62" i="1"/>
  <c r="AB62" i="1" s="1"/>
  <c r="AA63" i="1"/>
  <c r="AB63" i="1" s="1"/>
  <c r="AA64" i="1"/>
  <c r="AB64" i="1" s="1"/>
  <c r="AA65" i="1"/>
  <c r="AB65" i="1" s="1"/>
  <c r="AA66" i="1"/>
  <c r="AB66" i="1" s="1"/>
  <c r="AA67" i="1"/>
  <c r="AB67" i="1" s="1"/>
  <c r="AA68" i="1"/>
  <c r="AB68" i="1" s="1"/>
  <c r="AA69" i="1"/>
  <c r="AB69" i="1" s="1"/>
  <c r="AA70" i="1"/>
  <c r="AB70" i="1" s="1"/>
  <c r="AA71" i="1"/>
  <c r="AB71" i="1" s="1"/>
  <c r="AA72" i="1"/>
  <c r="AB72" i="1" s="1"/>
  <c r="AA73" i="1"/>
  <c r="AB73" i="1" s="1"/>
  <c r="AA74" i="1"/>
  <c r="AB74" i="1" s="1"/>
  <c r="AA75" i="1"/>
  <c r="AB75" i="1" s="1"/>
  <c r="AA76" i="1"/>
  <c r="AB76" i="1" s="1"/>
  <c r="AA77" i="1"/>
  <c r="AB77" i="1" s="1"/>
  <c r="AA78" i="1"/>
  <c r="AB78" i="1" s="1"/>
  <c r="AA79" i="1"/>
  <c r="AB79" i="1" s="1"/>
  <c r="AA80" i="1"/>
  <c r="AB80" i="1" s="1"/>
  <c r="AA81" i="1"/>
  <c r="AB81" i="1" s="1"/>
  <c r="AA82" i="1"/>
  <c r="AB82" i="1" s="1"/>
  <c r="AA83" i="1"/>
  <c r="AB83" i="1" s="1"/>
  <c r="AA84" i="1"/>
  <c r="AB84" i="1" s="1"/>
  <c r="AA85" i="1"/>
  <c r="AB85" i="1" s="1"/>
  <c r="AA86" i="1"/>
  <c r="AB86" i="1" s="1"/>
  <c r="AA87" i="1"/>
  <c r="AB87" i="1" s="1"/>
  <c r="AA88" i="1"/>
  <c r="AB88" i="1" s="1"/>
  <c r="AA89" i="1"/>
  <c r="AB89" i="1" s="1"/>
  <c r="AA90" i="1"/>
  <c r="AB90" i="1" s="1"/>
  <c r="AA91" i="1"/>
  <c r="AB91" i="1" s="1"/>
  <c r="AA92" i="1"/>
  <c r="AB92" i="1" s="1"/>
  <c r="AA93" i="1"/>
  <c r="AB93" i="1" s="1"/>
  <c r="AA94" i="1"/>
  <c r="AB94" i="1" s="1"/>
  <c r="AA95" i="1"/>
  <c r="AB95" i="1" s="1"/>
  <c r="AA96" i="1"/>
  <c r="AB96" i="1" s="1"/>
  <c r="AA97" i="1"/>
  <c r="AB97" i="1" s="1"/>
  <c r="AA98" i="1"/>
  <c r="AB98" i="1" s="1"/>
  <c r="AA99" i="1"/>
  <c r="AB99" i="1" s="1"/>
  <c r="AA100" i="1"/>
  <c r="AB100" i="1" s="1"/>
  <c r="AA101" i="1"/>
  <c r="AB101" i="1" s="1"/>
  <c r="AA102" i="1"/>
  <c r="AB102" i="1" s="1"/>
  <c r="AA103" i="1"/>
  <c r="AB103" i="1" s="1"/>
  <c r="AA104" i="1"/>
  <c r="AB104" i="1" s="1"/>
  <c r="AA105" i="1"/>
  <c r="AB105" i="1" s="1"/>
  <c r="AA106" i="1"/>
  <c r="AB106" i="1" s="1"/>
  <c r="AA107" i="1"/>
  <c r="AB107" i="1" s="1"/>
  <c r="AA108" i="1"/>
  <c r="AB108" i="1" s="1"/>
  <c r="AA109" i="1"/>
  <c r="AB109" i="1" s="1"/>
  <c r="AA110" i="1"/>
  <c r="AB110" i="1" s="1"/>
  <c r="AA111" i="1"/>
  <c r="AB111" i="1" s="1"/>
  <c r="AA112" i="1"/>
  <c r="AB112" i="1" s="1"/>
  <c r="AA113" i="1"/>
  <c r="AB113" i="1" s="1"/>
  <c r="AA114" i="1"/>
  <c r="AB114" i="1" s="1"/>
  <c r="AA115" i="1"/>
  <c r="AB115" i="1" s="1"/>
  <c r="AA116" i="1"/>
  <c r="AB116" i="1" s="1"/>
  <c r="AA117" i="1"/>
  <c r="AB117" i="1" s="1"/>
  <c r="AA118" i="1"/>
  <c r="AB118" i="1" s="1"/>
  <c r="AA119" i="1"/>
  <c r="AB119" i="1" s="1"/>
  <c r="AA120" i="1"/>
  <c r="AB120" i="1" s="1"/>
  <c r="AA121" i="1"/>
  <c r="AB121" i="1" s="1"/>
  <c r="AA122" i="1"/>
  <c r="AB122" i="1" s="1"/>
  <c r="AA123" i="1"/>
  <c r="AB123" i="1" s="1"/>
  <c r="AA124" i="1"/>
  <c r="AB124" i="1" s="1"/>
  <c r="AA125" i="1"/>
  <c r="AB125" i="1" s="1"/>
  <c r="AA126" i="1"/>
  <c r="AB126" i="1" s="1"/>
  <c r="AA127" i="1"/>
  <c r="AB127" i="1" s="1"/>
  <c r="AA128" i="1"/>
  <c r="AB128" i="1" s="1"/>
  <c r="AA129" i="1"/>
  <c r="AB129" i="1" s="1"/>
  <c r="AA130" i="1"/>
  <c r="AB130" i="1" s="1"/>
  <c r="AA131" i="1"/>
  <c r="AB131" i="1" s="1"/>
  <c r="AA132" i="1"/>
  <c r="AB132" i="1" s="1"/>
  <c r="AA133" i="1"/>
  <c r="AB133" i="1" s="1"/>
  <c r="AA134" i="1"/>
  <c r="AB134" i="1" s="1"/>
  <c r="AA135" i="1"/>
  <c r="AB135" i="1" s="1"/>
  <c r="AA136" i="1"/>
  <c r="AB136" i="1" s="1"/>
  <c r="AA137" i="1"/>
  <c r="AB137" i="1" s="1"/>
  <c r="AA138" i="1"/>
  <c r="AB138" i="1" s="1"/>
  <c r="AA139" i="1"/>
  <c r="AB139" i="1" s="1"/>
  <c r="AA140" i="1"/>
  <c r="AB140" i="1" s="1"/>
  <c r="AA141" i="1"/>
  <c r="AB141" i="1" s="1"/>
  <c r="AA142" i="1"/>
  <c r="AB142" i="1" s="1"/>
  <c r="AA143" i="1"/>
  <c r="AB143" i="1" s="1"/>
  <c r="AA144" i="1"/>
  <c r="AB144" i="1" s="1"/>
  <c r="AA145" i="1"/>
  <c r="AB145" i="1" s="1"/>
  <c r="AA146" i="1"/>
  <c r="AB146" i="1" s="1"/>
  <c r="AA147" i="1"/>
  <c r="AB147" i="1" s="1"/>
  <c r="AA148" i="1"/>
  <c r="AB148" i="1" s="1"/>
  <c r="AA149" i="1"/>
  <c r="AB149" i="1" s="1"/>
  <c r="AA150" i="1"/>
  <c r="AB150" i="1" s="1"/>
  <c r="AA151" i="1"/>
  <c r="AB151" i="1" s="1"/>
  <c r="AA152" i="1"/>
  <c r="AB152" i="1" s="1"/>
  <c r="AA153" i="1"/>
  <c r="AB153" i="1" s="1"/>
  <c r="AA154" i="1"/>
  <c r="AB154" i="1" s="1"/>
  <c r="AA155" i="1"/>
  <c r="AB155" i="1" s="1"/>
  <c r="AA156" i="1"/>
  <c r="AB156" i="1" s="1"/>
  <c r="AA157" i="1"/>
  <c r="AB157" i="1" s="1"/>
  <c r="AA158" i="1"/>
  <c r="AB158" i="1" s="1"/>
  <c r="AA159" i="1"/>
  <c r="AB159" i="1" s="1"/>
  <c r="AA160" i="1"/>
  <c r="AB160" i="1" s="1"/>
  <c r="AA161" i="1"/>
  <c r="AB161" i="1" s="1"/>
  <c r="AA162" i="1"/>
  <c r="AB162" i="1" s="1"/>
  <c r="AA163" i="1"/>
  <c r="AB163" i="1" s="1"/>
  <c r="AA164" i="1"/>
  <c r="AB164" i="1" s="1"/>
  <c r="AA165" i="1"/>
  <c r="AB165" i="1" s="1"/>
  <c r="AA166" i="1"/>
  <c r="AB166" i="1" s="1"/>
  <c r="AA167" i="1"/>
  <c r="AB167" i="1" s="1"/>
  <c r="AA168" i="1"/>
  <c r="AB168" i="1" s="1"/>
  <c r="AA169" i="1"/>
  <c r="AB169" i="1" s="1"/>
  <c r="AA170" i="1"/>
  <c r="AB170" i="1" s="1"/>
  <c r="AA171" i="1"/>
  <c r="AB171" i="1" s="1"/>
  <c r="AA172" i="1"/>
  <c r="AB172" i="1" s="1"/>
  <c r="AA173" i="1"/>
  <c r="AB173" i="1" s="1"/>
  <c r="AA174" i="1"/>
  <c r="AB174" i="1" s="1"/>
  <c r="AA175" i="1"/>
  <c r="AB175" i="1" s="1"/>
  <c r="AA176" i="1"/>
  <c r="AB176" i="1" s="1"/>
  <c r="AA177" i="1"/>
  <c r="AB177" i="1" s="1"/>
  <c r="AA178" i="1"/>
  <c r="AB178" i="1" s="1"/>
  <c r="AA179" i="1"/>
  <c r="AB179" i="1" s="1"/>
  <c r="AA180" i="1"/>
  <c r="AB180" i="1" s="1"/>
  <c r="AA181" i="1"/>
  <c r="AB181" i="1" s="1"/>
  <c r="AA182" i="1"/>
  <c r="AB182" i="1" s="1"/>
  <c r="AA183" i="1"/>
  <c r="AB183" i="1" s="1"/>
  <c r="AA184" i="1"/>
  <c r="AB184" i="1" s="1"/>
  <c r="AA185" i="1"/>
  <c r="AB185" i="1" s="1"/>
  <c r="AA186" i="1"/>
  <c r="AB186" i="1" s="1"/>
  <c r="AA187" i="1"/>
  <c r="AB187" i="1" s="1"/>
  <c r="AA188" i="1"/>
  <c r="AB188" i="1" s="1"/>
  <c r="AA189" i="1"/>
  <c r="AB189" i="1" s="1"/>
  <c r="AA190" i="1"/>
  <c r="AB190" i="1" s="1"/>
  <c r="AA191" i="1"/>
  <c r="AB191" i="1" s="1"/>
  <c r="AA192" i="1"/>
  <c r="AB192" i="1" s="1"/>
  <c r="AA193" i="1"/>
  <c r="AB193" i="1" s="1"/>
  <c r="AA194" i="1"/>
  <c r="AB194" i="1" s="1"/>
  <c r="AA195" i="1"/>
  <c r="AB195" i="1" s="1"/>
  <c r="AA196" i="1"/>
  <c r="AB196" i="1" s="1"/>
  <c r="AA197" i="1"/>
  <c r="AB197" i="1" s="1"/>
  <c r="AA198" i="1"/>
  <c r="AB198" i="1" s="1"/>
  <c r="AA199" i="1"/>
  <c r="AB199" i="1" s="1"/>
  <c r="AA200" i="1"/>
  <c r="AB200" i="1" s="1"/>
  <c r="AA201" i="1"/>
  <c r="AB201" i="1" s="1"/>
  <c r="AA202" i="1"/>
  <c r="AB202" i="1" s="1"/>
  <c r="AA203" i="1"/>
  <c r="AB203" i="1" s="1"/>
  <c r="AA204" i="1"/>
  <c r="AB204" i="1" s="1"/>
  <c r="AA205" i="1"/>
  <c r="AB205" i="1" s="1"/>
  <c r="AA206" i="1"/>
  <c r="AB206" i="1" s="1"/>
  <c r="AA207" i="1"/>
  <c r="AB207" i="1" s="1"/>
  <c r="AA208" i="1"/>
  <c r="AB208" i="1" s="1"/>
  <c r="AA209" i="1"/>
  <c r="AB209" i="1" s="1"/>
  <c r="AA210" i="1"/>
  <c r="AB210" i="1" s="1"/>
  <c r="AA211" i="1"/>
  <c r="AB211" i="1" s="1"/>
  <c r="AA212" i="1"/>
  <c r="AB212" i="1" s="1"/>
  <c r="AA213" i="1"/>
  <c r="AB213" i="1" s="1"/>
  <c r="AA214" i="1"/>
  <c r="AB214" i="1" s="1"/>
  <c r="AA215" i="1"/>
  <c r="AB215" i="1" s="1"/>
  <c r="AA216" i="1"/>
  <c r="AB216" i="1" s="1"/>
  <c r="AA217" i="1"/>
  <c r="AB217" i="1" s="1"/>
  <c r="AA218" i="1"/>
  <c r="AB218" i="1" s="1"/>
  <c r="AA219" i="1"/>
  <c r="AB219" i="1" s="1"/>
  <c r="AA220" i="1"/>
  <c r="AB220" i="1" s="1"/>
  <c r="AA221" i="1"/>
  <c r="AB221" i="1" s="1"/>
  <c r="AA222" i="1"/>
  <c r="AB222" i="1" s="1"/>
  <c r="AA223" i="1"/>
  <c r="AB223" i="1" s="1"/>
  <c r="AA224" i="1"/>
  <c r="AB224" i="1" s="1"/>
  <c r="AA225" i="1"/>
  <c r="AB225" i="1" s="1"/>
  <c r="AA226" i="1"/>
  <c r="AB226" i="1" s="1"/>
  <c r="AA227" i="1"/>
  <c r="AB227" i="1" s="1"/>
  <c r="AA228" i="1"/>
  <c r="AB228" i="1" s="1"/>
  <c r="AA229" i="1"/>
  <c r="AB229" i="1" s="1"/>
  <c r="AA230" i="1"/>
  <c r="AB230" i="1" s="1"/>
  <c r="AA231" i="1"/>
  <c r="AB231" i="1" s="1"/>
  <c r="AA232" i="1"/>
  <c r="AB232" i="1" s="1"/>
  <c r="AA233" i="1"/>
  <c r="AB233" i="1" s="1"/>
  <c r="AA234" i="1"/>
  <c r="AB234" i="1" s="1"/>
  <c r="AA235" i="1"/>
  <c r="AB235" i="1" s="1"/>
  <c r="AA236" i="1"/>
  <c r="AB236" i="1" s="1"/>
  <c r="AA237" i="1"/>
  <c r="AB237" i="1" s="1"/>
  <c r="AA238" i="1"/>
  <c r="AB238" i="1" s="1"/>
  <c r="AA239" i="1"/>
  <c r="AB239" i="1" s="1"/>
  <c r="AA240" i="1"/>
  <c r="AB240" i="1" s="1"/>
  <c r="AA241" i="1"/>
  <c r="AB241" i="1" s="1"/>
  <c r="AA242" i="1"/>
  <c r="AB242" i="1" s="1"/>
  <c r="AA243" i="1"/>
  <c r="AB243" i="1" s="1"/>
  <c r="AA244" i="1"/>
  <c r="AB244" i="1" s="1"/>
  <c r="AA245" i="1"/>
  <c r="AB245" i="1" s="1"/>
  <c r="AA246" i="1"/>
  <c r="AB246" i="1" s="1"/>
  <c r="AA247" i="1"/>
  <c r="AB247" i="1" s="1"/>
  <c r="AA248" i="1"/>
  <c r="AB248" i="1" s="1"/>
  <c r="AA249" i="1"/>
  <c r="AB249" i="1" s="1"/>
  <c r="AA250" i="1"/>
  <c r="AB250" i="1" s="1"/>
  <c r="AA251" i="1"/>
  <c r="AB251" i="1" s="1"/>
  <c r="AA252" i="1"/>
  <c r="AB252" i="1" s="1"/>
  <c r="AA253" i="1"/>
  <c r="AB253" i="1" s="1"/>
  <c r="AA254" i="1"/>
  <c r="AB254" i="1" s="1"/>
  <c r="AA255" i="1"/>
  <c r="AB255" i="1" s="1"/>
  <c r="AA256" i="1"/>
  <c r="AB256" i="1" s="1"/>
  <c r="AA257" i="1"/>
  <c r="AB257" i="1" s="1"/>
  <c r="AA258" i="1"/>
  <c r="AB258" i="1" s="1"/>
  <c r="AA259" i="1"/>
  <c r="AB259" i="1" s="1"/>
  <c r="AA260" i="1"/>
  <c r="AB260" i="1" s="1"/>
  <c r="AA261" i="1"/>
  <c r="AB261" i="1" s="1"/>
  <c r="AA262" i="1"/>
  <c r="AB262" i="1" s="1"/>
  <c r="AA263" i="1"/>
  <c r="AB263" i="1" s="1"/>
  <c r="AA264" i="1"/>
  <c r="AB264" i="1" s="1"/>
  <c r="AA265" i="1"/>
  <c r="AB265" i="1" s="1"/>
  <c r="AA266" i="1"/>
  <c r="AB266" i="1" s="1"/>
  <c r="AA267" i="1"/>
  <c r="AB267" i="1" s="1"/>
  <c r="AA268" i="1"/>
  <c r="AB268" i="1" s="1"/>
  <c r="AA269" i="1"/>
  <c r="AB269" i="1" s="1"/>
  <c r="AA270" i="1"/>
  <c r="AB270" i="1" s="1"/>
  <c r="AA271" i="1"/>
  <c r="AB271" i="1" s="1"/>
  <c r="AA272" i="1"/>
  <c r="AB272" i="1" s="1"/>
  <c r="AA273" i="1"/>
  <c r="AB273" i="1" s="1"/>
  <c r="AA274" i="1"/>
  <c r="AB274" i="1" s="1"/>
  <c r="AA275" i="1"/>
  <c r="AB275" i="1" s="1"/>
  <c r="AA276" i="1"/>
  <c r="AB276" i="1" s="1"/>
  <c r="AA277" i="1"/>
  <c r="AB277" i="1" s="1"/>
  <c r="AA278" i="1"/>
  <c r="AB278" i="1" s="1"/>
  <c r="AA279" i="1"/>
  <c r="AB279" i="1" s="1"/>
  <c r="AA280" i="1"/>
  <c r="AB280" i="1" s="1"/>
  <c r="AA281" i="1"/>
  <c r="AB281" i="1" s="1"/>
  <c r="AA282" i="1"/>
  <c r="AB282" i="1" s="1"/>
  <c r="AA283" i="1"/>
  <c r="AB283" i="1" s="1"/>
  <c r="AA284" i="1"/>
  <c r="AB284" i="1" s="1"/>
  <c r="AA285" i="1"/>
  <c r="AB285" i="1" s="1"/>
  <c r="AA286" i="1"/>
  <c r="AB286" i="1" s="1"/>
  <c r="AA287" i="1"/>
  <c r="AB287" i="1" s="1"/>
  <c r="AA288" i="1"/>
  <c r="AB288" i="1" s="1"/>
  <c r="AA289" i="1"/>
  <c r="AB289" i="1" s="1"/>
  <c r="AA290" i="1"/>
  <c r="AB290" i="1" s="1"/>
  <c r="AA291" i="1"/>
  <c r="AB291" i="1" s="1"/>
  <c r="AA292" i="1"/>
  <c r="AB292" i="1" s="1"/>
  <c r="AA293" i="1"/>
  <c r="AB293" i="1" s="1"/>
  <c r="AA294" i="1"/>
  <c r="AB294" i="1" s="1"/>
  <c r="AA295" i="1"/>
  <c r="AB295" i="1" s="1"/>
  <c r="AA296" i="1"/>
  <c r="AB296" i="1" s="1"/>
  <c r="AA297" i="1"/>
  <c r="AB297" i="1" s="1"/>
  <c r="AA298" i="1"/>
  <c r="AB298" i="1" s="1"/>
  <c r="AA299" i="1"/>
  <c r="AB299" i="1" s="1"/>
  <c r="AA300" i="1"/>
  <c r="AB300" i="1" s="1"/>
  <c r="AA301" i="1"/>
  <c r="AB301" i="1" s="1"/>
  <c r="AA302" i="1"/>
  <c r="AB302" i="1" s="1"/>
  <c r="AA303" i="1"/>
  <c r="AB303" i="1" s="1"/>
  <c r="AA304" i="1"/>
  <c r="AB304" i="1" s="1"/>
  <c r="AA305" i="1"/>
  <c r="AB305" i="1" s="1"/>
  <c r="AA306" i="1"/>
  <c r="AB306" i="1" s="1"/>
  <c r="AA307" i="1"/>
  <c r="AB307" i="1" s="1"/>
  <c r="AA308" i="1"/>
  <c r="AB308" i="1" s="1"/>
  <c r="AA309" i="1"/>
  <c r="AB309" i="1" s="1"/>
  <c r="AA310" i="1"/>
  <c r="AB310" i="1" s="1"/>
  <c r="AA311" i="1"/>
  <c r="AB311" i="1" s="1"/>
  <c r="AA312" i="1"/>
  <c r="AB312" i="1" s="1"/>
  <c r="AA313" i="1"/>
  <c r="AB313" i="1" s="1"/>
  <c r="AA314" i="1"/>
  <c r="AB314" i="1" s="1"/>
  <c r="AA315" i="1"/>
  <c r="AB315" i="1" s="1"/>
  <c r="AA316" i="1"/>
  <c r="AB316" i="1" s="1"/>
  <c r="AA317" i="1"/>
  <c r="AB317" i="1" s="1"/>
  <c r="AA318" i="1"/>
  <c r="AB318" i="1" s="1"/>
  <c r="AA319" i="1"/>
  <c r="AB319" i="1" s="1"/>
  <c r="AA320" i="1"/>
  <c r="AB320" i="1" s="1"/>
  <c r="AA321" i="1"/>
  <c r="AB321" i="1" s="1"/>
  <c r="AA322" i="1"/>
  <c r="AB322" i="1" s="1"/>
  <c r="AA323" i="1"/>
  <c r="AB323" i="1" s="1"/>
  <c r="AA324" i="1"/>
  <c r="AB324" i="1" s="1"/>
  <c r="AA325" i="1"/>
  <c r="AB325" i="1" s="1"/>
  <c r="AA326" i="1"/>
  <c r="AB326" i="1" s="1"/>
  <c r="AA327" i="1"/>
  <c r="AB327" i="1" s="1"/>
  <c r="AA328" i="1"/>
  <c r="AB328" i="1" s="1"/>
  <c r="AA329" i="1"/>
  <c r="AB329" i="1" s="1"/>
  <c r="AA330" i="1"/>
  <c r="AB330" i="1" s="1"/>
  <c r="AA331" i="1"/>
  <c r="AB331" i="1" s="1"/>
  <c r="AA332" i="1"/>
  <c r="AB332" i="1" s="1"/>
  <c r="AA333" i="1"/>
  <c r="AB333" i="1" s="1"/>
  <c r="AA334" i="1"/>
  <c r="AB334" i="1" s="1"/>
  <c r="AA335" i="1"/>
  <c r="AB335" i="1" s="1"/>
  <c r="AA336" i="1"/>
  <c r="AB336" i="1" s="1"/>
  <c r="AA337" i="1"/>
  <c r="AB337" i="1" s="1"/>
  <c r="AA338" i="1"/>
  <c r="AA339" i="1"/>
  <c r="AB339" i="1" s="1"/>
  <c r="AA340" i="1"/>
  <c r="AB340" i="1" s="1"/>
  <c r="AA341" i="1"/>
  <c r="AB341" i="1" s="1"/>
  <c r="AA342" i="1"/>
  <c r="AB342" i="1" s="1"/>
  <c r="AA343" i="1"/>
  <c r="AB343" i="1" s="1"/>
  <c r="AA344" i="1"/>
  <c r="AB344" i="1" s="1"/>
  <c r="AA345" i="1"/>
  <c r="AB345" i="1" s="1"/>
  <c r="AA346" i="1"/>
  <c r="AB346" i="1" s="1"/>
  <c r="AA347" i="1"/>
  <c r="AB347" i="1" s="1"/>
  <c r="AA348" i="1"/>
  <c r="AB348" i="1" s="1"/>
  <c r="AA349" i="1"/>
  <c r="AB349" i="1" s="1"/>
  <c r="AA350" i="1"/>
  <c r="AB350" i="1" s="1"/>
  <c r="AA351" i="1"/>
  <c r="AB351" i="1" s="1"/>
  <c r="AA352" i="1"/>
  <c r="AB352" i="1" s="1"/>
  <c r="AA353" i="1"/>
  <c r="AB353" i="1" s="1"/>
  <c r="AA354" i="1"/>
  <c r="AB354" i="1" s="1"/>
  <c r="AA355" i="1"/>
  <c r="AB355" i="1" s="1"/>
  <c r="AA356" i="1"/>
  <c r="AB356" i="1" s="1"/>
  <c r="AA357" i="1"/>
  <c r="AB357" i="1" s="1"/>
  <c r="AA358" i="1"/>
  <c r="AB358" i="1" s="1"/>
  <c r="AA359" i="1"/>
  <c r="AB359" i="1" s="1"/>
  <c r="AA360" i="1"/>
  <c r="AB360" i="1" s="1"/>
  <c r="AA361" i="1"/>
  <c r="AB361" i="1" s="1"/>
  <c r="AA362" i="1"/>
  <c r="AB362" i="1" s="1"/>
  <c r="AA363" i="1"/>
  <c r="AB363" i="1" s="1"/>
  <c r="AA364" i="1"/>
  <c r="AB364" i="1" s="1"/>
  <c r="AA365" i="1"/>
  <c r="AB365" i="1" s="1"/>
  <c r="AA366" i="1"/>
  <c r="AB366" i="1" s="1"/>
  <c r="AA367" i="1"/>
  <c r="AB367" i="1" s="1"/>
  <c r="AA368" i="1"/>
  <c r="AB368" i="1" s="1"/>
  <c r="AA369" i="1"/>
  <c r="AB369" i="1" s="1"/>
  <c r="AA370" i="1"/>
  <c r="AB370" i="1" s="1"/>
  <c r="AA371" i="1"/>
  <c r="AB371" i="1" s="1"/>
  <c r="AA372" i="1"/>
  <c r="AB372" i="1" s="1"/>
  <c r="AA373" i="1"/>
  <c r="AB373" i="1" s="1"/>
  <c r="AA374" i="1"/>
  <c r="AB374" i="1" s="1"/>
  <c r="AA375" i="1"/>
  <c r="AB375" i="1" s="1"/>
  <c r="AA376" i="1"/>
  <c r="AB376" i="1" s="1"/>
  <c r="AA377" i="1"/>
  <c r="AB377" i="1" s="1"/>
  <c r="AA378" i="1"/>
  <c r="AB378" i="1" s="1"/>
  <c r="AA379" i="1"/>
  <c r="AB379" i="1" s="1"/>
  <c r="AA380" i="1"/>
  <c r="AB380" i="1" s="1"/>
  <c r="AA381" i="1"/>
  <c r="AB381" i="1" s="1"/>
  <c r="AA382" i="1"/>
  <c r="AB382" i="1" s="1"/>
  <c r="AA383" i="1"/>
  <c r="AB383" i="1" s="1"/>
  <c r="AA384" i="1"/>
  <c r="AB384" i="1" s="1"/>
  <c r="AA385" i="1"/>
  <c r="AB385" i="1" s="1"/>
  <c r="AA386" i="1"/>
  <c r="AB386" i="1" s="1"/>
  <c r="AA387" i="1"/>
  <c r="AB387" i="1" s="1"/>
  <c r="AA388" i="1"/>
  <c r="AB388" i="1" s="1"/>
  <c r="AA389" i="1"/>
  <c r="AB389" i="1" s="1"/>
  <c r="AA390" i="1"/>
  <c r="AB390" i="1" s="1"/>
  <c r="AA391" i="1"/>
  <c r="AB391" i="1" s="1"/>
  <c r="AA392" i="1"/>
  <c r="AB392" i="1" s="1"/>
  <c r="AA393" i="1"/>
  <c r="AB393" i="1" s="1"/>
  <c r="AA394" i="1"/>
  <c r="AB394" i="1" s="1"/>
  <c r="AA395" i="1"/>
  <c r="AB395" i="1" s="1"/>
  <c r="AA396" i="1"/>
  <c r="AB396" i="1" s="1"/>
  <c r="AA397" i="1"/>
  <c r="AB397" i="1" s="1"/>
  <c r="AA398" i="1"/>
  <c r="AB398" i="1" s="1"/>
  <c r="AA399" i="1"/>
  <c r="AB399" i="1" s="1"/>
  <c r="AA400" i="1"/>
  <c r="AB400" i="1" s="1"/>
  <c r="AA401" i="1"/>
  <c r="AB401" i="1" s="1"/>
  <c r="AA402" i="1"/>
  <c r="AB402" i="1" s="1"/>
  <c r="AA403" i="1"/>
  <c r="AB403" i="1" s="1"/>
  <c r="AA404" i="1"/>
  <c r="AB404" i="1" s="1"/>
  <c r="AA405" i="1"/>
  <c r="AB405" i="1" s="1"/>
  <c r="AA406" i="1"/>
  <c r="AB406" i="1" s="1"/>
  <c r="AA407" i="1"/>
  <c r="AB407" i="1" s="1"/>
  <c r="AA408" i="1"/>
  <c r="AB408" i="1" s="1"/>
  <c r="AA409" i="1"/>
  <c r="AB409" i="1" s="1"/>
  <c r="AA410" i="1"/>
  <c r="AB410" i="1" s="1"/>
  <c r="AA411" i="1"/>
  <c r="AB411" i="1" s="1"/>
  <c r="AA412" i="1"/>
  <c r="AB412" i="1" s="1"/>
  <c r="AA413" i="1"/>
  <c r="AB413" i="1" s="1"/>
  <c r="AA414" i="1"/>
  <c r="AB414" i="1" s="1"/>
  <c r="AA415" i="1"/>
  <c r="AB415" i="1" s="1"/>
  <c r="AA416" i="1"/>
  <c r="AB416" i="1" s="1"/>
  <c r="AA417" i="1"/>
  <c r="AB417" i="1" s="1"/>
  <c r="AA418" i="1"/>
  <c r="AB418" i="1" s="1"/>
  <c r="AA419" i="1"/>
  <c r="AB419" i="1" s="1"/>
  <c r="AA420" i="1"/>
  <c r="AB420" i="1" s="1"/>
  <c r="AA421" i="1"/>
  <c r="AB421" i="1" s="1"/>
  <c r="AA422" i="1"/>
  <c r="AB422" i="1" s="1"/>
  <c r="AA423" i="1"/>
  <c r="AB423" i="1" s="1"/>
  <c r="AA424" i="1"/>
  <c r="AB424" i="1" s="1"/>
  <c r="AA425" i="1"/>
  <c r="AB425" i="1" s="1"/>
  <c r="AA426" i="1"/>
  <c r="AB426" i="1" s="1"/>
  <c r="AA427" i="1"/>
  <c r="AB427" i="1" s="1"/>
  <c r="AA428" i="1"/>
  <c r="AB428" i="1" s="1"/>
  <c r="AA429" i="1"/>
  <c r="AB429" i="1" s="1"/>
  <c r="AA430" i="1"/>
  <c r="AB430" i="1" s="1"/>
  <c r="AA431" i="1"/>
  <c r="AB431" i="1" s="1"/>
  <c r="AA432" i="1"/>
  <c r="AB432" i="1" s="1"/>
  <c r="AA433" i="1"/>
  <c r="AB433" i="1" s="1"/>
  <c r="AA434" i="1"/>
  <c r="AB434" i="1" s="1"/>
  <c r="AA435" i="1"/>
  <c r="AB435" i="1" s="1"/>
  <c r="AA436" i="1"/>
  <c r="AB436" i="1" s="1"/>
  <c r="AA437" i="1"/>
  <c r="AB437" i="1" s="1"/>
  <c r="AA438" i="1"/>
  <c r="AB438" i="1" s="1"/>
  <c r="AA439" i="1"/>
  <c r="AB439" i="1" s="1"/>
  <c r="AA440" i="1"/>
  <c r="AB440" i="1" s="1"/>
  <c r="AA441" i="1"/>
  <c r="AB441" i="1" s="1"/>
  <c r="AA442" i="1"/>
  <c r="AB442" i="1" s="1"/>
  <c r="AA443" i="1"/>
  <c r="AB443" i="1" s="1"/>
  <c r="AA444" i="1"/>
  <c r="AB444" i="1" s="1"/>
  <c r="AA445" i="1"/>
  <c r="AB445" i="1" s="1"/>
  <c r="AA446" i="1"/>
  <c r="AB446" i="1" s="1"/>
  <c r="AA447" i="1"/>
  <c r="AB447" i="1" s="1"/>
  <c r="AA448" i="1"/>
  <c r="AB448" i="1" s="1"/>
  <c r="AA449" i="1"/>
  <c r="AB449" i="1" s="1"/>
  <c r="AA450" i="1"/>
  <c r="AB450" i="1" s="1"/>
  <c r="AA451" i="1"/>
  <c r="AB451" i="1" s="1"/>
  <c r="AA452" i="1"/>
  <c r="AB452" i="1" s="1"/>
  <c r="AA453" i="1"/>
  <c r="AB453" i="1" s="1"/>
  <c r="AA454" i="1"/>
  <c r="AB454" i="1" s="1"/>
  <c r="AA455" i="1"/>
  <c r="AB455" i="1" s="1"/>
  <c r="AA456" i="1"/>
  <c r="AB456" i="1" s="1"/>
  <c r="AA457" i="1"/>
  <c r="AB457" i="1" s="1"/>
  <c r="AA458" i="1"/>
  <c r="AB458" i="1" s="1"/>
  <c r="AA459" i="1"/>
  <c r="AB459" i="1" s="1"/>
  <c r="AA460" i="1"/>
  <c r="AB460" i="1" s="1"/>
  <c r="AA461" i="1"/>
  <c r="AB461" i="1" s="1"/>
  <c r="AA462" i="1"/>
  <c r="AB462" i="1" s="1"/>
  <c r="AA463" i="1"/>
  <c r="AB463" i="1" s="1"/>
  <c r="AA464" i="1"/>
  <c r="AB464" i="1" s="1"/>
  <c r="AA465" i="1"/>
  <c r="AB465" i="1" s="1"/>
  <c r="AA466" i="1"/>
  <c r="AB466" i="1" s="1"/>
  <c r="AA467" i="1"/>
  <c r="AB467" i="1" s="1"/>
  <c r="AA468" i="1"/>
  <c r="AB468" i="1" s="1"/>
  <c r="AA469" i="1"/>
  <c r="AB469" i="1" s="1"/>
  <c r="AA470" i="1"/>
  <c r="AB470" i="1" s="1"/>
  <c r="AA471" i="1"/>
  <c r="AB471" i="1" s="1"/>
  <c r="AA472" i="1"/>
  <c r="AB472" i="1" s="1"/>
  <c r="AA473" i="1"/>
  <c r="AB473" i="1" s="1"/>
  <c r="AA474" i="1"/>
  <c r="AB474" i="1" s="1"/>
  <c r="AA475" i="1"/>
  <c r="AB475" i="1" s="1"/>
  <c r="AA476" i="1"/>
  <c r="AB476" i="1" s="1"/>
  <c r="AA477" i="1"/>
  <c r="AB477" i="1" s="1"/>
  <c r="AA478" i="1"/>
  <c r="AB478" i="1" s="1"/>
  <c r="AA479" i="1"/>
  <c r="AB479" i="1" s="1"/>
  <c r="AA480" i="1"/>
  <c r="AB480" i="1" s="1"/>
  <c r="AA481" i="1"/>
  <c r="AB481" i="1" s="1"/>
  <c r="AA482" i="1"/>
  <c r="AB482" i="1" s="1"/>
  <c r="AA483" i="1"/>
  <c r="AB483" i="1" s="1"/>
  <c r="AA484" i="1"/>
  <c r="AB484" i="1" s="1"/>
  <c r="AA485" i="1"/>
  <c r="AB485" i="1" s="1"/>
  <c r="AA486" i="1"/>
  <c r="AB486" i="1" s="1"/>
  <c r="AA487" i="1"/>
  <c r="AB487" i="1" s="1"/>
  <c r="AA488" i="1"/>
  <c r="AB488" i="1" s="1"/>
  <c r="AA489" i="1"/>
  <c r="AB489" i="1" s="1"/>
  <c r="AA490" i="1"/>
  <c r="AB490" i="1" s="1"/>
  <c r="AA491" i="1"/>
  <c r="AB491" i="1" s="1"/>
  <c r="AA492" i="1"/>
  <c r="AB492" i="1" s="1"/>
  <c r="AA493" i="1"/>
  <c r="AB493" i="1" s="1"/>
  <c r="AA494" i="1"/>
  <c r="AB494" i="1" s="1"/>
  <c r="AA495" i="1"/>
  <c r="AB495" i="1" s="1"/>
  <c r="AA496" i="1"/>
  <c r="AB496" i="1" s="1"/>
  <c r="AA497" i="1"/>
  <c r="AB497" i="1" s="1"/>
  <c r="AA498" i="1"/>
  <c r="AB498" i="1" s="1"/>
  <c r="AA499" i="1"/>
  <c r="AB499" i="1" s="1"/>
  <c r="AA500" i="1"/>
  <c r="AB500" i="1" s="1"/>
  <c r="AA501" i="1"/>
  <c r="AB501" i="1" s="1"/>
  <c r="AA502" i="1"/>
  <c r="AB502" i="1" s="1"/>
  <c r="AA503" i="1"/>
  <c r="AB503" i="1" s="1"/>
  <c r="AA504" i="1"/>
  <c r="AB504" i="1" s="1"/>
  <c r="AA505" i="1"/>
  <c r="AB505" i="1" s="1"/>
  <c r="AA506" i="1"/>
  <c r="AB506" i="1" s="1"/>
  <c r="AA507" i="1"/>
  <c r="AB507" i="1" s="1"/>
  <c r="AA508" i="1"/>
  <c r="AB508" i="1" s="1"/>
  <c r="AA509" i="1"/>
  <c r="AB509" i="1" s="1"/>
  <c r="AA510" i="1"/>
  <c r="AB510" i="1" s="1"/>
  <c r="AA511" i="1"/>
  <c r="AB511" i="1" s="1"/>
  <c r="AA512" i="1"/>
  <c r="AB512" i="1" s="1"/>
  <c r="AA513" i="1"/>
  <c r="AB513" i="1" s="1"/>
  <c r="AA514" i="1"/>
  <c r="AB514" i="1" s="1"/>
  <c r="AA515" i="1"/>
  <c r="AB515" i="1" s="1"/>
  <c r="AA516" i="1"/>
  <c r="AB516" i="1" s="1"/>
  <c r="AA517" i="1"/>
  <c r="AB517" i="1" s="1"/>
  <c r="AA518" i="1"/>
  <c r="AB518" i="1" s="1"/>
  <c r="AA519" i="1"/>
  <c r="AB519" i="1" s="1"/>
  <c r="AA520" i="1"/>
  <c r="AB520" i="1" s="1"/>
  <c r="AA521" i="1"/>
  <c r="AB521" i="1" s="1"/>
  <c r="AA522" i="1"/>
  <c r="AB522" i="1" s="1"/>
  <c r="AA523" i="1"/>
  <c r="AB523" i="1" s="1"/>
  <c r="AA524" i="1"/>
  <c r="AB524" i="1" s="1"/>
  <c r="AA525" i="1"/>
  <c r="AB525" i="1" s="1"/>
  <c r="AA526" i="1"/>
  <c r="AB526" i="1" s="1"/>
  <c r="AA527" i="1"/>
  <c r="AB527" i="1" s="1"/>
  <c r="AA528" i="1"/>
  <c r="AB528" i="1" s="1"/>
  <c r="AA529" i="1"/>
  <c r="AB529" i="1" s="1"/>
  <c r="AA530" i="1"/>
  <c r="AB530" i="1" s="1"/>
  <c r="AA531" i="1"/>
  <c r="AB531" i="1" s="1"/>
  <c r="AA532" i="1"/>
  <c r="AB532" i="1" s="1"/>
  <c r="AA533" i="1"/>
  <c r="AB533" i="1" s="1"/>
  <c r="AA534" i="1"/>
  <c r="AB534" i="1" s="1"/>
  <c r="AA535" i="1"/>
  <c r="AB535" i="1" s="1"/>
  <c r="AA536" i="1"/>
  <c r="AB536" i="1" s="1"/>
  <c r="AA537" i="1"/>
  <c r="AB537" i="1" s="1"/>
  <c r="AA538" i="1"/>
  <c r="AB538" i="1" s="1"/>
  <c r="AA539" i="1"/>
  <c r="AB539" i="1" s="1"/>
  <c r="AA540" i="1"/>
  <c r="AB540" i="1" s="1"/>
  <c r="AA541" i="1"/>
  <c r="AB541" i="1" s="1"/>
  <c r="AA542" i="1"/>
  <c r="AB542" i="1" s="1"/>
  <c r="AA543" i="1"/>
  <c r="AB543" i="1" s="1"/>
  <c r="AA544" i="1"/>
  <c r="AB544" i="1" s="1"/>
  <c r="AA545" i="1"/>
  <c r="AB545" i="1" s="1"/>
  <c r="AA546" i="1"/>
  <c r="AB546" i="1" s="1"/>
  <c r="AA547" i="1"/>
  <c r="AB547" i="1" s="1"/>
  <c r="AA548" i="1"/>
  <c r="AB548" i="1" s="1"/>
  <c r="AA549" i="1"/>
  <c r="AB549" i="1" s="1"/>
  <c r="AA550" i="1"/>
  <c r="AB550" i="1" s="1"/>
  <c r="AA551" i="1"/>
  <c r="AB551" i="1" s="1"/>
  <c r="AA552" i="1"/>
  <c r="AB552" i="1" s="1"/>
  <c r="AA553" i="1"/>
  <c r="AB553" i="1" s="1"/>
  <c r="AA554" i="1"/>
  <c r="AB554" i="1" s="1"/>
  <c r="AA555" i="1"/>
  <c r="AB555" i="1" s="1"/>
  <c r="AA556" i="1"/>
  <c r="AB556" i="1" s="1"/>
  <c r="AA557" i="1"/>
  <c r="AB557" i="1" s="1"/>
  <c r="AA558" i="1"/>
  <c r="AB558" i="1" s="1"/>
  <c r="AA559" i="1"/>
  <c r="AB559" i="1" s="1"/>
  <c r="AA560" i="1"/>
  <c r="AB560" i="1" s="1"/>
  <c r="AA561" i="1"/>
  <c r="AB561" i="1" s="1"/>
  <c r="AA562" i="1"/>
  <c r="AB562" i="1" s="1"/>
  <c r="AA563" i="1"/>
  <c r="AB563" i="1" s="1"/>
  <c r="AA564" i="1"/>
  <c r="AB564" i="1" s="1"/>
  <c r="AA565" i="1"/>
  <c r="AB565" i="1" s="1"/>
  <c r="AA566" i="1"/>
  <c r="AB566" i="1" s="1"/>
  <c r="AA567" i="1"/>
  <c r="AB567" i="1" s="1"/>
  <c r="AA568" i="1"/>
  <c r="AB568" i="1" s="1"/>
  <c r="AA569" i="1"/>
  <c r="AB569" i="1" s="1"/>
  <c r="AA570" i="1"/>
  <c r="AB570" i="1" s="1"/>
  <c r="AA571" i="1"/>
  <c r="AB571" i="1" s="1"/>
  <c r="AA572" i="1"/>
  <c r="AB572" i="1" s="1"/>
  <c r="AA573" i="1"/>
  <c r="AB573" i="1" s="1"/>
  <c r="AA574" i="1"/>
  <c r="AB574" i="1" s="1"/>
  <c r="AA575" i="1"/>
  <c r="AB575" i="1" s="1"/>
  <c r="AA576" i="1"/>
  <c r="AB576" i="1" s="1"/>
  <c r="AA577" i="1"/>
  <c r="AB577" i="1" s="1"/>
  <c r="AA578" i="1"/>
  <c r="AB578" i="1" s="1"/>
  <c r="AA579" i="1"/>
  <c r="AB579" i="1" s="1"/>
  <c r="AA580" i="1"/>
  <c r="AB580" i="1" s="1"/>
  <c r="AA581" i="1"/>
  <c r="AB581" i="1" s="1"/>
  <c r="AA582" i="1"/>
  <c r="AB582" i="1" s="1"/>
  <c r="AA583" i="1"/>
  <c r="AB583" i="1" s="1"/>
  <c r="AA584" i="1"/>
  <c r="AB584" i="1" s="1"/>
  <c r="AA585" i="1"/>
  <c r="AB585" i="1" s="1"/>
  <c r="AA586" i="1"/>
  <c r="AB586" i="1" s="1"/>
  <c r="AA587" i="1"/>
  <c r="AB587" i="1" s="1"/>
  <c r="AA588" i="1"/>
  <c r="AB588" i="1" s="1"/>
  <c r="AA589" i="1"/>
  <c r="AB589" i="1" s="1"/>
  <c r="AA590" i="1"/>
  <c r="AB590" i="1" s="1"/>
  <c r="AA591" i="1"/>
  <c r="AB591" i="1" s="1"/>
  <c r="AA592" i="1"/>
  <c r="AB592" i="1" s="1"/>
  <c r="AA593" i="1"/>
  <c r="AB593" i="1" s="1"/>
  <c r="AA594" i="1"/>
  <c r="AB594" i="1" s="1"/>
  <c r="AA595" i="1"/>
  <c r="AB595" i="1" s="1"/>
  <c r="AA596" i="1"/>
  <c r="AB596" i="1" s="1"/>
  <c r="AA597" i="1"/>
  <c r="AB597" i="1" s="1"/>
  <c r="AA598" i="1"/>
  <c r="AB598" i="1" s="1"/>
  <c r="AA599" i="1"/>
  <c r="AB599" i="1" s="1"/>
  <c r="AA600" i="1"/>
  <c r="AB600" i="1" s="1"/>
  <c r="AA601" i="1"/>
  <c r="AB601" i="1" s="1"/>
  <c r="AA602" i="1"/>
  <c r="AB602" i="1" s="1"/>
  <c r="AA603" i="1"/>
  <c r="AB603" i="1" s="1"/>
  <c r="AA604" i="1"/>
  <c r="AB604" i="1" s="1"/>
  <c r="AA605" i="1"/>
  <c r="AB605" i="1" s="1"/>
  <c r="AA606" i="1"/>
  <c r="AB606" i="1" s="1"/>
  <c r="AA607" i="1"/>
  <c r="AB607" i="1" s="1"/>
  <c r="AA608" i="1"/>
  <c r="AB608" i="1" s="1"/>
  <c r="AA609" i="1"/>
  <c r="AB609" i="1" s="1"/>
  <c r="AA610" i="1"/>
  <c r="AB610" i="1" s="1"/>
  <c r="AA611" i="1"/>
  <c r="AB611" i="1" s="1"/>
  <c r="AA612" i="1"/>
  <c r="AB612" i="1" s="1"/>
  <c r="AA613" i="1"/>
  <c r="AB613" i="1" s="1"/>
  <c r="AA614" i="1"/>
  <c r="AB614" i="1" s="1"/>
  <c r="AA615" i="1"/>
  <c r="AB615" i="1" s="1"/>
  <c r="AA616" i="1"/>
  <c r="AB616" i="1" s="1"/>
  <c r="AA617" i="1"/>
  <c r="AB617" i="1" s="1"/>
  <c r="AA618" i="1"/>
  <c r="AB618" i="1" s="1"/>
  <c r="AA619" i="1"/>
  <c r="AB619" i="1" s="1"/>
  <c r="AA620" i="1"/>
  <c r="AB620" i="1" s="1"/>
  <c r="AA621" i="1"/>
  <c r="AB621" i="1" s="1"/>
  <c r="AA622" i="1"/>
  <c r="AB622" i="1" s="1"/>
  <c r="AA623" i="1"/>
  <c r="AB623" i="1" s="1"/>
  <c r="AA624" i="1"/>
  <c r="AB624" i="1" s="1"/>
  <c r="AA625" i="1"/>
  <c r="AB625" i="1" s="1"/>
  <c r="AA626" i="1"/>
  <c r="AB626" i="1" s="1"/>
  <c r="AA627" i="1"/>
  <c r="AB627" i="1" s="1"/>
  <c r="AA628" i="1"/>
  <c r="AB628" i="1" s="1"/>
  <c r="AA629" i="1"/>
  <c r="AB629" i="1" s="1"/>
  <c r="AA630" i="1"/>
  <c r="AB630" i="1" s="1"/>
  <c r="AA631" i="1"/>
  <c r="AB631" i="1" s="1"/>
  <c r="AA632" i="1"/>
  <c r="AB632" i="1" s="1"/>
  <c r="AA633" i="1"/>
  <c r="AB633" i="1" s="1"/>
  <c r="AA634" i="1"/>
  <c r="AB634" i="1" s="1"/>
  <c r="AA635" i="1"/>
  <c r="AB635" i="1" s="1"/>
  <c r="AA636" i="1"/>
  <c r="AB636" i="1" s="1"/>
  <c r="AA637" i="1"/>
  <c r="AB637" i="1" s="1"/>
  <c r="AA638" i="1"/>
  <c r="AB638" i="1" s="1"/>
  <c r="AA639" i="1"/>
  <c r="AB639" i="1" s="1"/>
  <c r="AA640" i="1"/>
  <c r="AB640" i="1" s="1"/>
  <c r="AA641" i="1"/>
  <c r="AB641" i="1" s="1"/>
  <c r="AA642" i="1"/>
  <c r="AB642" i="1" s="1"/>
  <c r="AA643" i="1"/>
  <c r="AB643" i="1" s="1"/>
  <c r="AA644" i="1"/>
  <c r="AB644" i="1" s="1"/>
  <c r="AA645" i="1"/>
  <c r="AB645" i="1" s="1"/>
  <c r="AA646" i="1"/>
  <c r="AB646" i="1" s="1"/>
  <c r="AA647" i="1"/>
  <c r="AB647" i="1" s="1"/>
  <c r="AA648" i="1"/>
  <c r="AB648" i="1" s="1"/>
  <c r="AA649" i="1"/>
  <c r="AB649" i="1" s="1"/>
  <c r="AA650" i="1"/>
  <c r="AB650" i="1" s="1"/>
  <c r="AA651" i="1"/>
  <c r="AB651" i="1" s="1"/>
  <c r="AA652" i="1"/>
  <c r="AB652" i="1" s="1"/>
  <c r="AA653" i="1"/>
  <c r="AB653" i="1" s="1"/>
  <c r="AA654" i="1"/>
  <c r="AB654" i="1" s="1"/>
  <c r="AA655" i="1"/>
  <c r="AB655" i="1" s="1"/>
  <c r="AA656" i="1"/>
  <c r="AB656" i="1" s="1"/>
  <c r="AA657" i="1"/>
  <c r="AB657" i="1" s="1"/>
  <c r="AA658" i="1"/>
  <c r="AB658" i="1" s="1"/>
  <c r="AA659" i="1"/>
  <c r="AB659" i="1" s="1"/>
  <c r="AA660" i="1"/>
  <c r="AB660" i="1" s="1"/>
  <c r="AA661" i="1"/>
  <c r="AB661" i="1" s="1"/>
  <c r="AA662" i="1"/>
  <c r="AB662" i="1" s="1"/>
  <c r="AA663" i="1"/>
  <c r="AB663" i="1" s="1"/>
  <c r="AA664" i="1"/>
  <c r="AB664" i="1" s="1"/>
  <c r="AA665" i="1"/>
  <c r="AB665" i="1" s="1"/>
  <c r="AA666" i="1"/>
  <c r="AB666" i="1" s="1"/>
  <c r="AA667" i="1"/>
  <c r="AB667" i="1" s="1"/>
  <c r="AA668" i="1"/>
  <c r="AB668" i="1" s="1"/>
  <c r="AA669" i="1"/>
  <c r="AB669" i="1" s="1"/>
  <c r="AA670" i="1"/>
  <c r="AB670" i="1" s="1"/>
  <c r="AA671" i="1"/>
  <c r="AB671" i="1" s="1"/>
  <c r="AA672" i="1"/>
  <c r="AB672" i="1" s="1"/>
  <c r="AA673" i="1"/>
  <c r="AB673" i="1" s="1"/>
  <c r="AA674" i="1"/>
  <c r="AB674" i="1" s="1"/>
  <c r="AA675" i="1"/>
  <c r="AB675" i="1" s="1"/>
  <c r="AA676" i="1"/>
  <c r="AB676" i="1" s="1"/>
  <c r="AA677" i="1"/>
  <c r="AB677" i="1" s="1"/>
  <c r="AA678" i="1"/>
  <c r="AB678" i="1" s="1"/>
  <c r="AA679" i="1"/>
  <c r="AB679" i="1" s="1"/>
  <c r="AA680" i="1"/>
  <c r="AB680" i="1" s="1"/>
  <c r="AA681" i="1"/>
  <c r="AB681" i="1" s="1"/>
  <c r="AA682" i="1"/>
  <c r="AB682" i="1" s="1"/>
  <c r="AA683" i="1"/>
  <c r="AB683" i="1" s="1"/>
  <c r="AA684" i="1"/>
  <c r="AB684" i="1" s="1"/>
  <c r="AA685" i="1"/>
  <c r="AB685" i="1" s="1"/>
  <c r="AA686" i="1"/>
  <c r="AB686" i="1" s="1"/>
  <c r="AA687" i="1"/>
  <c r="AB687" i="1" s="1"/>
  <c r="AA688" i="1"/>
  <c r="AB688" i="1" s="1"/>
  <c r="AA689" i="1"/>
  <c r="AB689" i="1" s="1"/>
  <c r="AA690" i="1"/>
  <c r="AB690" i="1" s="1"/>
  <c r="AA691" i="1"/>
  <c r="AB691" i="1" s="1"/>
  <c r="AA692" i="1"/>
  <c r="AB692" i="1" s="1"/>
  <c r="AA693" i="1"/>
  <c r="AB693" i="1" s="1"/>
  <c r="AA694" i="1"/>
  <c r="AB694" i="1" s="1"/>
  <c r="AA695" i="1"/>
  <c r="AB695" i="1" s="1"/>
  <c r="AA696" i="1"/>
  <c r="AB696" i="1" s="1"/>
  <c r="AA697" i="1"/>
  <c r="AB697" i="1" s="1"/>
  <c r="AA698" i="1"/>
  <c r="AB698" i="1" s="1"/>
  <c r="AA699" i="1"/>
  <c r="AB699" i="1" s="1"/>
  <c r="AA700" i="1"/>
  <c r="AB700" i="1" s="1"/>
  <c r="AA701" i="1"/>
  <c r="AB701" i="1" s="1"/>
  <c r="AA702" i="1"/>
  <c r="AB702" i="1" s="1"/>
  <c r="AA703" i="1"/>
  <c r="AB703" i="1" s="1"/>
  <c r="AA704" i="1"/>
  <c r="AB704" i="1" s="1"/>
  <c r="AA705" i="1"/>
  <c r="AB705" i="1" s="1"/>
  <c r="AA706" i="1"/>
  <c r="AB706" i="1" s="1"/>
  <c r="AA707" i="1"/>
  <c r="AB707" i="1" s="1"/>
  <c r="AA708" i="1"/>
  <c r="AB708" i="1" s="1"/>
  <c r="AA709" i="1"/>
  <c r="AB709" i="1" s="1"/>
  <c r="AA710" i="1"/>
  <c r="AB710" i="1" s="1"/>
  <c r="AA711" i="1"/>
  <c r="AB711" i="1" s="1"/>
  <c r="AA712" i="1"/>
  <c r="AB712" i="1" s="1"/>
  <c r="AA713" i="1"/>
  <c r="AB713" i="1" s="1"/>
  <c r="AA714" i="1"/>
  <c r="AB714" i="1" s="1"/>
  <c r="AA715" i="1"/>
  <c r="AB715" i="1" s="1"/>
  <c r="AA716" i="1"/>
  <c r="AB716" i="1" s="1"/>
  <c r="AA717" i="1"/>
  <c r="AB717" i="1" s="1"/>
  <c r="AA718" i="1"/>
  <c r="AB718" i="1" s="1"/>
  <c r="AA719" i="1"/>
  <c r="AB719" i="1" s="1"/>
  <c r="AA720" i="1"/>
  <c r="AB720" i="1" s="1"/>
  <c r="AA721" i="1"/>
  <c r="AB721" i="1" s="1"/>
  <c r="AA722" i="1"/>
  <c r="AB722" i="1" s="1"/>
  <c r="AA723" i="1"/>
  <c r="AB723" i="1" s="1"/>
  <c r="AA724" i="1"/>
  <c r="AB724" i="1" s="1"/>
  <c r="AA725" i="1"/>
  <c r="AB725" i="1" s="1"/>
  <c r="AA726" i="1"/>
  <c r="AB726" i="1" s="1"/>
  <c r="AA727" i="1"/>
  <c r="AB727" i="1" s="1"/>
  <c r="AA728" i="1"/>
  <c r="AB728" i="1" s="1"/>
  <c r="AA729" i="1"/>
  <c r="AB729" i="1" s="1"/>
  <c r="AA730" i="1"/>
  <c r="AB730" i="1" s="1"/>
  <c r="AA731" i="1"/>
  <c r="AB731" i="1" s="1"/>
  <c r="AA732" i="1"/>
  <c r="AB732" i="1" s="1"/>
  <c r="AA733" i="1"/>
  <c r="AB733" i="1" s="1"/>
  <c r="AA734" i="1"/>
  <c r="AB734" i="1" s="1"/>
  <c r="AA735" i="1"/>
  <c r="AB735" i="1" s="1"/>
  <c r="AA736" i="1"/>
  <c r="AB736" i="1" s="1"/>
  <c r="AA737" i="1"/>
  <c r="AB737" i="1" s="1"/>
  <c r="AA738" i="1"/>
  <c r="AB738" i="1" s="1"/>
  <c r="AA739" i="1"/>
  <c r="AB739" i="1" s="1"/>
  <c r="AA740" i="1"/>
  <c r="AB740" i="1" s="1"/>
  <c r="AA741" i="1"/>
  <c r="AB741" i="1" s="1"/>
  <c r="AA742" i="1"/>
  <c r="AB742" i="1" s="1"/>
  <c r="AA743" i="1"/>
  <c r="AB743" i="1" s="1"/>
  <c r="AA744" i="1"/>
  <c r="AB744" i="1" s="1"/>
  <c r="AA745" i="1"/>
  <c r="AB745" i="1" s="1"/>
  <c r="AA746" i="1"/>
  <c r="AB746" i="1" s="1"/>
  <c r="AA747" i="1"/>
  <c r="AB747" i="1" s="1"/>
  <c r="AA748" i="1"/>
  <c r="AB748" i="1" s="1"/>
  <c r="AA749" i="1"/>
  <c r="AB749" i="1" s="1"/>
  <c r="AA750" i="1"/>
  <c r="AB750" i="1" s="1"/>
  <c r="AA751" i="1"/>
  <c r="AB751" i="1" s="1"/>
  <c r="AA752" i="1"/>
  <c r="AB752" i="1" s="1"/>
  <c r="AA753" i="1"/>
  <c r="AB753" i="1" s="1"/>
  <c r="AA754" i="1"/>
  <c r="AB754" i="1" s="1"/>
  <c r="AA755" i="1"/>
  <c r="AB755" i="1" s="1"/>
  <c r="AA756" i="1"/>
  <c r="AB756" i="1" s="1"/>
  <c r="AA757" i="1"/>
  <c r="AB757" i="1" s="1"/>
  <c r="AA758" i="1"/>
  <c r="AB758" i="1" s="1"/>
  <c r="AA759" i="1"/>
  <c r="AB759" i="1" s="1"/>
  <c r="AA760" i="1"/>
  <c r="AB760" i="1" s="1"/>
  <c r="AA761" i="1"/>
  <c r="AB761" i="1" s="1"/>
  <c r="AA762" i="1"/>
  <c r="AB762" i="1" s="1"/>
  <c r="AA763" i="1"/>
  <c r="AB763" i="1" s="1"/>
  <c r="AA764" i="1"/>
  <c r="AB764" i="1" s="1"/>
  <c r="AA765" i="1"/>
  <c r="AB765" i="1" s="1"/>
  <c r="AA766" i="1"/>
  <c r="AB766" i="1" s="1"/>
  <c r="AA767" i="1"/>
  <c r="AB767" i="1" s="1"/>
  <c r="AA768" i="1"/>
  <c r="AB768" i="1" s="1"/>
  <c r="AA769" i="1"/>
  <c r="AB769" i="1" s="1"/>
  <c r="AA770" i="1"/>
  <c r="AB770" i="1" s="1"/>
  <c r="AA771" i="1"/>
  <c r="AB771" i="1" s="1"/>
  <c r="AA772" i="1"/>
  <c r="AB772" i="1" s="1"/>
  <c r="AA773" i="1"/>
  <c r="AB773" i="1" s="1"/>
  <c r="AA774" i="1"/>
  <c r="AB774" i="1" s="1"/>
  <c r="AA775" i="1"/>
  <c r="AB775" i="1" s="1"/>
  <c r="AA776" i="1"/>
  <c r="AB776" i="1" s="1"/>
  <c r="AA777" i="1"/>
  <c r="AB777" i="1" s="1"/>
  <c r="AA778" i="1"/>
  <c r="AB778" i="1" s="1"/>
  <c r="AA779" i="1"/>
  <c r="AB779" i="1" s="1"/>
  <c r="AA780" i="1"/>
  <c r="AB780" i="1" s="1"/>
  <c r="AA781" i="1"/>
  <c r="AB781" i="1" s="1"/>
  <c r="AA782" i="1"/>
  <c r="AB782" i="1" s="1"/>
  <c r="AA783" i="1"/>
  <c r="AB783" i="1" s="1"/>
  <c r="AA784" i="1"/>
  <c r="AB784" i="1" s="1"/>
  <c r="AA785" i="1"/>
  <c r="AB785" i="1" s="1"/>
  <c r="AA786" i="1"/>
  <c r="AB786" i="1" s="1"/>
  <c r="AA787" i="1"/>
  <c r="AB787" i="1" s="1"/>
  <c r="AA788" i="1"/>
  <c r="AB788" i="1" s="1"/>
  <c r="AA789" i="1"/>
  <c r="AB789" i="1" s="1"/>
  <c r="AA790" i="1"/>
  <c r="AB790" i="1" s="1"/>
  <c r="AA791" i="1"/>
  <c r="AB791" i="1" s="1"/>
  <c r="AA792" i="1"/>
  <c r="AB792" i="1" s="1"/>
  <c r="AA793" i="1"/>
  <c r="AB793" i="1" s="1"/>
  <c r="AA794" i="1"/>
  <c r="AB794" i="1" s="1"/>
  <c r="AA795" i="1"/>
  <c r="AB795" i="1" s="1"/>
  <c r="AA796" i="1"/>
  <c r="AB796" i="1" s="1"/>
  <c r="AA797" i="1"/>
  <c r="AB797" i="1" s="1"/>
  <c r="AA798" i="1"/>
  <c r="AB798" i="1" s="1"/>
  <c r="AA799" i="1"/>
  <c r="AB799" i="1" s="1"/>
  <c r="AA800" i="1"/>
  <c r="AB800" i="1" s="1"/>
  <c r="AA801" i="1"/>
  <c r="AB801" i="1" s="1"/>
  <c r="AA802" i="1"/>
  <c r="AB802" i="1" s="1"/>
  <c r="AA803" i="1"/>
  <c r="AB803" i="1" s="1"/>
  <c r="AA804" i="1"/>
  <c r="AB804" i="1" s="1"/>
  <c r="AA805" i="1"/>
  <c r="AB805" i="1" s="1"/>
  <c r="AA806" i="1"/>
  <c r="AB806" i="1" s="1"/>
  <c r="AA807" i="1"/>
  <c r="AB807" i="1" s="1"/>
  <c r="AA808" i="1"/>
  <c r="AB808" i="1" s="1"/>
  <c r="AA809" i="1"/>
  <c r="AB809" i="1" s="1"/>
  <c r="AA810" i="1"/>
  <c r="AB810" i="1" s="1"/>
  <c r="AA811" i="1"/>
  <c r="AB811" i="1" s="1"/>
  <c r="AA812" i="1"/>
  <c r="AB812" i="1" s="1"/>
  <c r="AA813" i="1"/>
  <c r="AB813" i="1" s="1"/>
  <c r="AA814" i="1"/>
  <c r="AB814" i="1" s="1"/>
  <c r="AA815" i="1"/>
  <c r="AB815" i="1" s="1"/>
  <c r="AA816" i="1"/>
  <c r="AB816" i="1" s="1"/>
  <c r="AA817" i="1"/>
  <c r="AB817" i="1" s="1"/>
  <c r="AA818" i="1"/>
  <c r="AB818" i="1" s="1"/>
  <c r="AA819" i="1"/>
  <c r="AB819" i="1" s="1"/>
  <c r="AA820" i="1"/>
  <c r="AB820" i="1" s="1"/>
  <c r="AA821" i="1"/>
  <c r="AB821" i="1" s="1"/>
  <c r="AA822" i="1"/>
  <c r="AB822" i="1" s="1"/>
  <c r="AA823" i="1"/>
  <c r="AB823" i="1" s="1"/>
  <c r="AA824" i="1"/>
  <c r="AB824" i="1" s="1"/>
  <c r="AA825" i="1"/>
  <c r="AB825" i="1" s="1"/>
  <c r="AA826" i="1"/>
  <c r="AB826" i="1" s="1"/>
  <c r="AA827" i="1"/>
  <c r="AB827" i="1" s="1"/>
  <c r="AA828" i="1"/>
  <c r="AB828" i="1" s="1"/>
  <c r="AA829" i="1"/>
  <c r="AB829" i="1" s="1"/>
  <c r="AA830" i="1"/>
  <c r="AB830" i="1" s="1"/>
  <c r="AA831" i="1"/>
  <c r="AB831" i="1" s="1"/>
  <c r="AA832" i="1"/>
  <c r="AB832" i="1" s="1"/>
  <c r="AA833" i="1"/>
  <c r="AB833" i="1" s="1"/>
  <c r="AA834" i="1"/>
  <c r="AB834" i="1" s="1"/>
  <c r="AA835" i="1"/>
  <c r="AB835" i="1" s="1"/>
  <c r="AA836" i="1"/>
  <c r="AB836" i="1" s="1"/>
  <c r="AA837" i="1"/>
  <c r="AB837" i="1" s="1"/>
  <c r="AA838" i="1"/>
  <c r="AB838" i="1" s="1"/>
  <c r="AA839" i="1"/>
  <c r="AB839" i="1" s="1"/>
  <c r="AA840" i="1"/>
  <c r="AB840" i="1" s="1"/>
  <c r="AA841" i="1"/>
  <c r="AB841" i="1" s="1"/>
  <c r="AA842" i="1"/>
  <c r="AB842" i="1" s="1"/>
  <c r="AA843" i="1"/>
  <c r="AB843" i="1" s="1"/>
  <c r="AA844" i="1"/>
  <c r="AB844" i="1" s="1"/>
  <c r="AA845" i="1"/>
  <c r="AB845" i="1" s="1"/>
  <c r="AA846" i="1"/>
  <c r="AB846" i="1" s="1"/>
  <c r="AA847" i="1"/>
  <c r="AB847" i="1" s="1"/>
  <c r="AA848" i="1"/>
  <c r="AB848" i="1" s="1"/>
  <c r="AA849" i="1"/>
  <c r="AB849" i="1" s="1"/>
  <c r="AA850" i="1"/>
  <c r="AB850" i="1" s="1"/>
  <c r="AA851" i="1"/>
  <c r="AB851" i="1" s="1"/>
  <c r="AA852" i="1"/>
  <c r="AB852" i="1" s="1"/>
  <c r="AA853" i="1"/>
  <c r="AB853" i="1" s="1"/>
  <c r="AA854" i="1"/>
  <c r="AB854" i="1" s="1"/>
  <c r="AA855" i="1"/>
  <c r="AB855" i="1" s="1"/>
  <c r="AA856" i="1"/>
  <c r="AB856" i="1" s="1"/>
  <c r="AA857" i="1"/>
  <c r="AB857" i="1" s="1"/>
  <c r="AA858" i="1"/>
  <c r="AB858" i="1" s="1"/>
  <c r="AA859" i="1"/>
  <c r="AB859" i="1" s="1"/>
  <c r="AA860" i="1"/>
  <c r="AB860" i="1" s="1"/>
  <c r="AA861" i="1"/>
  <c r="AB861" i="1" s="1"/>
  <c r="AA862" i="1"/>
  <c r="AB862" i="1" s="1"/>
  <c r="AA863" i="1"/>
  <c r="AB863" i="1" s="1"/>
  <c r="AA864" i="1"/>
  <c r="AB864" i="1" s="1"/>
  <c r="AA865" i="1"/>
  <c r="AB865" i="1" s="1"/>
  <c r="AA866" i="1"/>
  <c r="AB866" i="1" s="1"/>
  <c r="AA867" i="1"/>
  <c r="AB867" i="1" s="1"/>
  <c r="AA868" i="1"/>
  <c r="AB868" i="1" s="1"/>
  <c r="AA869" i="1"/>
  <c r="AB869" i="1" s="1"/>
  <c r="AA870" i="1"/>
  <c r="AB870" i="1" s="1"/>
  <c r="AA871" i="1"/>
  <c r="AB871" i="1" s="1"/>
  <c r="AA872" i="1"/>
  <c r="AB872" i="1" s="1"/>
  <c r="AA873" i="1"/>
  <c r="AB873" i="1" s="1"/>
  <c r="AA874" i="1"/>
  <c r="AB874" i="1" s="1"/>
  <c r="AA875" i="1"/>
  <c r="AB875" i="1" s="1"/>
  <c r="AA876" i="1"/>
  <c r="AB876" i="1" s="1"/>
  <c r="AA877" i="1"/>
  <c r="AB877" i="1" s="1"/>
  <c r="AA878" i="1"/>
  <c r="AB878" i="1" s="1"/>
  <c r="AA879" i="1"/>
  <c r="AB879" i="1" s="1"/>
  <c r="AA880" i="1"/>
  <c r="AB880" i="1" s="1"/>
  <c r="AA881" i="1"/>
  <c r="AB881" i="1" s="1"/>
  <c r="AA882" i="1"/>
  <c r="AB882" i="1" s="1"/>
  <c r="AA883" i="1"/>
  <c r="AB883" i="1" s="1"/>
  <c r="AA884" i="1"/>
  <c r="AB884" i="1" s="1"/>
  <c r="AA885" i="1"/>
  <c r="AB885" i="1" s="1"/>
  <c r="AA886" i="1"/>
  <c r="AB886" i="1" s="1"/>
  <c r="AA887" i="1"/>
  <c r="AB887" i="1" s="1"/>
  <c r="AA888" i="1"/>
  <c r="AB888" i="1" s="1"/>
  <c r="AA889" i="1"/>
  <c r="AB889" i="1" s="1"/>
  <c r="AA890" i="1"/>
  <c r="AB890" i="1" s="1"/>
  <c r="AA891" i="1"/>
  <c r="AB891" i="1" s="1"/>
  <c r="AA892" i="1"/>
  <c r="AB892" i="1" s="1"/>
  <c r="AA893" i="1"/>
  <c r="AB893" i="1" s="1"/>
  <c r="AA894" i="1"/>
  <c r="AB894" i="1" s="1"/>
  <c r="AA895" i="1"/>
  <c r="AB895" i="1" s="1"/>
  <c r="AA896" i="1"/>
  <c r="AB896" i="1" s="1"/>
  <c r="AA897" i="1"/>
  <c r="AB897" i="1" s="1"/>
  <c r="AA898" i="1"/>
  <c r="AB898" i="1" s="1"/>
  <c r="AA899" i="1"/>
  <c r="AB899" i="1" s="1"/>
  <c r="AA900" i="1"/>
  <c r="AB900" i="1" s="1"/>
  <c r="AA901" i="1"/>
  <c r="AB901" i="1" s="1"/>
  <c r="AA902" i="1"/>
  <c r="AB902" i="1" s="1"/>
  <c r="AA903" i="1"/>
  <c r="AB903" i="1" s="1"/>
  <c r="AA904" i="1"/>
  <c r="AB904" i="1" s="1"/>
  <c r="AA905" i="1"/>
  <c r="AB905" i="1" s="1"/>
  <c r="AA906" i="1"/>
  <c r="AB906" i="1" s="1"/>
  <c r="AA907" i="1"/>
  <c r="AB907" i="1" s="1"/>
  <c r="AA908" i="1"/>
  <c r="AB908" i="1" s="1"/>
  <c r="AA909" i="1"/>
  <c r="AB909" i="1" s="1"/>
  <c r="AA910" i="1"/>
  <c r="AB910" i="1" s="1"/>
  <c r="AA911" i="1"/>
  <c r="AB911" i="1" s="1"/>
  <c r="AA912" i="1"/>
  <c r="AB912" i="1" s="1"/>
  <c r="AA913" i="1"/>
  <c r="AB913" i="1" s="1"/>
  <c r="AA914" i="1"/>
  <c r="AB914" i="1" s="1"/>
  <c r="AA915" i="1"/>
  <c r="AB915" i="1" s="1"/>
  <c r="AA916" i="1"/>
  <c r="AB916" i="1" s="1"/>
  <c r="AA917" i="1"/>
  <c r="AB917" i="1" s="1"/>
  <c r="AA918" i="1"/>
  <c r="AB918" i="1" s="1"/>
  <c r="AA919" i="1"/>
  <c r="AB919" i="1" s="1"/>
  <c r="AA920" i="1"/>
  <c r="AB920" i="1" s="1"/>
  <c r="AA921" i="1"/>
  <c r="AB921" i="1" s="1"/>
  <c r="AA922" i="1"/>
  <c r="AB922" i="1" s="1"/>
  <c r="AA923" i="1"/>
  <c r="AB923" i="1" s="1"/>
  <c r="AA924" i="1"/>
  <c r="AB924" i="1" s="1"/>
  <c r="AA925" i="1"/>
  <c r="AB925" i="1" s="1"/>
  <c r="AA926" i="1"/>
  <c r="AB926" i="1" s="1"/>
  <c r="AA927" i="1"/>
  <c r="AB927" i="1" s="1"/>
  <c r="AA928" i="1"/>
  <c r="AB928" i="1" s="1"/>
  <c r="AA929" i="1"/>
  <c r="AB929" i="1" s="1"/>
  <c r="AA930" i="1"/>
  <c r="AB930" i="1" s="1"/>
  <c r="AA931" i="1"/>
  <c r="AB931" i="1" s="1"/>
  <c r="AA932" i="1"/>
  <c r="AB932" i="1" s="1"/>
  <c r="AA933" i="1"/>
  <c r="AB933" i="1" s="1"/>
  <c r="AA934" i="1"/>
  <c r="AB934" i="1" s="1"/>
  <c r="AA935" i="1"/>
  <c r="AB935" i="1" s="1"/>
  <c r="AA936" i="1"/>
  <c r="AB936" i="1" s="1"/>
  <c r="AA937" i="1"/>
  <c r="AB937" i="1" s="1"/>
  <c r="AA938" i="1"/>
  <c r="AB938" i="1" s="1"/>
  <c r="AA939" i="1"/>
  <c r="AB939" i="1" s="1"/>
  <c r="AA940" i="1"/>
  <c r="AB940" i="1" s="1"/>
  <c r="AA941" i="1"/>
  <c r="AB941" i="1" s="1"/>
  <c r="AA942" i="1"/>
  <c r="AB942" i="1" s="1"/>
  <c r="AA943" i="1"/>
  <c r="AB943" i="1" s="1"/>
  <c r="AA944" i="1"/>
  <c r="AB944" i="1" s="1"/>
  <c r="AA945" i="1"/>
  <c r="AB945" i="1" s="1"/>
  <c r="AA946" i="1"/>
  <c r="AB946" i="1" s="1"/>
  <c r="AA947" i="1"/>
  <c r="AB947" i="1" s="1"/>
  <c r="AA948" i="1"/>
  <c r="AB948" i="1" s="1"/>
  <c r="AA949" i="1"/>
  <c r="AB949" i="1" s="1"/>
  <c r="AA950" i="1"/>
  <c r="AB950" i="1" s="1"/>
  <c r="AA951" i="1"/>
  <c r="AB951" i="1" s="1"/>
  <c r="AA952" i="1"/>
  <c r="AB952" i="1" s="1"/>
  <c r="AA953" i="1"/>
  <c r="AB953" i="1" s="1"/>
  <c r="AA954" i="1"/>
  <c r="AB954" i="1" s="1"/>
  <c r="AA955" i="1"/>
  <c r="AB955" i="1" s="1"/>
  <c r="AA956" i="1"/>
  <c r="AB956" i="1" s="1"/>
  <c r="AA957" i="1"/>
  <c r="AB957" i="1" s="1"/>
  <c r="AA958" i="1"/>
  <c r="AB958" i="1" s="1"/>
  <c r="AA959" i="1"/>
  <c r="AB959" i="1" s="1"/>
  <c r="AA960" i="1"/>
  <c r="AB960" i="1" s="1"/>
  <c r="AA961" i="1"/>
  <c r="AB961" i="1" s="1"/>
  <c r="AA962" i="1"/>
  <c r="AB962" i="1" s="1"/>
  <c r="AA963" i="1"/>
  <c r="AB963" i="1" s="1"/>
  <c r="AA964" i="1"/>
  <c r="AB964" i="1" s="1"/>
  <c r="AA965" i="1"/>
  <c r="AB965" i="1" s="1"/>
  <c r="AA966" i="1"/>
  <c r="AB966" i="1" s="1"/>
  <c r="AA967" i="1"/>
  <c r="AB967" i="1" s="1"/>
  <c r="AA968" i="1"/>
  <c r="AB968" i="1" s="1"/>
  <c r="AA969" i="1"/>
  <c r="AB969" i="1" s="1"/>
  <c r="AA970" i="1"/>
  <c r="AB970" i="1" s="1"/>
  <c r="AA971" i="1"/>
  <c r="AB971" i="1" s="1"/>
  <c r="AA972" i="1"/>
  <c r="AB972" i="1" s="1"/>
  <c r="AA973" i="1"/>
  <c r="AB973" i="1" s="1"/>
  <c r="AA974" i="1"/>
  <c r="AB974" i="1" s="1"/>
  <c r="AA975" i="1"/>
  <c r="AB975" i="1" s="1"/>
  <c r="AA976" i="1"/>
  <c r="AB976" i="1" s="1"/>
  <c r="AA977" i="1"/>
  <c r="AB977" i="1" s="1"/>
  <c r="AA978" i="1"/>
  <c r="AB978" i="1" s="1"/>
  <c r="AA979" i="1"/>
  <c r="AB979" i="1" s="1"/>
  <c r="AA980" i="1"/>
  <c r="AB980" i="1" s="1"/>
  <c r="AA981" i="1"/>
  <c r="AB981" i="1" s="1"/>
  <c r="AA982" i="1"/>
  <c r="AB982" i="1" s="1"/>
  <c r="AA983" i="1"/>
  <c r="AB983" i="1" s="1"/>
  <c r="AA984" i="1"/>
  <c r="AB984" i="1" s="1"/>
  <c r="AA985" i="1"/>
  <c r="AB985" i="1" s="1"/>
  <c r="AA986" i="1"/>
  <c r="AB986" i="1" s="1"/>
  <c r="AA987" i="1"/>
  <c r="AB987" i="1" s="1"/>
  <c r="AA988" i="1"/>
  <c r="AB988" i="1" s="1"/>
  <c r="AA989" i="1"/>
  <c r="AB989" i="1" s="1"/>
  <c r="AA990" i="1"/>
  <c r="AB990" i="1" s="1"/>
  <c r="AA991" i="1"/>
  <c r="AB991" i="1" s="1"/>
  <c r="AA992" i="1"/>
  <c r="AB992" i="1" s="1"/>
  <c r="AA993" i="1"/>
  <c r="AB993" i="1" s="1"/>
  <c r="AA994" i="1"/>
  <c r="AB994" i="1" s="1"/>
  <c r="AA995" i="1"/>
  <c r="AB995" i="1" s="1"/>
  <c r="AA996" i="1"/>
  <c r="AB996" i="1" s="1"/>
  <c r="AA997" i="1"/>
  <c r="AB997" i="1" s="1"/>
  <c r="AA998" i="1"/>
  <c r="AB998" i="1" s="1"/>
  <c r="AA999" i="1"/>
  <c r="AB999" i="1" s="1"/>
  <c r="AA1000" i="1"/>
  <c r="AB1000" i="1" s="1"/>
  <c r="AA1001" i="1"/>
  <c r="AB1001" i="1" s="1"/>
  <c r="AA1002" i="1"/>
  <c r="AB1002" i="1" s="1"/>
  <c r="AA1003" i="1"/>
  <c r="AB1003" i="1" s="1"/>
  <c r="AA1004" i="1"/>
  <c r="AB1004" i="1" s="1"/>
  <c r="AA1005" i="1"/>
  <c r="AB1005" i="1" s="1"/>
  <c r="AA1006" i="1"/>
  <c r="AB1006" i="1" s="1"/>
  <c r="AA1007" i="1"/>
  <c r="AB1007" i="1" s="1"/>
  <c r="AA1008" i="1"/>
  <c r="AB1008" i="1" s="1"/>
  <c r="AA1009" i="1"/>
  <c r="AB1009" i="1" s="1"/>
  <c r="AA1010" i="1"/>
  <c r="AB1010" i="1" s="1"/>
  <c r="AA1011" i="1"/>
  <c r="AB1011" i="1" s="1"/>
  <c r="AA1012" i="1"/>
  <c r="AB1012" i="1" s="1"/>
  <c r="AA1013" i="1"/>
  <c r="AB1013" i="1" s="1"/>
  <c r="AA1014" i="1"/>
  <c r="AB1014" i="1" s="1"/>
  <c r="AA1015" i="1"/>
  <c r="AB1015" i="1" s="1"/>
  <c r="AA1016" i="1"/>
  <c r="AB1016" i="1" s="1"/>
  <c r="AA1017" i="1"/>
  <c r="AB1017" i="1" s="1"/>
  <c r="AA1018" i="1"/>
  <c r="AB1018" i="1" s="1"/>
  <c r="AA1019" i="1"/>
  <c r="AB1019" i="1" s="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G32" i="4"/>
  <c r="P27" i="2"/>
  <c r="P12" i="2"/>
  <c r="G29" i="4"/>
  <c r="G36" i="4"/>
  <c r="P15" i="2"/>
  <c r="L29" i="4"/>
  <c r="P14" i="2"/>
  <c r="G14" i="2"/>
  <c r="P26" i="2"/>
  <c r="P4" i="2"/>
  <c r="P17" i="2"/>
  <c r="B13" i="2"/>
  <c r="B10" i="2"/>
  <c r="K15" i="2"/>
  <c r="B11" i="2"/>
  <c r="P10" i="2"/>
  <c r="G30" i="4"/>
  <c r="H9" i="2"/>
  <c r="P25" i="2"/>
  <c r="L33" i="4"/>
  <c r="K12" i="2"/>
  <c r="K11" i="2"/>
  <c r="L32" i="4"/>
  <c r="P13" i="2"/>
  <c r="L34" i="4"/>
  <c r="H12" i="2"/>
  <c r="G13" i="2"/>
  <c r="H15" i="2"/>
  <c r="G35" i="4"/>
  <c r="G33" i="4"/>
  <c r="G31" i="4"/>
  <c r="G10" i="2"/>
  <c r="B12" i="2"/>
  <c r="G6" i="2"/>
  <c r="P9" i="2"/>
  <c r="G15" i="2"/>
  <c r="P28" i="2"/>
  <c r="P5" i="2"/>
  <c r="H4" i="2"/>
  <c r="G7" i="2"/>
  <c r="P8" i="2"/>
  <c r="P23" i="2"/>
  <c r="H13" i="2"/>
  <c r="L31" i="4"/>
  <c r="P7" i="2"/>
  <c r="L28" i="4"/>
  <c r="G5" i="2"/>
  <c r="L30" i="4"/>
  <c r="G28" i="4"/>
  <c r="L35" i="4"/>
  <c r="L37" i="4"/>
  <c r="H14" i="2"/>
  <c r="L36" i="4"/>
  <c r="P11" i="2"/>
  <c r="G8" i="2"/>
  <c r="P6" i="2"/>
  <c r="P20" i="2"/>
  <c r="H5" i="2"/>
  <c r="H11" i="2"/>
  <c r="P19" i="2"/>
  <c r="P18" i="2"/>
  <c r="K16" i="2"/>
  <c r="H6" i="2"/>
  <c r="B15" i="2"/>
  <c r="P24" i="2"/>
  <c r="G12" i="2"/>
  <c r="P22" i="2"/>
  <c r="P21" i="2"/>
  <c r="G37" i="4"/>
  <c r="P16" i="2"/>
  <c r="K13" i="2"/>
  <c r="G4" i="2"/>
  <c r="G34" i="4"/>
  <c r="K14" i="2"/>
  <c r="B14" i="2" l="1"/>
  <c r="H8" i="2"/>
  <c r="H7" i="2"/>
  <c r="H10" i="2"/>
  <c r="G11" i="2"/>
  <c r="G9" i="2"/>
</calcChain>
</file>

<file path=xl/sharedStrings.xml><?xml version="1.0" encoding="utf-8"?>
<sst xmlns="http://schemas.openxmlformats.org/spreadsheetml/2006/main" count="15411" uniqueCount="3720">
  <si>
    <t>Order Date</t>
  </si>
  <si>
    <t>Ship Date</t>
  </si>
  <si>
    <t>Customer ID</t>
  </si>
  <si>
    <t>Customer Name</t>
  </si>
  <si>
    <t>Gender</t>
  </si>
  <si>
    <t>Age</t>
  </si>
  <si>
    <t>City</t>
  </si>
  <si>
    <t>State</t>
  </si>
  <si>
    <t>Product ID</t>
  </si>
  <si>
    <t>Category</t>
  </si>
  <si>
    <t>Sub Category</t>
  </si>
  <si>
    <t>Product Name</t>
  </si>
  <si>
    <t>Brand</t>
  </si>
  <si>
    <t>Quantity</t>
  </si>
  <si>
    <t>Unit Price</t>
  </si>
  <si>
    <t>Discount %</t>
  </si>
  <si>
    <t>Cost</t>
  </si>
  <si>
    <t>Payment Mode</t>
  </si>
  <si>
    <t>Order Status</t>
  </si>
  <si>
    <t>Shipping Mode</t>
  </si>
  <si>
    <t>Delivery Days</t>
  </si>
  <si>
    <t>Quarter</t>
  </si>
  <si>
    <t>Year</t>
  </si>
  <si>
    <t>ORD00001</t>
  </si>
  <si>
    <t>C3873</t>
  </si>
  <si>
    <t>Male</t>
  </si>
  <si>
    <t>P444</t>
  </si>
  <si>
    <t>Beauty</t>
  </si>
  <si>
    <t>Skincare</t>
  </si>
  <si>
    <t>Face Wash</t>
  </si>
  <si>
    <t>Nivea</t>
  </si>
  <si>
    <t>COD</t>
  </si>
  <si>
    <t>Returned</t>
  </si>
  <si>
    <t>Standard</t>
  </si>
  <si>
    <t>Q1</t>
  </si>
  <si>
    <t>ORD00002</t>
  </si>
  <si>
    <t>C7239</t>
  </si>
  <si>
    <t>P225</t>
  </si>
  <si>
    <t>Fashion</t>
  </si>
  <si>
    <t>Shirt</t>
  </si>
  <si>
    <t>Polo</t>
  </si>
  <si>
    <t>Puma</t>
  </si>
  <si>
    <t>Credit Card</t>
  </si>
  <si>
    <t>Cancelled</t>
  </si>
  <si>
    <t>Express</t>
  </si>
  <si>
    <t>Q3</t>
  </si>
  <si>
    <t>ORD00003</t>
  </si>
  <si>
    <t>C4974</t>
  </si>
  <si>
    <t>P954</t>
  </si>
  <si>
    <t>Q2</t>
  </si>
  <si>
    <t>ORD00004</t>
  </si>
  <si>
    <t>C5072</t>
  </si>
  <si>
    <t>Female</t>
  </si>
  <si>
    <t>P414</t>
  </si>
  <si>
    <t>Sports</t>
  </si>
  <si>
    <t>Fitness</t>
  </si>
  <si>
    <t>Yoga Mat</t>
  </si>
  <si>
    <t>Decathlon</t>
  </si>
  <si>
    <t>Debit Card</t>
  </si>
  <si>
    <t>ORD00005</t>
  </si>
  <si>
    <t>C2414</t>
  </si>
  <si>
    <t>P160</t>
  </si>
  <si>
    <t>Delivered</t>
  </si>
  <si>
    <t>ORD00006</t>
  </si>
  <si>
    <t>C5062</t>
  </si>
  <si>
    <t>P393</t>
  </si>
  <si>
    <t>Home</t>
  </si>
  <si>
    <t>Kitchen</t>
  </si>
  <si>
    <t>Mixer</t>
  </si>
  <si>
    <t>Philips</t>
  </si>
  <si>
    <t>Wallet</t>
  </si>
  <si>
    <t>Pending</t>
  </si>
  <si>
    <t>ORD00007</t>
  </si>
  <si>
    <t>C2899</t>
  </si>
  <si>
    <t>P787</t>
  </si>
  <si>
    <t>Same Day</t>
  </si>
  <si>
    <t>ORD00008</t>
  </si>
  <si>
    <t>C5582</t>
  </si>
  <si>
    <t>P897</t>
  </si>
  <si>
    <t>ORD00009</t>
  </si>
  <si>
    <t>C5931</t>
  </si>
  <si>
    <t>P259</t>
  </si>
  <si>
    <t>ORD00010</t>
  </si>
  <si>
    <t>C7304</t>
  </si>
  <si>
    <t>P691</t>
  </si>
  <si>
    <t>ORD00011</t>
  </si>
  <si>
    <t>C6637</t>
  </si>
  <si>
    <t>P497</t>
  </si>
  <si>
    <t>ORD00012</t>
  </si>
  <si>
    <t>C7119</t>
  </si>
  <si>
    <t>P165</t>
  </si>
  <si>
    <t>ORD00013</t>
  </si>
  <si>
    <t>C5491</t>
  </si>
  <si>
    <t>P919</t>
  </si>
  <si>
    <t>Q4</t>
  </si>
  <si>
    <t>ORD00014</t>
  </si>
  <si>
    <t>C7673</t>
  </si>
  <si>
    <t>P357</t>
  </si>
  <si>
    <t>Electronics</t>
  </si>
  <si>
    <t>Mobile</t>
  </si>
  <si>
    <t>Galaxy A55</t>
  </si>
  <si>
    <t>Samsung</t>
  </si>
  <si>
    <t>ORD00015</t>
  </si>
  <si>
    <t>C4301</t>
  </si>
  <si>
    <t>P902</t>
  </si>
  <si>
    <t>ORD00016</t>
  </si>
  <si>
    <t>C5335</t>
  </si>
  <si>
    <t>P674</t>
  </si>
  <si>
    <t>ORD00017</t>
  </si>
  <si>
    <t>C6532</t>
  </si>
  <si>
    <t>P924</t>
  </si>
  <si>
    <t>ORD00018</t>
  </si>
  <si>
    <t>C7166</t>
  </si>
  <si>
    <t>P398</t>
  </si>
  <si>
    <t>Furniture</t>
  </si>
  <si>
    <t>Chair</t>
  </si>
  <si>
    <t>IKEA</t>
  </si>
  <si>
    <t>UPI</t>
  </si>
  <si>
    <t>ORD00019</t>
  </si>
  <si>
    <t>C3936</t>
  </si>
  <si>
    <t>Grocery</t>
  </si>
  <si>
    <t>Snacks</t>
  </si>
  <si>
    <t>Biscuits</t>
  </si>
  <si>
    <t>Britannia</t>
  </si>
  <si>
    <t>ORD00020</t>
  </si>
  <si>
    <t>C3618</t>
  </si>
  <si>
    <t>P932</t>
  </si>
  <si>
    <t>Laptop</t>
  </si>
  <si>
    <t>Inspiron</t>
  </si>
  <si>
    <t>Dell</t>
  </si>
  <si>
    <t>ORD00021</t>
  </si>
  <si>
    <t>C8642</t>
  </si>
  <si>
    <t>P125</t>
  </si>
  <si>
    <t>ORD00022</t>
  </si>
  <si>
    <t>C9290</t>
  </si>
  <si>
    <t>P793</t>
  </si>
  <si>
    <t>ORD00023</t>
  </si>
  <si>
    <t>C1341</t>
  </si>
  <si>
    <t>P819</t>
  </si>
  <si>
    <t>Shoes</t>
  </si>
  <si>
    <t>Runner</t>
  </si>
  <si>
    <t>Nike</t>
  </si>
  <si>
    <t>ORD00024</t>
  </si>
  <si>
    <t>C3359</t>
  </si>
  <si>
    <t>P804</t>
  </si>
  <si>
    <t>ORD00025</t>
  </si>
  <si>
    <t>C3148</t>
  </si>
  <si>
    <t>P503</t>
  </si>
  <si>
    <t>ORD00026</t>
  </si>
  <si>
    <t>C5003</t>
  </si>
  <si>
    <t>P343</t>
  </si>
  <si>
    <t>ORD00027</t>
  </si>
  <si>
    <t>C6717</t>
  </si>
  <si>
    <t>P630</t>
  </si>
  <si>
    <t>ORD00028</t>
  </si>
  <si>
    <t>C4703</t>
  </si>
  <si>
    <t>P634</t>
  </si>
  <si>
    <t>ORD00029</t>
  </si>
  <si>
    <t>C5041</t>
  </si>
  <si>
    <t>P577</t>
  </si>
  <si>
    <t>ORD00030</t>
  </si>
  <si>
    <t>C5040</t>
  </si>
  <si>
    <t>P732</t>
  </si>
  <si>
    <t>ORD00031</t>
  </si>
  <si>
    <t>C7886</t>
  </si>
  <si>
    <t>P479</t>
  </si>
  <si>
    <t>ORD00032</t>
  </si>
  <si>
    <t>C5755</t>
  </si>
  <si>
    <t>P517</t>
  </si>
  <si>
    <t>ORD00033</t>
  </si>
  <si>
    <t>C9553</t>
  </si>
  <si>
    <t>P227</t>
  </si>
  <si>
    <t>ORD00034</t>
  </si>
  <si>
    <t>C9792</t>
  </si>
  <si>
    <t>P453</t>
  </si>
  <si>
    <t>ORD00035</t>
  </si>
  <si>
    <t>C6215</t>
  </si>
  <si>
    <t>P870</t>
  </si>
  <si>
    <t>ORD00036</t>
  </si>
  <si>
    <t>C1088</t>
  </si>
  <si>
    <t>P802</t>
  </si>
  <si>
    <t>ORD00037</t>
  </si>
  <si>
    <t>C4844</t>
  </si>
  <si>
    <t>P756</t>
  </si>
  <si>
    <t>ORD00038</t>
  </si>
  <si>
    <t>C8467</t>
  </si>
  <si>
    <t>P161</t>
  </si>
  <si>
    <t>ORD00039</t>
  </si>
  <si>
    <t>C6566</t>
  </si>
  <si>
    <t>P651</t>
  </si>
  <si>
    <t>ORD00040</t>
  </si>
  <si>
    <t>C4502</t>
  </si>
  <si>
    <t>P296</t>
  </si>
  <si>
    <t>ORD00041</t>
  </si>
  <si>
    <t>C8509</t>
  </si>
  <si>
    <t>P723</t>
  </si>
  <si>
    <t>ORD00042</t>
  </si>
  <si>
    <t>C8158</t>
  </si>
  <si>
    <t>P855</t>
  </si>
  <si>
    <t>ORD00043</t>
  </si>
  <si>
    <t>C4214</t>
  </si>
  <si>
    <t>P678</t>
  </si>
  <si>
    <t>ORD00044</t>
  </si>
  <si>
    <t>C5419</t>
  </si>
  <si>
    <t>P755</t>
  </si>
  <si>
    <t>ORD00045</t>
  </si>
  <si>
    <t>C7182</t>
  </si>
  <si>
    <t>P829</t>
  </si>
  <si>
    <t>ORD00046</t>
  </si>
  <si>
    <t>P149</t>
  </si>
  <si>
    <t>ORD00047</t>
  </si>
  <si>
    <t>P133</t>
  </si>
  <si>
    <t>ORD00048</t>
  </si>
  <si>
    <t>C7524</t>
  </si>
  <si>
    <t>P511</t>
  </si>
  <si>
    <t>ORD00049</t>
  </si>
  <si>
    <t>C9159</t>
  </si>
  <si>
    <t>P815</t>
  </si>
  <si>
    <t>ORD00050</t>
  </si>
  <si>
    <t>C2742</t>
  </si>
  <si>
    <t>P403</t>
  </si>
  <si>
    <t>ORD00051</t>
  </si>
  <si>
    <t>C9194</t>
  </si>
  <si>
    <t>P606</t>
  </si>
  <si>
    <t>ORD00052</t>
  </si>
  <si>
    <t>C8290</t>
  </si>
  <si>
    <t>P189</t>
  </si>
  <si>
    <t>ORD00053</t>
  </si>
  <si>
    <t>C8262</t>
  </si>
  <si>
    <t>P845</t>
  </si>
  <si>
    <t>ORD00054</t>
  </si>
  <si>
    <t>C7923</t>
  </si>
  <si>
    <t>P696</t>
  </si>
  <si>
    <t>ORD00055</t>
  </si>
  <si>
    <t>C7077</t>
  </si>
  <si>
    <t>P490</t>
  </si>
  <si>
    <t>ORD00056</t>
  </si>
  <si>
    <t>C4184</t>
  </si>
  <si>
    <t>P632</t>
  </si>
  <si>
    <t>ORD00057</t>
  </si>
  <si>
    <t>C9320</t>
  </si>
  <si>
    <t>P111</t>
  </si>
  <si>
    <t>ORD00058</t>
  </si>
  <si>
    <t>C3964</t>
  </si>
  <si>
    <t>P459</t>
  </si>
  <si>
    <t>ORD00059</t>
  </si>
  <si>
    <t>C2234</t>
  </si>
  <si>
    <t>P794</t>
  </si>
  <si>
    <t>ORD00060</t>
  </si>
  <si>
    <t>C6922</t>
  </si>
  <si>
    <t>P448</t>
  </si>
  <si>
    <t>ORD00061</t>
  </si>
  <si>
    <t>C3470</t>
  </si>
  <si>
    <t>ORD00062</t>
  </si>
  <si>
    <t>C7169</t>
  </si>
  <si>
    <t>P757</t>
  </si>
  <si>
    <t>ORD00063</t>
  </si>
  <si>
    <t>C2166</t>
  </si>
  <si>
    <t>P892</t>
  </si>
  <si>
    <t>ORD00064</t>
  </si>
  <si>
    <t>C5134</t>
  </si>
  <si>
    <t>P961</t>
  </si>
  <si>
    <t>ORD00065</t>
  </si>
  <si>
    <t>C7880</t>
  </si>
  <si>
    <t>P763</t>
  </si>
  <si>
    <t>ORD00066</t>
  </si>
  <si>
    <t>C6667</t>
  </si>
  <si>
    <t>P625</t>
  </si>
  <si>
    <t>ORD00067</t>
  </si>
  <si>
    <t>C8193</t>
  </si>
  <si>
    <t>P721</t>
  </si>
  <si>
    <t>ORD00068</t>
  </si>
  <si>
    <t>C9702</t>
  </si>
  <si>
    <t>P552</t>
  </si>
  <si>
    <t>ORD00069</t>
  </si>
  <si>
    <t>C9364</t>
  </si>
  <si>
    <t>P790</t>
  </si>
  <si>
    <t>ORD00070</t>
  </si>
  <si>
    <t>C6966</t>
  </si>
  <si>
    <t>P717</t>
  </si>
  <si>
    <t>ORD00071</t>
  </si>
  <si>
    <t>C6428</t>
  </si>
  <si>
    <t>P353</t>
  </si>
  <si>
    <t>ORD00072</t>
  </si>
  <si>
    <t>C4706</t>
  </si>
  <si>
    <t>P826</t>
  </si>
  <si>
    <t>ORD00073</t>
  </si>
  <si>
    <t>C5390</t>
  </si>
  <si>
    <t>P359</t>
  </si>
  <si>
    <t>ORD00074</t>
  </si>
  <si>
    <t>C8038</t>
  </si>
  <si>
    <t>P789</t>
  </si>
  <si>
    <t>ORD00075</t>
  </si>
  <si>
    <t>P356</t>
  </si>
  <si>
    <t>ORD00076</t>
  </si>
  <si>
    <t>C9903</t>
  </si>
  <si>
    <t>P176</t>
  </si>
  <si>
    <t>ORD00077</t>
  </si>
  <si>
    <t>C2634</t>
  </si>
  <si>
    <t>P660</t>
  </si>
  <si>
    <t>ORD00078</t>
  </si>
  <si>
    <t>C2137</t>
  </si>
  <si>
    <t>P543</t>
  </si>
  <si>
    <t>ORD00079</t>
  </si>
  <si>
    <t>C3674</t>
  </si>
  <si>
    <t>P223</t>
  </si>
  <si>
    <t>ORD00080</t>
  </si>
  <si>
    <t>C2954</t>
  </si>
  <si>
    <t>P984</t>
  </si>
  <si>
    <t>ORD00081</t>
  </si>
  <si>
    <t>C8864</t>
  </si>
  <si>
    <t>P248</t>
  </si>
  <si>
    <t>ORD00082</t>
  </si>
  <si>
    <t>C2685</t>
  </si>
  <si>
    <t>ORD00083</t>
  </si>
  <si>
    <t>C6364</t>
  </si>
  <si>
    <t>P995</t>
  </si>
  <si>
    <t>ORD00084</t>
  </si>
  <si>
    <t>C6326</t>
  </si>
  <si>
    <t>P485</t>
  </si>
  <si>
    <t>ORD00085</t>
  </si>
  <si>
    <t>C4913</t>
  </si>
  <si>
    <t>P816</t>
  </si>
  <si>
    <t>ORD00086</t>
  </si>
  <si>
    <t>C5164</t>
  </si>
  <si>
    <t>ORD00087</t>
  </si>
  <si>
    <t>C9233</t>
  </si>
  <si>
    <t>P535</t>
  </si>
  <si>
    <t>ORD00088</t>
  </si>
  <si>
    <t>C5521</t>
  </si>
  <si>
    <t>ORD00089</t>
  </si>
  <si>
    <t>C1038</t>
  </si>
  <si>
    <t>P853</t>
  </si>
  <si>
    <t>ORD00090</t>
  </si>
  <si>
    <t>C1000</t>
  </si>
  <si>
    <t>P454</t>
  </si>
  <si>
    <t>ORD00091</t>
  </si>
  <si>
    <t>C3108</t>
  </si>
  <si>
    <t>P885</t>
  </si>
  <si>
    <t>ORD00092</t>
  </si>
  <si>
    <t>C7213</t>
  </si>
  <si>
    <t>P480</t>
  </si>
  <si>
    <t>ORD00093</t>
  </si>
  <si>
    <t>C6249</t>
  </si>
  <si>
    <t>P482</t>
  </si>
  <si>
    <t>ORD00094</t>
  </si>
  <si>
    <t>C5246</t>
  </si>
  <si>
    <t>P623</t>
  </si>
  <si>
    <t>ORD00095</t>
  </si>
  <si>
    <t>C9481</t>
  </si>
  <si>
    <t>P104</t>
  </si>
  <si>
    <t>ORD00096</t>
  </si>
  <si>
    <t>C6516</t>
  </si>
  <si>
    <t>P476</t>
  </si>
  <si>
    <t>ORD00097</t>
  </si>
  <si>
    <t>C1634</t>
  </si>
  <si>
    <t>P232</t>
  </si>
  <si>
    <t>ORD00098</t>
  </si>
  <si>
    <t>C4858</t>
  </si>
  <si>
    <t>P976</t>
  </si>
  <si>
    <t>ORD00099</t>
  </si>
  <si>
    <t>C7168</t>
  </si>
  <si>
    <t>P210</t>
  </si>
  <si>
    <t>ORD00100</t>
  </si>
  <si>
    <t>C9522</t>
  </si>
  <si>
    <t>P828</t>
  </si>
  <si>
    <t>ORD00101</t>
  </si>
  <si>
    <t>C9744</t>
  </si>
  <si>
    <t>P604</t>
  </si>
  <si>
    <t>ORD00102</t>
  </si>
  <si>
    <t>C9889</t>
  </si>
  <si>
    <t>P785</t>
  </si>
  <si>
    <t>ORD00103</t>
  </si>
  <si>
    <t>C2823</t>
  </si>
  <si>
    <t>ORD00104</t>
  </si>
  <si>
    <t>C3116</t>
  </si>
  <si>
    <t>P110</t>
  </si>
  <si>
    <t>ORD00105</t>
  </si>
  <si>
    <t>C2903</t>
  </si>
  <si>
    <t>P576</t>
  </si>
  <si>
    <t>ORD00106</t>
  </si>
  <si>
    <t>C8011</t>
  </si>
  <si>
    <t>P250</t>
  </si>
  <si>
    <t>ORD00107</t>
  </si>
  <si>
    <t>C3402</t>
  </si>
  <si>
    <t>P977</t>
  </si>
  <si>
    <t>ORD00108</t>
  </si>
  <si>
    <t>C5900</t>
  </si>
  <si>
    <t>P230</t>
  </si>
  <si>
    <t>ORD00109</t>
  </si>
  <si>
    <t>C2312</t>
  </si>
  <si>
    <t>P554</t>
  </si>
  <si>
    <t>ORD00110</t>
  </si>
  <si>
    <t>C4825</t>
  </si>
  <si>
    <t>P587</t>
  </si>
  <si>
    <t>ORD00111</t>
  </si>
  <si>
    <t>C1465</t>
  </si>
  <si>
    <t>P944</t>
  </si>
  <si>
    <t>ORD00112</t>
  </si>
  <si>
    <t>C1346</t>
  </si>
  <si>
    <t>P550</t>
  </si>
  <si>
    <t>ORD00113</t>
  </si>
  <si>
    <t>C5486</t>
  </si>
  <si>
    <t>P350</t>
  </si>
  <si>
    <t>ORD00114</t>
  </si>
  <si>
    <t>C3152</t>
  </si>
  <si>
    <t>P957</t>
  </si>
  <si>
    <t>ORD00115</t>
  </si>
  <si>
    <t>C5079</t>
  </si>
  <si>
    <t>P746</t>
  </si>
  <si>
    <t>ORD00116</t>
  </si>
  <si>
    <t>C2315</t>
  </si>
  <si>
    <t>ORD00117</t>
  </si>
  <si>
    <t>C7042</t>
  </si>
  <si>
    <t>P858</t>
  </si>
  <si>
    <t>ORD00118</t>
  </si>
  <si>
    <t>C1118</t>
  </si>
  <si>
    <t>P570</t>
  </si>
  <si>
    <t>ORD00119</t>
  </si>
  <si>
    <t>C5634</t>
  </si>
  <si>
    <t>P730</t>
  </si>
  <si>
    <t>ORD00120</t>
  </si>
  <si>
    <t>C8914</t>
  </si>
  <si>
    <t>ORD00121</t>
  </si>
  <si>
    <t>C6746</t>
  </si>
  <si>
    <t>P108</t>
  </si>
  <si>
    <t>ORD00122</t>
  </si>
  <si>
    <t>C9547</t>
  </si>
  <si>
    <t>P464</t>
  </si>
  <si>
    <t>ORD00123</t>
  </si>
  <si>
    <t>C9053</t>
  </si>
  <si>
    <t>P177</t>
  </si>
  <si>
    <t>ORD00124</t>
  </si>
  <si>
    <t>C3262</t>
  </si>
  <si>
    <t>P752</t>
  </si>
  <si>
    <t>ORD00125</t>
  </si>
  <si>
    <t>C2808</t>
  </si>
  <si>
    <t>P143</t>
  </si>
  <si>
    <t>ORD00126</t>
  </si>
  <si>
    <t>C8574</t>
  </si>
  <si>
    <t>P527</t>
  </si>
  <si>
    <t>ORD00127</t>
  </si>
  <si>
    <t>C2658</t>
  </si>
  <si>
    <t>P962</t>
  </si>
  <si>
    <t>ORD00128</t>
  </si>
  <si>
    <t>C5991</t>
  </si>
  <si>
    <t>P384</t>
  </si>
  <si>
    <t>ORD00129</t>
  </si>
  <si>
    <t>C2146</t>
  </si>
  <si>
    <t>P261</t>
  </si>
  <si>
    <t>ORD00130</t>
  </si>
  <si>
    <t>C4815</t>
  </si>
  <si>
    <t>P920</t>
  </si>
  <si>
    <t>ORD00131</t>
  </si>
  <si>
    <t>C3531</t>
  </si>
  <si>
    <t>P783</t>
  </si>
  <si>
    <t>ORD00132</t>
  </si>
  <si>
    <t>C8102</t>
  </si>
  <si>
    <t>P613</t>
  </si>
  <si>
    <t>ORD00133</t>
  </si>
  <si>
    <t>C5568</t>
  </si>
  <si>
    <t>P475</t>
  </si>
  <si>
    <t>ORD00134</t>
  </si>
  <si>
    <t>C1816</t>
  </si>
  <si>
    <t>P561</t>
  </si>
  <si>
    <t>ORD00135</t>
  </si>
  <si>
    <t>C9416</t>
  </si>
  <si>
    <t>P701</t>
  </si>
  <si>
    <t>ORD00136</t>
  </si>
  <si>
    <t>C5765</t>
  </si>
  <si>
    <t>P814</t>
  </si>
  <si>
    <t>ORD00137</t>
  </si>
  <si>
    <t>C5953</t>
  </si>
  <si>
    <t>P126</t>
  </si>
  <si>
    <t>ORD00138</t>
  </si>
  <si>
    <t>C7054</t>
  </si>
  <si>
    <t>P981</t>
  </si>
  <si>
    <t>ORD00139</t>
  </si>
  <si>
    <t>C3319</t>
  </si>
  <si>
    <t>P252</t>
  </si>
  <si>
    <t>ORD00140</t>
  </si>
  <si>
    <t>C6559</t>
  </si>
  <si>
    <t>ORD00141</t>
  </si>
  <si>
    <t>C6325</t>
  </si>
  <si>
    <t>P773</t>
  </si>
  <si>
    <t>ORD00142</t>
  </si>
  <si>
    <t>C1447</t>
  </si>
  <si>
    <t>P628</t>
  </si>
  <si>
    <t>ORD00143</t>
  </si>
  <si>
    <t>C3118</t>
  </si>
  <si>
    <t>P411</t>
  </si>
  <si>
    <t>ORD00144</t>
  </si>
  <si>
    <t>C8300</t>
  </si>
  <si>
    <t>P847</t>
  </si>
  <si>
    <t>ORD00145</t>
  </si>
  <si>
    <t>C4482</t>
  </si>
  <si>
    <t>P835</t>
  </si>
  <si>
    <t>ORD00146</t>
  </si>
  <si>
    <t>C5766</t>
  </si>
  <si>
    <t>P518</t>
  </si>
  <si>
    <t>ORD00147</t>
  </si>
  <si>
    <t>C9907</t>
  </si>
  <si>
    <t>ORD00148</t>
  </si>
  <si>
    <t>C1167</t>
  </si>
  <si>
    <t>ORD00149</t>
  </si>
  <si>
    <t>C6049</t>
  </si>
  <si>
    <t>P895</t>
  </si>
  <si>
    <t>ORD00150</t>
  </si>
  <si>
    <t>C3455</t>
  </si>
  <si>
    <t>P547</t>
  </si>
  <si>
    <t>ORD00151</t>
  </si>
  <si>
    <t>C2403</t>
  </si>
  <si>
    <t>P251</t>
  </si>
  <si>
    <t>ORD00152</t>
  </si>
  <si>
    <t>C7952</t>
  </si>
  <si>
    <t>P800</t>
  </si>
  <si>
    <t>ORD00153</t>
  </si>
  <si>
    <t>C4061</t>
  </si>
  <si>
    <t>P293</t>
  </si>
  <si>
    <t>ORD00154</t>
  </si>
  <si>
    <t>C5129</t>
  </si>
  <si>
    <t>P127</t>
  </si>
  <si>
    <t>ORD00155</t>
  </si>
  <si>
    <t>C6704</t>
  </si>
  <si>
    <t>ORD00156</t>
  </si>
  <si>
    <t>C4633</t>
  </si>
  <si>
    <t>P688</t>
  </si>
  <si>
    <t>ORD00157</t>
  </si>
  <si>
    <t>C7951</t>
  </si>
  <si>
    <t>P361</t>
  </si>
  <si>
    <t>ORD00158</t>
  </si>
  <si>
    <t>C1393</t>
  </si>
  <si>
    <t>P619</t>
  </si>
  <si>
    <t>ORD00159</t>
  </si>
  <si>
    <t>C5824</t>
  </si>
  <si>
    <t>ORD00160</t>
  </si>
  <si>
    <t>C6265</t>
  </si>
  <si>
    <t>P241</t>
  </si>
  <si>
    <t>ORD00161</t>
  </si>
  <si>
    <t>C7663</t>
  </si>
  <si>
    <t>P592</t>
  </si>
  <si>
    <t>ORD00162</t>
  </si>
  <si>
    <t>C8015</t>
  </si>
  <si>
    <t>P473</t>
  </si>
  <si>
    <t>ORD00163</t>
  </si>
  <si>
    <t>C8712</t>
  </si>
  <si>
    <t>P673</t>
  </si>
  <si>
    <t>ORD00164</t>
  </si>
  <si>
    <t>C8082</t>
  </si>
  <si>
    <t>P996</t>
  </si>
  <si>
    <t>ORD00165</t>
  </si>
  <si>
    <t>C5565</t>
  </si>
  <si>
    <t>P383</t>
  </si>
  <si>
    <t>ORD00166</t>
  </si>
  <si>
    <t>C8473</t>
  </si>
  <si>
    <t>P474</t>
  </si>
  <si>
    <t>ORD00167</t>
  </si>
  <si>
    <t>C4924</t>
  </si>
  <si>
    <t>P590</t>
  </si>
  <si>
    <t>ORD00168</t>
  </si>
  <si>
    <t>C9235</t>
  </si>
  <si>
    <t>ORD00169</t>
  </si>
  <si>
    <t>C5738</t>
  </si>
  <si>
    <t>P505</t>
  </si>
  <si>
    <t>ORD00170</t>
  </si>
  <si>
    <t>C5577</t>
  </si>
  <si>
    <t>P608</t>
  </si>
  <si>
    <t>ORD00171</t>
  </si>
  <si>
    <t>C1756</t>
  </si>
  <si>
    <t>P779</t>
  </si>
  <si>
    <t>ORD00172</t>
  </si>
  <si>
    <t>C9905</t>
  </si>
  <si>
    <t>P368</t>
  </si>
  <si>
    <t>ORD00173</t>
  </si>
  <si>
    <t>C4629</t>
  </si>
  <si>
    <t>ORD00174</t>
  </si>
  <si>
    <t>C2741</t>
  </si>
  <si>
    <t>P676</t>
  </si>
  <si>
    <t>ORD00175</t>
  </si>
  <si>
    <t>C7501</t>
  </si>
  <si>
    <t>P478</t>
  </si>
  <si>
    <t>ORD00176</t>
  </si>
  <si>
    <t>C1827</t>
  </si>
  <si>
    <t>P327</t>
  </si>
  <si>
    <t>ORD00177</t>
  </si>
  <si>
    <t>C2589</t>
  </si>
  <si>
    <t>P626</t>
  </si>
  <si>
    <t>ORD00178</t>
  </si>
  <si>
    <t>C7204</t>
  </si>
  <si>
    <t>P197</t>
  </si>
  <si>
    <t>ORD00179</t>
  </si>
  <si>
    <t>C6886</t>
  </si>
  <si>
    <t>P146</t>
  </si>
  <si>
    <t>ORD00180</t>
  </si>
  <si>
    <t>C5537</t>
  </si>
  <si>
    <t>P371</t>
  </si>
  <si>
    <t>ORD00181</t>
  </si>
  <si>
    <t>C5613</t>
  </si>
  <si>
    <t>ORD00182</t>
  </si>
  <si>
    <t>C5443</t>
  </si>
  <si>
    <t>P115</t>
  </si>
  <si>
    <t>ORD00183</t>
  </si>
  <si>
    <t>C9359</t>
  </si>
  <si>
    <t>P351</t>
  </si>
  <si>
    <t>ORD00184</t>
  </si>
  <si>
    <t>C6818</t>
  </si>
  <si>
    <t>ORD00185</t>
  </si>
  <si>
    <t>C5640</t>
  </si>
  <si>
    <t>P573</t>
  </si>
  <si>
    <t>ORD00186</t>
  </si>
  <si>
    <t>C2994</t>
  </si>
  <si>
    <t>ORD00187</t>
  </si>
  <si>
    <t>C3384</t>
  </si>
  <si>
    <t>P170</t>
  </si>
  <si>
    <t>ORD00188</t>
  </si>
  <si>
    <t>C8030</t>
  </si>
  <si>
    <t>P565</t>
  </si>
  <si>
    <t>ORD00189</t>
  </si>
  <si>
    <t>C1512</t>
  </si>
  <si>
    <t>P390</t>
  </si>
  <si>
    <t>ORD00190</t>
  </si>
  <si>
    <t>C6387</t>
  </si>
  <si>
    <t>P185</t>
  </si>
  <si>
    <t>ORD00191</t>
  </si>
  <si>
    <t>C7430</t>
  </si>
  <si>
    <t>P469</t>
  </si>
  <si>
    <t>ORD00192</t>
  </si>
  <si>
    <t>C2531</t>
  </si>
  <si>
    <t>P426</t>
  </si>
  <si>
    <t>ORD00193</t>
  </si>
  <si>
    <t>C9915</t>
  </si>
  <si>
    <t>P171</t>
  </si>
  <si>
    <t>ORD00194</t>
  </si>
  <si>
    <t>C1895</t>
  </si>
  <si>
    <t>P421</t>
  </si>
  <si>
    <t>ORD00195</t>
  </si>
  <si>
    <t>C9385</t>
  </si>
  <si>
    <t>P682</t>
  </si>
  <si>
    <t>ORD00196</t>
  </si>
  <si>
    <t>C4218</t>
  </si>
  <si>
    <t>P958</t>
  </si>
  <si>
    <t>ORD00197</t>
  </si>
  <si>
    <t>C5464</t>
  </si>
  <si>
    <t>P501</t>
  </si>
  <si>
    <t>ORD00198</t>
  </si>
  <si>
    <t>C9489</t>
  </si>
  <si>
    <t>P566</t>
  </si>
  <si>
    <t>ORD00199</t>
  </si>
  <si>
    <t>C3971</t>
  </si>
  <si>
    <t>P181</t>
  </si>
  <si>
    <t>ORD00200</t>
  </si>
  <si>
    <t>C1680</t>
  </si>
  <si>
    <t>P596</t>
  </si>
  <si>
    <t>ORD00201</t>
  </si>
  <si>
    <t>C2925</t>
  </si>
  <si>
    <t>P825</t>
  </si>
  <si>
    <t>ORD00202</t>
  </si>
  <si>
    <t>C3088</t>
  </si>
  <si>
    <t>P246</t>
  </si>
  <si>
    <t>ORD00203</t>
  </si>
  <si>
    <t>C9441</t>
  </si>
  <si>
    <t>ORD00204</t>
  </si>
  <si>
    <t>C4380</t>
  </si>
  <si>
    <t>P427</t>
  </si>
  <si>
    <t>ORD00205</t>
  </si>
  <si>
    <t>C3122</t>
  </si>
  <si>
    <t>P415</t>
  </si>
  <si>
    <t>ORD00206</t>
  </si>
  <si>
    <t>C1870</t>
  </si>
  <si>
    <t>ORD00207</t>
  </si>
  <si>
    <t>C2087</t>
  </si>
  <si>
    <t>P710</t>
  </si>
  <si>
    <t>ORD00208</t>
  </si>
  <si>
    <t>C3859</t>
  </si>
  <si>
    <t>P529</t>
  </si>
  <si>
    <t>ORD00209</t>
  </si>
  <si>
    <t>C8478</t>
  </si>
  <si>
    <t>P294</t>
  </si>
  <si>
    <t>ORD00210</t>
  </si>
  <si>
    <t>C9614</t>
  </si>
  <si>
    <t>ORD00211</t>
  </si>
  <si>
    <t>C4715</t>
  </si>
  <si>
    <t>ORD00212</t>
  </si>
  <si>
    <t>C1501</t>
  </si>
  <si>
    <t>P295</t>
  </si>
  <si>
    <t>ORD00213</t>
  </si>
  <si>
    <t>C2256</t>
  </si>
  <si>
    <t>P287</t>
  </si>
  <si>
    <t>ORD00214</t>
  </si>
  <si>
    <t>C7587</t>
  </si>
  <si>
    <t>P192</t>
  </si>
  <si>
    <t>ORD00215</t>
  </si>
  <si>
    <t>C9109</t>
  </si>
  <si>
    <t>P778</t>
  </si>
  <si>
    <t>ORD00216</t>
  </si>
  <si>
    <t>C2941</t>
  </si>
  <si>
    <t>ORD00217</t>
  </si>
  <si>
    <t>C1831</t>
  </si>
  <si>
    <t>P908</t>
  </si>
  <si>
    <t>ORD00218</t>
  </si>
  <si>
    <t>P820</t>
  </si>
  <si>
    <t>ORD00219</t>
  </si>
  <si>
    <t>C7447</t>
  </si>
  <si>
    <t>P102</t>
  </si>
  <si>
    <t>ORD00220</t>
  </si>
  <si>
    <t>C9800</t>
  </si>
  <si>
    <t>P877</t>
  </si>
  <si>
    <t>ORD00221</t>
  </si>
  <si>
    <t>C1336</t>
  </si>
  <si>
    <t>P466</t>
  </si>
  <si>
    <t>ORD00222</t>
  </si>
  <si>
    <t>C4938</t>
  </si>
  <si>
    <t>P277</t>
  </si>
  <si>
    <t>ORD00223</t>
  </si>
  <si>
    <t>C8650</t>
  </si>
  <si>
    <t>ORD00224</t>
  </si>
  <si>
    <t>C4930</t>
  </si>
  <si>
    <t>P199</t>
  </si>
  <si>
    <t>ORD00225</t>
  </si>
  <si>
    <t>C5860</t>
  </si>
  <si>
    <t>P276</t>
  </si>
  <si>
    <t>ORD00226</t>
  </si>
  <si>
    <t>C5774</t>
  </si>
  <si>
    <t>P326</t>
  </si>
  <si>
    <t>ORD00227</t>
  </si>
  <si>
    <t>C6176</t>
  </si>
  <si>
    <t>ORD00228</t>
  </si>
  <si>
    <t>C3782</t>
  </si>
  <si>
    <t>P159</t>
  </si>
  <si>
    <t>ORD00229</t>
  </si>
  <si>
    <t>C3697</t>
  </si>
  <si>
    <t>P524</t>
  </si>
  <si>
    <t>ORD00230</t>
  </si>
  <si>
    <t>C5772</t>
  </si>
  <si>
    <t>P706</t>
  </si>
  <si>
    <t>ORD00231</t>
  </si>
  <si>
    <t>C3683</t>
  </si>
  <si>
    <t>ORD00232</t>
  </si>
  <si>
    <t>C4806</t>
  </si>
  <si>
    <t>P585</t>
  </si>
  <si>
    <t>ORD00233</t>
  </si>
  <si>
    <t>C5574</t>
  </si>
  <si>
    <t>P536</t>
  </si>
  <si>
    <t>ORD00234</t>
  </si>
  <si>
    <t>C4140</t>
  </si>
  <si>
    <t>P157</t>
  </si>
  <si>
    <t>ORD00235</t>
  </si>
  <si>
    <t>C8980</t>
  </si>
  <si>
    <t>ORD00236</t>
  </si>
  <si>
    <t>C1533</t>
  </si>
  <si>
    <t>ORD00237</t>
  </si>
  <si>
    <t>C6670</t>
  </si>
  <si>
    <t>P354</t>
  </si>
  <si>
    <t>ORD00238</t>
  </si>
  <si>
    <t>C6737</t>
  </si>
  <si>
    <t>P946</t>
  </si>
  <si>
    <t>ORD00239</t>
  </si>
  <si>
    <t>C7664</t>
  </si>
  <si>
    <t>P200</t>
  </si>
  <si>
    <t>ORD00240</t>
  </si>
  <si>
    <t>C8334</t>
  </si>
  <si>
    <t>P605</t>
  </si>
  <si>
    <t>ORD00241</t>
  </si>
  <si>
    <t>C6846</t>
  </si>
  <si>
    <t>P436</t>
  </si>
  <si>
    <t>ORD00242</t>
  </si>
  <si>
    <t>C2623</t>
  </si>
  <si>
    <t>ORD00243</t>
  </si>
  <si>
    <t>C2987</t>
  </si>
  <si>
    <t>ORD00244</t>
  </si>
  <si>
    <t>C2643</t>
  </si>
  <si>
    <t>P581</t>
  </si>
  <si>
    <t>ORD00245</t>
  </si>
  <si>
    <t>C8524</t>
  </si>
  <si>
    <t>P167</t>
  </si>
  <si>
    <t>ORD00246</t>
  </si>
  <si>
    <t>C3974</t>
  </si>
  <si>
    <t>P539</t>
  </si>
  <si>
    <t>ORD00247</t>
  </si>
  <si>
    <t>C7091</t>
  </si>
  <si>
    <t>P797</t>
  </si>
  <si>
    <t>ORD00248</t>
  </si>
  <si>
    <t>C8307</t>
  </si>
  <si>
    <t>P254</t>
  </si>
  <si>
    <t>ORD00249</t>
  </si>
  <si>
    <t>C7177</t>
  </si>
  <si>
    <t>ORD00250</t>
  </si>
  <si>
    <t>C7064</t>
  </si>
  <si>
    <t>P325</t>
  </si>
  <si>
    <t>ORD00251</t>
  </si>
  <si>
    <t>C1400</t>
  </si>
  <si>
    <t>P916</t>
  </si>
  <si>
    <t>ORD00252</t>
  </si>
  <si>
    <t>C2849</t>
  </si>
  <si>
    <t>P641</t>
  </si>
  <si>
    <t>ORD00253</t>
  </si>
  <si>
    <t>C6701</t>
  </si>
  <si>
    <t>P365</t>
  </si>
  <si>
    <t>ORD00254</t>
  </si>
  <si>
    <t>C3989</t>
  </si>
  <si>
    <t>ORD00255</t>
  </si>
  <si>
    <t>C1086</t>
  </si>
  <si>
    <t>P531</t>
  </si>
  <si>
    <t>ORD00256</t>
  </si>
  <si>
    <t>C9991</t>
  </si>
  <si>
    <t>P905</t>
  </si>
  <si>
    <t>ORD00257</t>
  </si>
  <si>
    <t>C5226</t>
  </si>
  <si>
    <t>P834</t>
  </si>
  <si>
    <t>ORD00258</t>
  </si>
  <si>
    <t>C1765</t>
  </si>
  <si>
    <t>ORD00259</t>
  </si>
  <si>
    <t>C9152</t>
  </si>
  <si>
    <t>ORD00260</t>
  </si>
  <si>
    <t>C4168</t>
  </si>
  <si>
    <t>P560</t>
  </si>
  <si>
    <t>ORD00261</t>
  </si>
  <si>
    <t>C1497</t>
  </si>
  <si>
    <t>P309</t>
  </si>
  <si>
    <t>ORD00262</t>
  </si>
  <si>
    <t>C5591</t>
  </si>
  <si>
    <t>P675</t>
  </si>
  <si>
    <t>ORD00263</t>
  </si>
  <si>
    <t>C7488</t>
  </si>
  <si>
    <t>P694</t>
  </si>
  <si>
    <t>ORD00264</t>
  </si>
  <si>
    <t>C5588</t>
  </si>
  <si>
    <t>ORD00265</t>
  </si>
  <si>
    <t>C9032</t>
  </si>
  <si>
    <t>P753</t>
  </si>
  <si>
    <t>ORD00266</t>
  </si>
  <si>
    <t>C6653</t>
  </si>
  <si>
    <t>P859</t>
  </si>
  <si>
    <t>ORD00267</t>
  </si>
  <si>
    <t>C4901</t>
  </si>
  <si>
    <t>ORD00268</t>
  </si>
  <si>
    <t>C6282</t>
  </si>
  <si>
    <t>ORD00269</t>
  </si>
  <si>
    <t>C9866</t>
  </si>
  <si>
    <t>ORD00270</t>
  </si>
  <si>
    <t>C8281</t>
  </si>
  <si>
    <t>P629</t>
  </si>
  <si>
    <t>ORD00271</t>
  </si>
  <si>
    <t>C4871</t>
  </si>
  <si>
    <t>ORD00272</t>
  </si>
  <si>
    <t>P624</t>
  </si>
  <si>
    <t>ORD00273</t>
  </si>
  <si>
    <t>C3904</t>
  </si>
  <si>
    <t>P162</t>
  </si>
  <si>
    <t>ORD00274</t>
  </si>
  <si>
    <t>C2760</t>
  </si>
  <si>
    <t>ORD00275</t>
  </si>
  <si>
    <t>C1604</t>
  </si>
  <si>
    <t>ORD00276</t>
  </si>
  <si>
    <t>C5602</t>
  </si>
  <si>
    <t>P917</t>
  </si>
  <si>
    <t>ORD00277</t>
  </si>
  <si>
    <t>ORD00278</t>
  </si>
  <si>
    <t>C3136</t>
  </si>
  <si>
    <t>P304</t>
  </si>
  <si>
    <t>ORD00279</t>
  </si>
  <si>
    <t>C1490</t>
  </si>
  <si>
    <t>P765</t>
  </si>
  <si>
    <t>ORD00280</t>
  </si>
  <si>
    <t>C5612</t>
  </si>
  <si>
    <t>P281</t>
  </si>
  <si>
    <t>ORD00281</t>
  </si>
  <si>
    <t>C1437</t>
  </si>
  <si>
    <t>P328</t>
  </si>
  <si>
    <t>ORD00282</t>
  </si>
  <si>
    <t>C1502</t>
  </si>
  <si>
    <t>P312</t>
  </si>
  <si>
    <t>ORD00283</t>
  </si>
  <si>
    <t>C9317</t>
  </si>
  <si>
    <t>P303</t>
  </si>
  <si>
    <t>ORD00284</t>
  </si>
  <si>
    <t>C5743</t>
  </si>
  <si>
    <t>P987</t>
  </si>
  <si>
    <t>ORD00285</t>
  </si>
  <si>
    <t>C3363</t>
  </si>
  <si>
    <t>P693</t>
  </si>
  <si>
    <t>ORD00286</t>
  </si>
  <si>
    <t>C3518</t>
  </si>
  <si>
    <t>P697</t>
  </si>
  <si>
    <t>ORD00287</t>
  </si>
  <si>
    <t>C9239</t>
  </si>
  <si>
    <t>P745</t>
  </si>
  <si>
    <t>ORD00288</t>
  </si>
  <si>
    <t>C4730</t>
  </si>
  <si>
    <t>P830</t>
  </si>
  <si>
    <t>ORD00289</t>
  </si>
  <si>
    <t>C6778</t>
  </si>
  <si>
    <t>P865</t>
  </si>
  <si>
    <t>ORD00290</t>
  </si>
  <si>
    <t>C9886</t>
  </si>
  <si>
    <t>ORD00291</t>
  </si>
  <si>
    <t>C1270</t>
  </si>
  <si>
    <t>ORD00292</t>
  </si>
  <si>
    <t>C6067</t>
  </si>
  <si>
    <t>P643</t>
  </si>
  <si>
    <t>ORD00293</t>
  </si>
  <si>
    <t>C7279</t>
  </si>
  <si>
    <t>P253</t>
  </si>
  <si>
    <t>ORD00294</t>
  </si>
  <si>
    <t>C4147</t>
  </si>
  <si>
    <t>ORD00295</t>
  </si>
  <si>
    <t>C3004</t>
  </si>
  <si>
    <t>P712</t>
  </si>
  <si>
    <t>ORD00296</t>
  </si>
  <si>
    <t>C9989</t>
  </si>
  <si>
    <t>P711</t>
  </si>
  <si>
    <t>ORD00297</t>
  </si>
  <si>
    <t>C3572</t>
  </si>
  <si>
    <t>ORD00298</t>
  </si>
  <si>
    <t>C7489</t>
  </si>
  <si>
    <t>P646</t>
  </si>
  <si>
    <t>ORD00299</t>
  </si>
  <si>
    <t>C1774</t>
  </si>
  <si>
    <t>ORD00300</t>
  </si>
  <si>
    <t>C7338</t>
  </si>
  <si>
    <t>P672</t>
  </si>
  <si>
    <t>ORD00301</t>
  </si>
  <si>
    <t>C1786</t>
  </si>
  <si>
    <t>ORD00302</t>
  </si>
  <si>
    <t>C5614</t>
  </si>
  <si>
    <t>P245</t>
  </si>
  <si>
    <t>ORD00303</t>
  </si>
  <si>
    <t>C7480</t>
  </si>
  <si>
    <t>ORD00304</t>
  </si>
  <si>
    <t>C7627</t>
  </si>
  <si>
    <t>ORD00305</t>
  </si>
  <si>
    <t>C7035</t>
  </si>
  <si>
    <t>ORD00306</t>
  </si>
  <si>
    <t>C9888</t>
  </si>
  <si>
    <t>P105</t>
  </si>
  <si>
    <t>ORD00307</t>
  </si>
  <si>
    <t>C6423</t>
  </si>
  <si>
    <t>ORD00308</t>
  </si>
  <si>
    <t>C8651</t>
  </si>
  <si>
    <t>P615</t>
  </si>
  <si>
    <t>ORD00309</t>
  </si>
  <si>
    <t>C9041</t>
  </si>
  <si>
    <t>P331</t>
  </si>
  <si>
    <t>ORD00310</t>
  </si>
  <si>
    <t>C1741</t>
  </si>
  <si>
    <t>P679</t>
  </si>
  <si>
    <t>ORD00311</t>
  </si>
  <si>
    <t>C9753</t>
  </si>
  <si>
    <t>P404</t>
  </si>
  <si>
    <t>ORD00312</t>
  </si>
  <si>
    <t>C5629</t>
  </si>
  <si>
    <t>P135</t>
  </si>
  <si>
    <t>ORD00313</t>
  </si>
  <si>
    <t>P278</t>
  </si>
  <si>
    <t>ORD00314</t>
  </si>
  <si>
    <t>C2118</t>
  </si>
  <si>
    <t>ORD00315</t>
  </si>
  <si>
    <t>C7788</t>
  </si>
  <si>
    <t>ORD00316</t>
  </si>
  <si>
    <t>C8211</t>
  </si>
  <si>
    <t>P463</t>
  </si>
  <si>
    <t>ORD00317</t>
  </si>
  <si>
    <t>C6915</t>
  </si>
  <si>
    <t>P720</t>
  </si>
  <si>
    <t>ORD00318</t>
  </si>
  <si>
    <t>C2491</t>
  </si>
  <si>
    <t>P945</t>
  </si>
  <si>
    <t>ORD00319</t>
  </si>
  <si>
    <t>C3820</t>
  </si>
  <si>
    <t>P994</t>
  </si>
  <si>
    <t>ORD00320</t>
  </si>
  <si>
    <t>C3339</t>
  </si>
  <si>
    <t>P215</t>
  </si>
  <si>
    <t>ORD00321</t>
  </si>
  <si>
    <t>C5803</t>
  </si>
  <si>
    <t>P515</t>
  </si>
  <si>
    <t>ORD00322</t>
  </si>
  <si>
    <t>C1381</t>
  </si>
  <si>
    <t>P665</t>
  </si>
  <si>
    <t>ORD00323</t>
  </si>
  <si>
    <t>P528</t>
  </si>
  <si>
    <t>ORD00324</t>
  </si>
  <si>
    <t>C1713</t>
  </si>
  <si>
    <t>P649</t>
  </si>
  <si>
    <t>ORD00325</t>
  </si>
  <si>
    <t>C5124</t>
  </si>
  <si>
    <t>P788</t>
  </si>
  <si>
    <t>ORD00326</t>
  </si>
  <si>
    <t>C8739</t>
  </si>
  <si>
    <t>P818</t>
  </si>
  <si>
    <t>ORD00327</t>
  </si>
  <si>
    <t>C9007</t>
  </si>
  <si>
    <t>P807</t>
  </si>
  <si>
    <t>ORD00328</t>
  </si>
  <si>
    <t>C7437</t>
  </si>
  <si>
    <t>ORD00329</t>
  </si>
  <si>
    <t>C5700</t>
  </si>
  <si>
    <t>P933</t>
  </si>
  <si>
    <t>ORD00330</t>
  </si>
  <si>
    <t>C1958</t>
  </si>
  <si>
    <t>P703</t>
  </si>
  <si>
    <t>ORD00331</t>
  </si>
  <si>
    <t>C7085</t>
  </si>
  <si>
    <t>ORD00332</t>
  </si>
  <si>
    <t>C8101</t>
  </si>
  <si>
    <t>P151</t>
  </si>
  <si>
    <t>ORD00333</t>
  </si>
  <si>
    <t>C1822</t>
  </si>
  <si>
    <t>ORD00334</t>
  </si>
  <si>
    <t>C1222</t>
  </si>
  <si>
    <t>P334</t>
  </si>
  <si>
    <t>ORD00335</t>
  </si>
  <si>
    <t>C5296</t>
  </si>
  <si>
    <t>P860</t>
  </si>
  <si>
    <t>ORD00336</t>
  </si>
  <si>
    <t>C8092</t>
  </si>
  <si>
    <t>ORD00337</t>
  </si>
  <si>
    <t>C5439</t>
  </si>
  <si>
    <t>ORD00338</t>
  </si>
  <si>
    <t>C3826</t>
  </si>
  <si>
    <t>ORD00339</t>
  </si>
  <si>
    <t>C5476</t>
  </si>
  <si>
    <t>P272</t>
  </si>
  <si>
    <t>ORD00340</t>
  </si>
  <si>
    <t>C5702</t>
  </si>
  <si>
    <t>ORD00341</t>
  </si>
  <si>
    <t>C3240</t>
  </si>
  <si>
    <t>ORD00342</t>
  </si>
  <si>
    <t>C7636</t>
  </si>
  <si>
    <t>P762</t>
  </si>
  <si>
    <t>ORD00343</t>
  </si>
  <si>
    <t>C2728</t>
  </si>
  <si>
    <t>P644</t>
  </si>
  <si>
    <t>ORD00344</t>
  </si>
  <si>
    <t>C9712</t>
  </si>
  <si>
    <t>P650</t>
  </si>
  <si>
    <t>ORD00345</t>
  </si>
  <si>
    <t>C5465</t>
  </si>
  <si>
    <t>P638</t>
  </si>
  <si>
    <t>ORD00346</t>
  </si>
  <si>
    <t>C7343</t>
  </si>
  <si>
    <t>P803</t>
  </si>
  <si>
    <t>ORD00347</t>
  </si>
  <si>
    <t>C1470</t>
  </si>
  <si>
    <t>P571</t>
  </si>
  <si>
    <t>ORD00348</t>
  </si>
  <si>
    <t>C7208</t>
  </si>
  <si>
    <t>P114</t>
  </si>
  <si>
    <t>ORD00349</t>
  </si>
  <si>
    <t>C7913</t>
  </si>
  <si>
    <t>ORD00350</t>
  </si>
  <si>
    <t>C8336</t>
  </si>
  <si>
    <t>P455</t>
  </si>
  <si>
    <t>ORD00351</t>
  </si>
  <si>
    <t>C1955</t>
  </si>
  <si>
    <t>P179</t>
  </si>
  <si>
    <t>ORD00352</t>
  </si>
  <si>
    <t>ORD00353</t>
  </si>
  <si>
    <t>C3943</t>
  </si>
  <si>
    <t>P960</t>
  </si>
  <si>
    <t>ORD00354</t>
  </si>
  <si>
    <t>C4846</t>
  </si>
  <si>
    <t>P801</t>
  </si>
  <si>
    <t>ORD00355</t>
  </si>
  <si>
    <t>C1469</t>
  </si>
  <si>
    <t>P993</t>
  </si>
  <si>
    <t>ORD00356</t>
  </si>
  <si>
    <t>C1967</t>
  </si>
  <si>
    <t>ORD00357</t>
  </si>
  <si>
    <t>C9921</t>
  </si>
  <si>
    <t>P689</t>
  </si>
  <si>
    <t>ORD00358</t>
  </si>
  <si>
    <t>C2413</t>
  </si>
  <si>
    <t>P545</t>
  </si>
  <si>
    <t>ORD00359</t>
  </si>
  <si>
    <t>C3949</t>
  </si>
  <si>
    <t>P131</t>
  </si>
  <si>
    <t>ORD00360</t>
  </si>
  <si>
    <t>C9768</t>
  </si>
  <si>
    <t>P555</t>
  </si>
  <si>
    <t>ORD00361</t>
  </si>
  <si>
    <t>C7688</t>
  </si>
  <si>
    <t>P969</t>
  </si>
  <si>
    <t>ORD00362</t>
  </si>
  <si>
    <t>P848</t>
  </si>
  <si>
    <t>ORD00363</t>
  </si>
  <si>
    <t>C5215</t>
  </si>
  <si>
    <t>P262</t>
  </si>
  <si>
    <t>ORD00364</t>
  </si>
  <si>
    <t>C3169</t>
  </si>
  <si>
    <t>P698</t>
  </si>
  <si>
    <t>ORD00365</t>
  </si>
  <si>
    <t>C9202</t>
  </si>
  <si>
    <t>P370</t>
  </si>
  <si>
    <t>ORD00366</t>
  </si>
  <si>
    <t>C5122</t>
  </si>
  <si>
    <t>P671</t>
  </si>
  <si>
    <t>ORD00367</t>
  </si>
  <si>
    <t>C2331</t>
  </si>
  <si>
    <t>P178</t>
  </si>
  <si>
    <t>ORD00368</t>
  </si>
  <si>
    <t>C4446</t>
  </si>
  <si>
    <t>ORD00369</t>
  </si>
  <si>
    <t>C2900</t>
  </si>
  <si>
    <t>ORD00370</t>
  </si>
  <si>
    <t>C3422</t>
  </si>
  <si>
    <t>P255</t>
  </si>
  <si>
    <t>ORD00371</t>
  </si>
  <si>
    <t>C5810</t>
  </si>
  <si>
    <t>P863</t>
  </si>
  <si>
    <t>ORD00372</t>
  </si>
  <si>
    <t>C6762</t>
  </si>
  <si>
    <t>ORD00373</t>
  </si>
  <si>
    <t>C5834</t>
  </si>
  <si>
    <t>P182</t>
  </si>
  <si>
    <t>ORD00374</t>
  </si>
  <si>
    <t>C8009</t>
  </si>
  <si>
    <t>P395</t>
  </si>
  <si>
    <t>ORD00375</t>
  </si>
  <si>
    <t>C9436</t>
  </si>
  <si>
    <t>ORD00376</t>
  </si>
  <si>
    <t>C6957</t>
  </si>
  <si>
    <t>P489</t>
  </si>
  <si>
    <t>ORD00377</t>
  </si>
  <si>
    <t>C6408</t>
  </si>
  <si>
    <t>ORD00378</t>
  </si>
  <si>
    <t>C1464</t>
  </si>
  <si>
    <t>P869</t>
  </si>
  <si>
    <t>ORD00379</t>
  </si>
  <si>
    <t>C5161</t>
  </si>
  <si>
    <t>P997</t>
  </si>
  <si>
    <t>ORD00380</t>
  </si>
  <si>
    <t>C8520</t>
  </si>
  <si>
    <t>ORD00381</t>
  </si>
  <si>
    <t>C9776</t>
  </si>
  <si>
    <t>P222</t>
  </si>
  <si>
    <t>ORD00382</t>
  </si>
  <si>
    <t>C3813</t>
  </si>
  <si>
    <t>P839</t>
  </si>
  <si>
    <t>ORD00383</t>
  </si>
  <si>
    <t>C2886</t>
  </si>
  <si>
    <t>ORD00384</t>
  </si>
  <si>
    <t>C8435</t>
  </si>
  <si>
    <t>P923</t>
  </si>
  <si>
    <t>ORD00385</t>
  </si>
  <si>
    <t>C8126</t>
  </si>
  <si>
    <t>P655</t>
  </si>
  <si>
    <t>ORD00386</t>
  </si>
  <si>
    <t>C8846</t>
  </si>
  <si>
    <t>P172</t>
  </si>
  <si>
    <t>ORD00387</t>
  </si>
  <si>
    <t>C2247</t>
  </si>
  <si>
    <t>P158</t>
  </si>
  <si>
    <t>ORD00388</t>
  </si>
  <si>
    <t>C9848</t>
  </si>
  <si>
    <t>P202</t>
  </si>
  <si>
    <t>ORD00389</t>
  </si>
  <si>
    <t>C2958</t>
  </si>
  <si>
    <t>P152</t>
  </si>
  <si>
    <t>ORD00390</t>
  </si>
  <si>
    <t>C1111</t>
  </si>
  <si>
    <t>P597</t>
  </si>
  <si>
    <t>ORD00391</t>
  </si>
  <si>
    <t>C8197</t>
  </si>
  <si>
    <t>P777</t>
  </si>
  <si>
    <t>ORD00392</t>
  </si>
  <si>
    <t>C4077</t>
  </si>
  <si>
    <t>P461</t>
  </si>
  <si>
    <t>ORD00393</t>
  </si>
  <si>
    <t>C3976</t>
  </si>
  <si>
    <t>ORD00394</t>
  </si>
  <si>
    <t>C5831</t>
  </si>
  <si>
    <t>P799</t>
  </si>
  <si>
    <t>ORD00395</t>
  </si>
  <si>
    <t>C8783</t>
  </si>
  <si>
    <t>P226</t>
  </si>
  <si>
    <t>ORD00396</t>
  </si>
  <si>
    <t>C6565</t>
  </si>
  <si>
    <t>ORD00397</t>
  </si>
  <si>
    <t>C2430</t>
  </si>
  <si>
    <t>P775</t>
  </si>
  <si>
    <t>ORD00398</t>
  </si>
  <si>
    <t>C8729</t>
  </si>
  <si>
    <t>P467</t>
  </si>
  <si>
    <t>ORD00399</t>
  </si>
  <si>
    <t>P513</t>
  </si>
  <si>
    <t>ORD00400</t>
  </si>
  <si>
    <t>C8250</t>
  </si>
  <si>
    <t>P563</t>
  </si>
  <si>
    <t>ORD00401</t>
  </si>
  <si>
    <t>C1544</t>
  </si>
  <si>
    <t>ORD00402</t>
  </si>
  <si>
    <t>C2513</t>
  </si>
  <si>
    <t>P951</t>
  </si>
  <si>
    <t>ORD00403</t>
  </si>
  <si>
    <t>C6865</t>
  </si>
  <si>
    <t>P288</t>
  </si>
  <si>
    <t>ORD00404</t>
  </si>
  <si>
    <t>C5904</t>
  </si>
  <si>
    <t>ORD00405</t>
  </si>
  <si>
    <t>C7892</t>
  </si>
  <si>
    <t>P184</t>
  </si>
  <si>
    <t>ORD00406</t>
  </si>
  <si>
    <t>C6945</t>
  </si>
  <si>
    <t>ORD00407</t>
  </si>
  <si>
    <t>C8208</t>
  </si>
  <si>
    <t>P378</t>
  </si>
  <si>
    <t>ORD00408</t>
  </si>
  <si>
    <t>C6828</t>
  </si>
  <si>
    <t>P965</t>
  </si>
  <si>
    <t>ORD00409</t>
  </si>
  <si>
    <t>C2854</t>
  </si>
  <si>
    <t>P616</t>
  </si>
  <si>
    <t>ORD00410</t>
  </si>
  <si>
    <t>C1160</t>
  </si>
  <si>
    <t>ORD00411</t>
  </si>
  <si>
    <t>C1514</t>
  </si>
  <si>
    <t>ORD00412</t>
  </si>
  <si>
    <t>C9707</t>
  </si>
  <si>
    <t>P339</t>
  </si>
  <si>
    <t>ORD00413</t>
  </si>
  <si>
    <t>C1319</t>
  </si>
  <si>
    <t>P168</t>
  </si>
  <si>
    <t>ORD00414</t>
  </si>
  <si>
    <t>C6708</t>
  </si>
  <si>
    <t>P810</t>
  </si>
  <si>
    <t>ORD00415</t>
  </si>
  <si>
    <t>C9116</t>
  </si>
  <si>
    <t>P906</t>
  </si>
  <si>
    <t>ORD00416</t>
  </si>
  <si>
    <t>C7791</t>
  </si>
  <si>
    <t>ORD00417</t>
  </si>
  <si>
    <t>C3077</t>
  </si>
  <si>
    <t>P292</t>
  </si>
  <si>
    <t>ORD00418</t>
  </si>
  <si>
    <t>C4631</t>
  </si>
  <si>
    <t>P990</t>
  </si>
  <si>
    <t>ORD00419</t>
  </si>
  <si>
    <t>C8790</t>
  </si>
  <si>
    <t>P568</t>
  </si>
  <si>
    <t>ORD00420</t>
  </si>
  <si>
    <t>C4330</t>
  </si>
  <si>
    <t>P468</t>
  </si>
  <si>
    <t>ORD00421</t>
  </si>
  <si>
    <t>C7148</t>
  </si>
  <si>
    <t>P805</t>
  </si>
  <si>
    <t>ORD00422</t>
  </si>
  <si>
    <t>C1040</t>
  </si>
  <si>
    <t>P164</t>
  </si>
  <si>
    <t>ORD00423</t>
  </si>
  <si>
    <t>P959</t>
  </si>
  <si>
    <t>ORD00424</t>
  </si>
  <si>
    <t>C4117</t>
  </si>
  <si>
    <t>P123</t>
  </si>
  <si>
    <t>ORD00425</t>
  </si>
  <si>
    <t>ORD00426</t>
  </si>
  <si>
    <t>C1887</t>
  </si>
  <si>
    <t>P385</t>
  </si>
  <si>
    <t>ORD00427</t>
  </si>
  <si>
    <t>C3982</t>
  </si>
  <si>
    <t>P496</t>
  </si>
  <si>
    <t>ORD00428</t>
  </si>
  <si>
    <t>C4183</t>
  </si>
  <si>
    <t>ORD00429</t>
  </si>
  <si>
    <t>C7028</t>
  </si>
  <si>
    <t>P999</t>
  </si>
  <si>
    <t>ORD00430</t>
  </si>
  <si>
    <t>C4079</t>
  </si>
  <si>
    <t>P236</t>
  </si>
  <si>
    <t>ORD00431</t>
  </si>
  <si>
    <t>C1355</t>
  </si>
  <si>
    <t>P950</t>
  </si>
  <si>
    <t>ORD00432</t>
  </si>
  <si>
    <t>C2316</t>
  </si>
  <si>
    <t>P891</t>
  </si>
  <si>
    <t>ORD00433</t>
  </si>
  <si>
    <t>C7226</t>
  </si>
  <si>
    <t>P786</t>
  </si>
  <si>
    <t>ORD00434</t>
  </si>
  <si>
    <t>C1564</t>
  </si>
  <si>
    <t>ORD00435</t>
  </si>
  <si>
    <t>C8259</t>
  </si>
  <si>
    <t>P456</t>
  </si>
  <si>
    <t>ORD00436</t>
  </si>
  <si>
    <t>C9089</t>
  </si>
  <si>
    <t>ORD00437</t>
  </si>
  <si>
    <t>C7826</t>
  </si>
  <si>
    <t>P894</t>
  </si>
  <si>
    <t>ORD00438</t>
  </si>
  <si>
    <t>C9660</t>
  </si>
  <si>
    <t>ORD00439</t>
  </si>
  <si>
    <t>C4384</t>
  </si>
  <si>
    <t>P280</t>
  </si>
  <si>
    <t>ORD00440</t>
  </si>
  <si>
    <t>C7706</t>
  </si>
  <si>
    <t>P166</t>
  </si>
  <si>
    <t>ORD00441</t>
  </si>
  <si>
    <t>C2174</t>
  </si>
  <si>
    <t>P875</t>
  </si>
  <si>
    <t>ORD00442</t>
  </si>
  <si>
    <t>C6827</t>
  </si>
  <si>
    <t>P718</t>
  </si>
  <si>
    <t>ORD00443</t>
  </si>
  <si>
    <t>C4743</t>
  </si>
  <si>
    <t>P445</t>
  </si>
  <si>
    <t>ORD00444</t>
  </si>
  <si>
    <t>C8928</t>
  </si>
  <si>
    <t>P709</t>
  </si>
  <si>
    <t>ORD00445</t>
  </si>
  <si>
    <t>C2193</t>
  </si>
  <si>
    <t>ORD00446</t>
  </si>
  <si>
    <t>C7864</t>
  </si>
  <si>
    <t>P617</t>
  </si>
  <si>
    <t>ORD00447</t>
  </si>
  <si>
    <t>C9603</t>
  </si>
  <si>
    <t>P372</t>
  </si>
  <si>
    <t>ORD00448</t>
  </si>
  <si>
    <t>C9565</t>
  </si>
  <si>
    <t>ORD00449</t>
  </si>
  <si>
    <t>C3034</t>
  </si>
  <si>
    <t>P355</t>
  </si>
  <si>
    <t>ORD00450</t>
  </si>
  <si>
    <t>ORD00451</t>
  </si>
  <si>
    <t>C7512</t>
  </si>
  <si>
    <t>P113</t>
  </si>
  <si>
    <t>ORD00452</t>
  </si>
  <si>
    <t>C2865</t>
  </si>
  <si>
    <t>P180</t>
  </si>
  <si>
    <t>ORD00453</t>
  </si>
  <si>
    <t>C4332</t>
  </si>
  <si>
    <t>ORD00454</t>
  </si>
  <si>
    <t>C3385</t>
  </si>
  <si>
    <t>ORD00455</t>
  </si>
  <si>
    <t>C8351</t>
  </si>
  <si>
    <t>ORD00456</t>
  </si>
  <si>
    <t>C6471</t>
  </si>
  <si>
    <t>P739</t>
  </si>
  <si>
    <t>ORD00457</t>
  </si>
  <si>
    <t>C2655</t>
  </si>
  <si>
    <t>P748</t>
  </si>
  <si>
    <t>ORD00458</t>
  </si>
  <si>
    <t>C6266</t>
  </si>
  <si>
    <t>ORD00459</t>
  </si>
  <si>
    <t>C4698</t>
  </si>
  <si>
    <t>P700</t>
  </si>
  <si>
    <t>ORD00460</t>
  </si>
  <si>
    <t>C4297</t>
  </si>
  <si>
    <t>ORD00461</t>
  </si>
  <si>
    <t>C6353</t>
  </si>
  <si>
    <t>ORD00462</t>
  </si>
  <si>
    <t>C4430</t>
  </si>
  <si>
    <t>P307</t>
  </si>
  <si>
    <t>ORD00463</t>
  </si>
  <si>
    <t>C1662</t>
  </si>
  <si>
    <t>ORD00464</t>
  </si>
  <si>
    <t>C4279</t>
  </si>
  <si>
    <t>P743</t>
  </si>
  <si>
    <t>ORD00465</t>
  </si>
  <si>
    <t>C7024</t>
  </si>
  <si>
    <t>P669</t>
  </si>
  <si>
    <t>ORD00466</t>
  </si>
  <si>
    <t>C6627</t>
  </si>
  <si>
    <t>P704</t>
  </si>
  <si>
    <t>ORD00467</t>
  </si>
  <si>
    <t>C3607</t>
  </si>
  <si>
    <t>ORD00468</t>
  </si>
  <si>
    <t>C4644</t>
  </si>
  <si>
    <t>P205</t>
  </si>
  <si>
    <t>ORD00469</t>
  </si>
  <si>
    <t>C9646</t>
  </si>
  <si>
    <t>P727</t>
  </si>
  <si>
    <t>ORD00470</t>
  </si>
  <si>
    <t>P888</t>
  </si>
  <si>
    <t>ORD00471</t>
  </si>
  <si>
    <t>C4385</t>
  </si>
  <si>
    <t>P770</t>
  </si>
  <si>
    <t>ORD00472</t>
  </si>
  <si>
    <t>C2858</t>
  </si>
  <si>
    <t>ORD00473</t>
  </si>
  <si>
    <t>C1577</t>
  </si>
  <si>
    <t>P147</t>
  </si>
  <si>
    <t>ORD00474</t>
  </si>
  <si>
    <t>C9976</t>
  </si>
  <si>
    <t>P243</t>
  </si>
  <si>
    <t>ORD00475</t>
  </si>
  <si>
    <t>C4921</t>
  </si>
  <si>
    <t>P538</t>
  </si>
  <si>
    <t>ORD00476</t>
  </si>
  <si>
    <t>C7056</t>
  </si>
  <si>
    <t>P141</t>
  </si>
  <si>
    <t>ORD00477</t>
  </si>
  <si>
    <t>C8328</t>
  </si>
  <si>
    <t>ORD00478</t>
  </si>
  <si>
    <t>C4452</t>
  </si>
  <si>
    <t>P163</t>
  </si>
  <si>
    <t>ORD00479</t>
  </si>
  <si>
    <t>C6389</t>
  </si>
  <si>
    <t>ORD00480</t>
  </si>
  <si>
    <t>ORD00481</t>
  </si>
  <si>
    <t>C9607</t>
  </si>
  <si>
    <t>P407</t>
  </si>
  <si>
    <t>ORD00482</t>
  </si>
  <si>
    <t>C5523</t>
  </si>
  <si>
    <t>P948</t>
  </si>
  <si>
    <t>ORD00483</t>
  </si>
  <si>
    <t>C3129</t>
  </si>
  <si>
    <t>P833</t>
  </si>
  <si>
    <t>ORD00484</t>
  </si>
  <si>
    <t>C4051</t>
  </si>
  <si>
    <t>ORD00485</t>
  </si>
  <si>
    <t>C3364</t>
  </si>
  <si>
    <t>P708</t>
  </si>
  <si>
    <t>ORD00486</t>
  </si>
  <si>
    <t>C2804</t>
  </si>
  <si>
    <t>ORD00487</t>
  </si>
  <si>
    <t>C7393</t>
  </si>
  <si>
    <t>ORD00488</t>
  </si>
  <si>
    <t>C3876</t>
  </si>
  <si>
    <t>ORD00489</t>
  </si>
  <si>
    <t>C7413</t>
  </si>
  <si>
    <t>P653</t>
  </si>
  <si>
    <t>ORD00490</t>
  </si>
  <si>
    <t>C3372</t>
  </si>
  <si>
    <t>ORD00491</t>
  </si>
  <si>
    <t>C8257</t>
  </si>
  <si>
    <t>ORD00492</t>
  </si>
  <si>
    <t>C8189</t>
  </si>
  <si>
    <t>ORD00493</t>
  </si>
  <si>
    <t>C3156</t>
  </si>
  <si>
    <t>P405</t>
  </si>
  <si>
    <t>ORD00494</t>
  </si>
  <si>
    <t>C7833</t>
  </si>
  <si>
    <t>P798</t>
  </si>
  <si>
    <t>ORD00495</t>
  </si>
  <si>
    <t>C9600</t>
  </si>
  <si>
    <t>P521</t>
  </si>
  <si>
    <t>ORD00496</t>
  </si>
  <si>
    <t>C6068</t>
  </si>
  <si>
    <t>P340</t>
  </si>
  <si>
    <t>ORD00497</t>
  </si>
  <si>
    <t>C5938</t>
  </si>
  <si>
    <t>ORD00498</t>
  </si>
  <si>
    <t>C4505</t>
  </si>
  <si>
    <t>P379</t>
  </si>
  <si>
    <t>ORD00499</t>
  </si>
  <si>
    <t>C5836</t>
  </si>
  <si>
    <t>P504</t>
  </si>
  <si>
    <t>ORD00500</t>
  </si>
  <si>
    <t>C9857</t>
  </si>
  <si>
    <t>P380</t>
  </si>
  <si>
    <t>ORD00501</t>
  </si>
  <si>
    <t>ORD00502</t>
  </si>
  <si>
    <t>ORD00503</t>
  </si>
  <si>
    <t>C2597</t>
  </si>
  <si>
    <t>P423</t>
  </si>
  <si>
    <t>ORD00504</t>
  </si>
  <si>
    <t>C2389</t>
  </si>
  <si>
    <t>P575</t>
  </si>
  <si>
    <t>ORD00505</t>
  </si>
  <si>
    <t>C2122</t>
  </si>
  <si>
    <t>P240</t>
  </si>
  <si>
    <t>ORD00506</t>
  </si>
  <si>
    <t>C6011</t>
  </si>
  <si>
    <t>P594</t>
  </si>
  <si>
    <t>ORD00507</t>
  </si>
  <si>
    <t>ORD00508</t>
  </si>
  <si>
    <t>C1983</t>
  </si>
  <si>
    <t>ORD00509</t>
  </si>
  <si>
    <t>C9142</t>
  </si>
  <si>
    <t>P899</t>
  </si>
  <si>
    <t>ORD00510</t>
  </si>
  <si>
    <t>C7438</t>
  </si>
  <si>
    <t>P622</t>
  </si>
  <si>
    <t>ORD00511</t>
  </si>
  <si>
    <t>C5805</t>
  </si>
  <si>
    <t>ORD00512</t>
  </si>
  <si>
    <t>C6805</t>
  </si>
  <si>
    <t>P220</t>
  </si>
  <si>
    <t>ORD00513</t>
  </si>
  <si>
    <t>C6527</t>
  </si>
  <si>
    <t>ORD00514</t>
  </si>
  <si>
    <t>C3489</t>
  </si>
  <si>
    <t>P335</t>
  </si>
  <si>
    <t>ORD00515</t>
  </si>
  <si>
    <t>C2463</t>
  </si>
  <si>
    <t>P451</t>
  </si>
  <si>
    <t>ORD00516</t>
  </si>
  <si>
    <t>C4357</t>
  </si>
  <si>
    <t>ORD00517</t>
  </si>
  <si>
    <t>C3417</t>
  </si>
  <si>
    <t>ORD00518</t>
  </si>
  <si>
    <t>C4835</t>
  </si>
  <si>
    <t>ORD00519</t>
  </si>
  <si>
    <t>C6039</t>
  </si>
  <si>
    <t>P609</t>
  </si>
  <si>
    <t>ORD00520</t>
  </si>
  <si>
    <t>C7479</t>
  </si>
  <si>
    <t>P207</t>
  </si>
  <si>
    <t>ORD00521</t>
  </si>
  <si>
    <t>C2466</t>
  </si>
  <si>
    <t>P301</t>
  </si>
  <si>
    <t>ORD00522</t>
  </si>
  <si>
    <t>C6650</t>
  </si>
  <si>
    <t>ORD00523</t>
  </si>
  <si>
    <t>C9613</t>
  </si>
  <si>
    <t>P337</t>
  </si>
  <si>
    <t>ORD00524</t>
  </si>
  <si>
    <t>C8673</t>
  </si>
  <si>
    <t>P784</t>
  </si>
  <si>
    <t>ORD00525</t>
  </si>
  <si>
    <t>C4600</t>
  </si>
  <si>
    <t>P953</t>
  </si>
  <si>
    <t>ORD00526</t>
  </si>
  <si>
    <t>C9432</t>
  </si>
  <si>
    <t>P509</t>
  </si>
  <si>
    <t>ORD00527</t>
  </si>
  <si>
    <t>C7332</t>
  </si>
  <si>
    <t>ORD00528</t>
  </si>
  <si>
    <t>C1893</t>
  </si>
  <si>
    <t>P139</t>
  </si>
  <si>
    <t>ORD00529</t>
  </si>
  <si>
    <t>C1255</t>
  </si>
  <si>
    <t>P347</t>
  </si>
  <si>
    <t>ORD00530</t>
  </si>
  <si>
    <t>C1377</t>
  </si>
  <si>
    <t>P542</t>
  </si>
  <si>
    <t>ORD00531</t>
  </si>
  <si>
    <t>C5160</t>
  </si>
  <si>
    <t>P435</t>
  </si>
  <si>
    <t>ORD00532</t>
  </si>
  <si>
    <t>C5180</t>
  </si>
  <si>
    <t>P155</t>
  </si>
  <si>
    <t>ORD00533</t>
  </si>
  <si>
    <t>C4861</t>
  </si>
  <si>
    <t>ORD00534</t>
  </si>
  <si>
    <t>C4137</t>
  </si>
  <si>
    <t>P614</t>
  </si>
  <si>
    <t>ORD00535</t>
  </si>
  <si>
    <t>C2340</t>
  </si>
  <si>
    <t>ORD00536</t>
  </si>
  <si>
    <t>C8604</t>
  </si>
  <si>
    <t>P749</t>
  </si>
  <si>
    <t>ORD00537</t>
  </si>
  <si>
    <t>C7971</t>
  </si>
  <si>
    <t>ORD00538</t>
  </si>
  <si>
    <t>C8404</t>
  </si>
  <si>
    <t>P244</t>
  </si>
  <si>
    <t>ORD00539</t>
  </si>
  <si>
    <t>C8784</t>
  </si>
  <si>
    <t>P493</t>
  </si>
  <si>
    <t>ORD00540</t>
  </si>
  <si>
    <t>C2452</t>
  </si>
  <si>
    <t>P726</t>
  </si>
  <si>
    <t>ORD00541</t>
  </si>
  <si>
    <t>C8341</t>
  </si>
  <si>
    <t>ORD00542</t>
  </si>
  <si>
    <t>C2529</t>
  </si>
  <si>
    <t>P400</t>
  </si>
  <si>
    <t>ORD00543</t>
  </si>
  <si>
    <t>C8295</t>
  </si>
  <si>
    <t>P647</t>
  </si>
  <si>
    <t>ORD00544</t>
  </si>
  <si>
    <t>C7173</t>
  </si>
  <si>
    <t>ORD00545</t>
  </si>
  <si>
    <t>C5239</t>
  </si>
  <si>
    <t>P817</t>
  </si>
  <si>
    <t>ORD00546</t>
  </si>
  <si>
    <t>C2028</t>
  </si>
  <si>
    <t>ORD00547</t>
  </si>
  <si>
    <t>C8484</t>
  </si>
  <si>
    <t>ORD00548</t>
  </si>
  <si>
    <t>C5518</t>
  </si>
  <si>
    <t>P754</t>
  </si>
  <si>
    <t>ORD00549</t>
  </si>
  <si>
    <t>C3612</t>
  </si>
  <si>
    <t>ORD00550</t>
  </si>
  <si>
    <t>C6142</t>
  </si>
  <si>
    <t>ORD00551</t>
  </si>
  <si>
    <t>C2190</t>
  </si>
  <si>
    <t>ORD00552</t>
  </si>
  <si>
    <t>C2335</t>
  </si>
  <si>
    <t>ORD00553</t>
  </si>
  <si>
    <t>C5699</t>
  </si>
  <si>
    <t>P516</t>
  </si>
  <si>
    <t>ORD00554</t>
  </si>
  <si>
    <t>C4490</t>
  </si>
  <si>
    <t>ORD00555</t>
  </si>
  <si>
    <t>P140</t>
  </si>
  <si>
    <t>ORD00556</t>
  </si>
  <si>
    <t>C8107</t>
  </si>
  <si>
    <t>ORD00557</t>
  </si>
  <si>
    <t>C3598</t>
  </si>
  <si>
    <t>P836</t>
  </si>
  <si>
    <t>ORD00558</t>
  </si>
  <si>
    <t>C7723</t>
  </si>
  <si>
    <t>ORD00559</t>
  </si>
  <si>
    <t>C2216</t>
  </si>
  <si>
    <t>P483</t>
  </si>
  <si>
    <t>ORD00560</t>
  </si>
  <si>
    <t>C6929</t>
  </si>
  <si>
    <t>P640</t>
  </si>
  <si>
    <t>ORD00561</t>
  </si>
  <si>
    <t>C7394</t>
  </si>
  <si>
    <t>P684</t>
  </si>
  <si>
    <t>ORD00562</t>
  </si>
  <si>
    <t>C9581</t>
  </si>
  <si>
    <t>ORD00563</t>
  </si>
  <si>
    <t>C5158</t>
  </si>
  <si>
    <t>ORD00564</t>
  </si>
  <si>
    <t>C3588</t>
  </si>
  <si>
    <t>P234</t>
  </si>
  <si>
    <t>ORD00565</t>
  </si>
  <si>
    <t>C9947</t>
  </si>
  <si>
    <t>ORD00566</t>
  </si>
  <si>
    <t>C9409</t>
  </si>
  <si>
    <t>P937</t>
  </si>
  <si>
    <t>ORD00567</t>
  </si>
  <si>
    <t>C5865</t>
  </si>
  <si>
    <t>P910</t>
  </si>
  <si>
    <t>ORD00568</t>
  </si>
  <si>
    <t>C2168</t>
  </si>
  <si>
    <t>ORD00569</t>
  </si>
  <si>
    <t>C3369</t>
  </si>
  <si>
    <t>ORD00570</t>
  </si>
  <si>
    <t>C8593</t>
  </si>
  <si>
    <t>ORD00571</t>
  </si>
  <si>
    <t>C8562</t>
  </si>
  <si>
    <t>ORD00572</t>
  </si>
  <si>
    <t>C7032</t>
  </si>
  <si>
    <t>ORD00573</t>
  </si>
  <si>
    <t>C1243</t>
  </si>
  <si>
    <t>ORD00574</t>
  </si>
  <si>
    <t>C8640</t>
  </si>
  <si>
    <t>ORD00575</t>
  </si>
  <si>
    <t>C7518</t>
  </si>
  <si>
    <t>ORD00576</t>
  </si>
  <si>
    <t>C3760</t>
  </si>
  <si>
    <t>P812</t>
  </si>
  <si>
    <t>ORD00577</t>
  </si>
  <si>
    <t>C2363</t>
  </si>
  <si>
    <t>ORD00578</t>
  </si>
  <si>
    <t>C7414</t>
  </si>
  <si>
    <t>P603</t>
  </si>
  <si>
    <t>ORD00579</t>
  </si>
  <si>
    <t>C3923</t>
  </si>
  <si>
    <t>P235</t>
  </si>
  <si>
    <t>ORD00580</t>
  </si>
  <si>
    <t>C4071</t>
  </si>
  <si>
    <t>ORD00581</t>
  </si>
  <si>
    <t>C1948</t>
  </si>
  <si>
    <t>ORD00582</t>
  </si>
  <si>
    <t>C4770</t>
  </si>
  <si>
    <t>ORD00583</t>
  </si>
  <si>
    <t>C4654</t>
  </si>
  <si>
    <t>P980</t>
  </si>
  <si>
    <t>ORD00584</t>
  </si>
  <si>
    <t>C6130</t>
  </si>
  <si>
    <t>ORD00585</t>
  </si>
  <si>
    <t>C6968</t>
  </si>
  <si>
    <t>ORD00586</t>
  </si>
  <si>
    <t>C3131</t>
  </si>
  <si>
    <t>P247</t>
  </si>
  <si>
    <t>ORD00587</t>
  </si>
  <si>
    <t>P692</t>
  </si>
  <si>
    <t>ORD00588</t>
  </si>
  <si>
    <t>C7772</t>
  </si>
  <si>
    <t>P735</t>
  </si>
  <si>
    <t>ORD00589</t>
  </si>
  <si>
    <t>C1761</t>
  </si>
  <si>
    <t>P537</t>
  </si>
  <si>
    <t>ORD00590</t>
  </si>
  <si>
    <t>C2907</t>
  </si>
  <si>
    <t>P940</t>
  </si>
  <si>
    <t>ORD00591</t>
  </si>
  <si>
    <t>C8297</t>
  </si>
  <si>
    <t>P690</t>
  </si>
  <si>
    <t>ORD00592</t>
  </si>
  <si>
    <t>C4785</t>
  </si>
  <si>
    <t>ORD00593</t>
  </si>
  <si>
    <t>C1042</t>
  </si>
  <si>
    <t>ORD00594</t>
  </si>
  <si>
    <t>P992</t>
  </si>
  <si>
    <t>ORD00595</t>
  </si>
  <si>
    <t>C5133</t>
  </si>
  <si>
    <t>P271</t>
  </si>
  <si>
    <t>ORD00596</t>
  </si>
  <si>
    <t>C2960</t>
  </si>
  <si>
    <t>ORD00597</t>
  </si>
  <si>
    <t>C9046</t>
  </si>
  <si>
    <t>P183</t>
  </si>
  <si>
    <t>ORD00598</t>
  </si>
  <si>
    <t>C1998</t>
  </si>
  <si>
    <t>P737</t>
  </si>
  <si>
    <t>ORD00599</t>
  </si>
  <si>
    <t>C4373</t>
  </si>
  <si>
    <t>P657</t>
  </si>
  <si>
    <t>ORD00600</t>
  </si>
  <si>
    <t>C3888</t>
  </si>
  <si>
    <t>ORD00601</t>
  </si>
  <si>
    <t>C5250</t>
  </si>
  <si>
    <t>P438</t>
  </si>
  <si>
    <t>ORD00602</t>
  </si>
  <si>
    <t>C4068</t>
  </si>
  <si>
    <t>P116</t>
  </si>
  <si>
    <t>ORD00603</t>
  </si>
  <si>
    <t>C6370</t>
  </si>
  <si>
    <t>ORD00604</t>
  </si>
  <si>
    <t>C2650</t>
  </si>
  <si>
    <t>ORD00605</t>
  </si>
  <si>
    <t>C9831</t>
  </si>
  <si>
    <t>ORD00606</t>
  </si>
  <si>
    <t>C4857</t>
  </si>
  <si>
    <t>P736</t>
  </si>
  <si>
    <t>ORD00607</t>
  </si>
  <si>
    <t>C2438</t>
  </si>
  <si>
    <t>P911</t>
  </si>
  <si>
    <t>ORD00608</t>
  </si>
  <si>
    <t>C7543</t>
  </si>
  <si>
    <t>ORD00609</t>
  </si>
  <si>
    <t>C5795</t>
  </si>
  <si>
    <t>P487</t>
  </si>
  <si>
    <t>ORD00610</t>
  </si>
  <si>
    <t>C5863</t>
  </si>
  <si>
    <t>P273</t>
  </si>
  <si>
    <t>ORD00611</t>
  </si>
  <si>
    <t>C8285</t>
  </si>
  <si>
    <t>ORD00612</t>
  </si>
  <si>
    <t>C9619</t>
  </si>
  <si>
    <t>P588</t>
  </si>
  <si>
    <t>ORD00613</t>
  </si>
  <si>
    <t>C8991</t>
  </si>
  <si>
    <t>P896</t>
  </si>
  <si>
    <t>ORD00614</t>
  </si>
  <si>
    <t>C4396</t>
  </si>
  <si>
    <t>ORD00615</t>
  </si>
  <si>
    <t>C6978</t>
  </si>
  <si>
    <t>P409</t>
  </si>
  <si>
    <t>ORD00616</t>
  </si>
  <si>
    <t>C8008</t>
  </si>
  <si>
    <t>P982</t>
  </si>
  <si>
    <t>ORD00617</t>
  </si>
  <si>
    <t>C8111</t>
  </si>
  <si>
    <t>ORD00618</t>
  </si>
  <si>
    <t>C2412</t>
  </si>
  <si>
    <t>P187</t>
  </si>
  <si>
    <t>ORD00619</t>
  </si>
  <si>
    <t>C3554</t>
  </si>
  <si>
    <t>ORD00620</t>
  </si>
  <si>
    <t>C4099</t>
  </si>
  <si>
    <t>ORD00621</t>
  </si>
  <si>
    <t>ORD00622</t>
  </si>
  <si>
    <t>P375</t>
  </si>
  <si>
    <t>ORD00623</t>
  </si>
  <si>
    <t>C7586</t>
  </si>
  <si>
    <t>P774</t>
  </si>
  <si>
    <t>ORD00624</t>
  </si>
  <si>
    <t>C8410</t>
  </si>
  <si>
    <t>P508</t>
  </si>
  <si>
    <t>ORD00625</t>
  </si>
  <si>
    <t>C5905</t>
  </si>
  <si>
    <t>ORD00626</t>
  </si>
  <si>
    <t>C9255</t>
  </si>
  <si>
    <t>ORD00627</t>
  </si>
  <si>
    <t>C3220</t>
  </si>
  <si>
    <t>ORD00628</t>
  </si>
  <si>
    <t>C4453</t>
  </si>
  <si>
    <t>ORD00629</t>
  </si>
  <si>
    <t>C7594</t>
  </si>
  <si>
    <t>ORD00630</t>
  </si>
  <si>
    <t>C1543</t>
  </si>
  <si>
    <t>ORD00631</t>
  </si>
  <si>
    <t>C3065</t>
  </si>
  <si>
    <t>P716</t>
  </si>
  <si>
    <t>ORD00632</t>
  </si>
  <si>
    <t>C4538</t>
  </si>
  <si>
    <t>ORD00633</t>
  </si>
  <si>
    <t>C9580</t>
  </si>
  <si>
    <t>P879</t>
  </si>
  <si>
    <t>ORD00634</t>
  </si>
  <si>
    <t>C2822</t>
  </si>
  <si>
    <t>P562</t>
  </si>
  <si>
    <t>ORD00635</t>
  </si>
  <si>
    <t>C4245</t>
  </si>
  <si>
    <t>P100</t>
  </si>
  <si>
    <t>ORD00636</t>
  </si>
  <si>
    <t>C9569</t>
  </si>
  <si>
    <t>ORD00637</t>
  </si>
  <si>
    <t>C3946</t>
  </si>
  <si>
    <t>P322</t>
  </si>
  <si>
    <t>ORD00638</t>
  </si>
  <si>
    <t>C8545</t>
  </si>
  <si>
    <t>P930</t>
  </si>
  <si>
    <t>ORD00639</t>
  </si>
  <si>
    <t>C1337</t>
  </si>
  <si>
    <t>ORD00640</t>
  </si>
  <si>
    <t>C3533</t>
  </si>
  <si>
    <t>ORD00641</t>
  </si>
  <si>
    <t>C3832</t>
  </si>
  <si>
    <t>ORD00642</t>
  </si>
  <si>
    <t>C1052</t>
  </si>
  <si>
    <t>ORD00643</t>
  </si>
  <si>
    <t>C1179</t>
  </si>
  <si>
    <t>P471</t>
  </si>
  <si>
    <t>ORD00644</t>
  </si>
  <si>
    <t>C2434</t>
  </si>
  <si>
    <t>P574</t>
  </si>
  <si>
    <t>ORD00645</t>
  </si>
  <si>
    <t>C4528</t>
  </si>
  <si>
    <t>ORD00646</t>
  </si>
  <si>
    <t>C4272</t>
  </si>
  <si>
    <t>ORD00647</t>
  </si>
  <si>
    <t>C8988</t>
  </si>
  <si>
    <t>ORD00648</t>
  </si>
  <si>
    <t>C4033</t>
  </si>
  <si>
    <t>P985</t>
  </si>
  <si>
    <t>ORD00649</t>
  </si>
  <si>
    <t>C8294</t>
  </si>
  <si>
    <t>ORD00650</t>
  </si>
  <si>
    <t>C8885</t>
  </si>
  <si>
    <t>ORD00651</t>
  </si>
  <si>
    <t>C6823</t>
  </si>
  <si>
    <t>P263</t>
  </si>
  <si>
    <t>ORD00652</t>
  </si>
  <si>
    <t>C9157</t>
  </si>
  <si>
    <t>ORD00653</t>
  </si>
  <si>
    <t>C4277</t>
  </si>
  <si>
    <t>ORD00654</t>
  </si>
  <si>
    <t>C5649</t>
  </si>
  <si>
    <t>ORD00655</t>
  </si>
  <si>
    <t>C3761</t>
  </si>
  <si>
    <t>P551</t>
  </si>
  <si>
    <t>ORD00656</t>
  </si>
  <si>
    <t>C1611</t>
  </si>
  <si>
    <t>ORD00657</t>
  </si>
  <si>
    <t>C7771</t>
  </si>
  <si>
    <t>ORD00658</t>
  </si>
  <si>
    <t>C3434</t>
  </si>
  <si>
    <t>P213</t>
  </si>
  <si>
    <t>ORD00659</t>
  </si>
  <si>
    <t>C1566</t>
  </si>
  <si>
    <t>ORD00660</t>
  </si>
  <si>
    <t>C3834</t>
  </si>
  <si>
    <t>ORD00661</t>
  </si>
  <si>
    <t>C5647</t>
  </si>
  <si>
    <t>ORD00662</t>
  </si>
  <si>
    <t>C6332</t>
  </si>
  <si>
    <t>ORD00663</t>
  </si>
  <si>
    <t>C3196</t>
  </si>
  <si>
    <t>P751</t>
  </si>
  <si>
    <t>ORD00664</t>
  </si>
  <si>
    <t>C6076</t>
  </si>
  <si>
    <t>ORD00665</t>
  </si>
  <si>
    <t>ORD00666</t>
  </si>
  <si>
    <t>C1602</t>
  </si>
  <si>
    <t>P546</t>
  </si>
  <si>
    <t>ORD00667</t>
  </si>
  <si>
    <t>C4740</t>
  </si>
  <si>
    <t>P744</t>
  </si>
  <si>
    <t>ORD00668</t>
  </si>
  <si>
    <t>C5404</t>
  </si>
  <si>
    <t>ORD00669</t>
  </si>
  <si>
    <t>C6164</t>
  </si>
  <si>
    <t>P208</t>
  </si>
  <si>
    <t>ORD00670</t>
  </si>
  <si>
    <t>C5535</t>
  </si>
  <si>
    <t>P122</t>
  </si>
  <si>
    <t>ORD00671</t>
  </si>
  <si>
    <t>C4592</t>
  </si>
  <si>
    <t>P290</t>
  </si>
  <si>
    <t>ORD00672</t>
  </si>
  <si>
    <t>C3036</t>
  </si>
  <si>
    <t>ORD00673</t>
  </si>
  <si>
    <t>C4823</t>
  </si>
  <si>
    <t>ORD00674</t>
  </si>
  <si>
    <t>C9113</t>
  </si>
  <si>
    <t>ORD00675</t>
  </si>
  <si>
    <t>C7854</t>
  </si>
  <si>
    <t>ORD00676</t>
  </si>
  <si>
    <t>C4411</t>
  </si>
  <si>
    <t>ORD00677</t>
  </si>
  <si>
    <t>C9884</t>
  </si>
  <si>
    <t>ORD00678</t>
  </si>
  <si>
    <t>C9554</t>
  </si>
  <si>
    <t>P821</t>
  </si>
  <si>
    <t>ORD00679</t>
  </si>
  <si>
    <t>C7670</t>
  </si>
  <si>
    <t>ORD00680</t>
  </si>
  <si>
    <t>C4299</t>
  </si>
  <si>
    <t>P153</t>
  </si>
  <si>
    <t>ORD00681</t>
  </si>
  <si>
    <t>C5066</t>
  </si>
  <si>
    <t>ORD00682</t>
  </si>
  <si>
    <t>C6515</t>
  </si>
  <si>
    <t>ORD00683</t>
  </si>
  <si>
    <t>C9595</t>
  </si>
  <si>
    <t>ORD00684</t>
  </si>
  <si>
    <t>C1107</t>
  </si>
  <si>
    <t>P569</t>
  </si>
  <si>
    <t>ORD00685</t>
  </si>
  <si>
    <t>C6749</t>
  </si>
  <si>
    <t>ORD00686</t>
  </si>
  <si>
    <t>C6720</t>
  </si>
  <si>
    <t>ORD00687</t>
  </si>
  <si>
    <t>C1443</t>
  </si>
  <si>
    <t>ORD00688</t>
  </si>
  <si>
    <t>C1119</t>
  </si>
  <si>
    <t>ORD00689</t>
  </si>
  <si>
    <t>C6632</t>
  </si>
  <si>
    <t>ORD00690</t>
  </si>
  <si>
    <t>C5579</t>
  </si>
  <si>
    <t>ORD00691</t>
  </si>
  <si>
    <t>C8045</t>
  </si>
  <si>
    <t>P107</t>
  </si>
  <si>
    <t>ORD00692</t>
  </si>
  <si>
    <t>C5493</t>
  </si>
  <si>
    <t>ORD00693</t>
  </si>
  <si>
    <t>C6217</t>
  </si>
  <si>
    <t>ORD00694</t>
  </si>
  <si>
    <t>C7551</t>
  </si>
  <si>
    <t>P431</t>
  </si>
  <si>
    <t>ORD00695</t>
  </si>
  <si>
    <t>C8007</t>
  </si>
  <si>
    <t>ORD00696</t>
  </si>
  <si>
    <t>C5799</t>
  </si>
  <si>
    <t>ORD00697</t>
  </si>
  <si>
    <t>C2758</t>
  </si>
  <si>
    <t>P300</t>
  </si>
  <si>
    <t>ORD00698</t>
  </si>
  <si>
    <t>C6099</t>
  </si>
  <si>
    <t>ORD00699</t>
  </si>
  <si>
    <t>P344</t>
  </si>
  <si>
    <t>ORD00700</t>
  </si>
  <si>
    <t>C4604</t>
  </si>
  <si>
    <t>P314</t>
  </si>
  <si>
    <t>ORD00701</t>
  </si>
  <si>
    <t>P722</t>
  </si>
  <si>
    <t>ORD00702</t>
  </si>
  <si>
    <t>C7159</t>
  </si>
  <si>
    <t>P600</t>
  </si>
  <si>
    <t>ORD00703</t>
  </si>
  <si>
    <t>C3790</t>
  </si>
  <si>
    <t>ORD00704</t>
  </si>
  <si>
    <t>C9184</t>
  </si>
  <si>
    <t>ORD00705</t>
  </si>
  <si>
    <t>C1880</t>
  </si>
  <si>
    <t>ORD00706</t>
  </si>
  <si>
    <t>C6476</t>
  </si>
  <si>
    <t>ORD00707</t>
  </si>
  <si>
    <t>C2123</t>
  </si>
  <si>
    <t>P311</t>
  </si>
  <si>
    <t>ORD00708</t>
  </si>
  <si>
    <t>C7193</t>
  </si>
  <si>
    <t>P330</t>
  </si>
  <si>
    <t>ORD00709</t>
  </si>
  <si>
    <t>C2205</t>
  </si>
  <si>
    <t>ORD00710</t>
  </si>
  <si>
    <t>C3994</t>
  </si>
  <si>
    <t>P702</t>
  </si>
  <si>
    <t>ORD00711</t>
  </si>
  <si>
    <t>C1794</t>
  </si>
  <si>
    <t>ORD00712</t>
  </si>
  <si>
    <t>C7128</t>
  </si>
  <si>
    <t>P120</t>
  </si>
  <si>
    <t>ORD00713</t>
  </si>
  <si>
    <t>C7262</t>
  </si>
  <si>
    <t>ORD00714</t>
  </si>
  <si>
    <t>C9357</t>
  </si>
  <si>
    <t>P663</t>
  </si>
  <si>
    <t>ORD00715</t>
  </si>
  <si>
    <t>C6962</t>
  </si>
  <si>
    <t>ORD00716</t>
  </si>
  <si>
    <t>C3947</t>
  </si>
  <si>
    <t>ORD00717</t>
  </si>
  <si>
    <t>C6677</t>
  </si>
  <si>
    <t>ORD00718</t>
  </si>
  <si>
    <t>C9042</t>
  </si>
  <si>
    <t>ORD00719</t>
  </si>
  <si>
    <t>C9729</t>
  </si>
  <si>
    <t>P282</t>
  </si>
  <si>
    <t>ORD00720</t>
  </si>
  <si>
    <t>C3777</t>
  </si>
  <si>
    <t>ORD00721</t>
  </si>
  <si>
    <t>C4828</t>
  </si>
  <si>
    <t>ORD00722</t>
  </si>
  <si>
    <t>C4318</t>
  </si>
  <si>
    <t>ORD00723</t>
  </si>
  <si>
    <t>C5611</t>
  </si>
  <si>
    <t>ORD00724</t>
  </si>
  <si>
    <t>C8495</t>
  </si>
  <si>
    <t>ORD00725</t>
  </si>
  <si>
    <t>C6490</t>
  </si>
  <si>
    <t>ORD00726</t>
  </si>
  <si>
    <t>C5947</t>
  </si>
  <si>
    <t>ORD00727</t>
  </si>
  <si>
    <t>C7368</t>
  </si>
  <si>
    <t>P373</t>
  </si>
  <si>
    <t>ORD00728</t>
  </si>
  <si>
    <t>C2927</t>
  </si>
  <si>
    <t>P883</t>
  </si>
  <si>
    <t>ORD00729</t>
  </si>
  <si>
    <t>C7379</t>
  </si>
  <si>
    <t>ORD00730</t>
  </si>
  <si>
    <t>C2991</t>
  </si>
  <si>
    <t>ORD00731</t>
  </si>
  <si>
    <t>C9728</t>
  </si>
  <si>
    <t>ORD00732</t>
  </si>
  <si>
    <t>C9828</t>
  </si>
  <si>
    <t>P705</t>
  </si>
  <si>
    <t>ORD00733</t>
  </si>
  <si>
    <t>C3277</t>
  </si>
  <si>
    <t>ORD00734</t>
  </si>
  <si>
    <t>C9395</t>
  </si>
  <si>
    <t>ORD00735</t>
  </si>
  <si>
    <t>C4999</t>
  </si>
  <si>
    <t>ORD00736</t>
  </si>
  <si>
    <t>C1039</t>
  </si>
  <si>
    <t>P580</t>
  </si>
  <si>
    <t>ORD00737</t>
  </si>
  <si>
    <t>C7392</t>
  </si>
  <si>
    <t>ORD00738</t>
  </si>
  <si>
    <t>C5089</t>
  </si>
  <si>
    <t>ORD00739</t>
  </si>
  <si>
    <t>C7988</t>
  </si>
  <si>
    <t>ORD00740</t>
  </si>
  <si>
    <t>C9922</t>
  </si>
  <si>
    <t>P137</t>
  </si>
  <si>
    <t>ORD00741</t>
  </si>
  <si>
    <t>C6339</t>
  </si>
  <si>
    <t>P316</t>
  </si>
  <si>
    <t>ORD00742</t>
  </si>
  <si>
    <t>C4293</t>
  </si>
  <si>
    <t>P425</t>
  </si>
  <si>
    <t>ORD00743</t>
  </si>
  <si>
    <t>C3616</t>
  </si>
  <si>
    <t>ORD00744</t>
  </si>
  <si>
    <t>C1978</t>
  </si>
  <si>
    <t>ORD00745</t>
  </si>
  <si>
    <t>ORD00746</t>
  </si>
  <si>
    <t>C3464</t>
  </si>
  <si>
    <t>ORD00747</t>
  </si>
  <si>
    <t>C1444</t>
  </si>
  <si>
    <t>ORD00748</t>
  </si>
  <si>
    <t>C7621</t>
  </si>
  <si>
    <t>ORD00749</t>
  </si>
  <si>
    <t>C5170</t>
  </si>
  <si>
    <t>P221</t>
  </si>
  <si>
    <t>ORD00750</t>
  </si>
  <si>
    <t>ORD00751</t>
  </si>
  <si>
    <t>C8815</t>
  </si>
  <si>
    <t>ORD00752</t>
  </si>
  <si>
    <t>C6690</t>
  </si>
  <si>
    <t>ORD00753</t>
  </si>
  <si>
    <t>C3812</t>
  </si>
  <si>
    <t>ORD00754</t>
  </si>
  <si>
    <t>C6374</t>
  </si>
  <si>
    <t>ORD00755</t>
  </si>
  <si>
    <t>C1585</t>
  </si>
  <si>
    <t>ORD00756</t>
  </si>
  <si>
    <t>C6806</t>
  </si>
  <si>
    <t>ORD00757</t>
  </si>
  <si>
    <t>C2462</t>
  </si>
  <si>
    <t>ORD00758</t>
  </si>
  <si>
    <t>C9347</t>
  </si>
  <si>
    <t>ORD00759</t>
  </si>
  <si>
    <t>C5757</t>
  </si>
  <si>
    <t>P936</t>
  </si>
  <si>
    <t>ORD00760</t>
  </si>
  <si>
    <t>C5625</t>
  </si>
  <si>
    <t>P231</t>
  </si>
  <si>
    <t>ORD00761</t>
  </si>
  <si>
    <t>C6034</t>
  </si>
  <si>
    <t>ORD00762</t>
  </si>
  <si>
    <t>C2075</t>
  </si>
  <si>
    <t>P627</t>
  </si>
  <si>
    <t>ORD00763</t>
  </si>
  <si>
    <t>C4073</t>
  </si>
  <si>
    <t>P428</t>
  </si>
  <si>
    <t>ORD00764</t>
  </si>
  <si>
    <t>C7014</t>
  </si>
  <si>
    <t>ORD00765</t>
  </si>
  <si>
    <t>C1803</t>
  </si>
  <si>
    <t>P867</t>
  </si>
  <si>
    <t>ORD00766</t>
  </si>
  <si>
    <t>C7135</t>
  </si>
  <si>
    <t>ORD00767</t>
  </si>
  <si>
    <t>C9578</t>
  </si>
  <si>
    <t>ORD00768</t>
  </si>
  <si>
    <t>C7062</t>
  </si>
  <si>
    <t>ORD00769</t>
  </si>
  <si>
    <t>C8375</t>
  </si>
  <si>
    <t>P907</t>
  </si>
  <si>
    <t>ORD00770</t>
  </si>
  <si>
    <t>C7369</t>
  </si>
  <si>
    <t>ORD00771</t>
  </si>
  <si>
    <t>C3298</t>
  </si>
  <si>
    <t>ORD00772</t>
  </si>
  <si>
    <t>C9735</t>
  </si>
  <si>
    <t>ORD00773</t>
  </si>
  <si>
    <t>C9376</t>
  </si>
  <si>
    <t>ORD00774</t>
  </si>
  <si>
    <t>C2267</t>
  </si>
  <si>
    <t>ORD00775</t>
  </si>
  <si>
    <t>C5608</t>
  </si>
  <si>
    <t>ORD00776</t>
  </si>
  <si>
    <t>C3722</t>
  </si>
  <si>
    <t>ORD00777</t>
  </si>
  <si>
    <t>C7569</t>
  </si>
  <si>
    <t>ORD00778</t>
  </si>
  <si>
    <t>C4718</t>
  </si>
  <si>
    <t>P559</t>
  </si>
  <si>
    <t>ORD00779</t>
  </si>
  <si>
    <t>C5385</t>
  </si>
  <si>
    <t>ORD00780</t>
  </si>
  <si>
    <t>C9840</t>
  </si>
  <si>
    <t>P525</t>
  </si>
  <si>
    <t>ORD00781</t>
  </si>
  <si>
    <t>C2200</t>
  </si>
  <si>
    <t>P329</t>
  </si>
  <si>
    <t>ORD00782</t>
  </si>
  <si>
    <t>C6467</t>
  </si>
  <si>
    <t>P106</t>
  </si>
  <si>
    <t>ORD00783</t>
  </si>
  <si>
    <t>C5370</t>
  </si>
  <si>
    <t>ORD00784</t>
  </si>
  <si>
    <t>C3680</t>
  </si>
  <si>
    <t>ORD00785</t>
  </si>
  <si>
    <t>C5945</t>
  </si>
  <si>
    <t>P142</t>
  </si>
  <si>
    <t>ORD00786</t>
  </si>
  <si>
    <t>C1046</t>
  </si>
  <si>
    <t>P360</t>
  </si>
  <si>
    <t>ORD00787</t>
  </si>
  <si>
    <t>C8740</t>
  </si>
  <si>
    <t>ORD00788</t>
  </si>
  <si>
    <t>C7118</t>
  </si>
  <si>
    <t>P876</t>
  </si>
  <si>
    <t>ORD00789</t>
  </si>
  <si>
    <t>C1736</t>
  </si>
  <si>
    <t>ORD00790</t>
  </si>
  <si>
    <t>C9487</t>
  </si>
  <si>
    <t>ORD00791</t>
  </si>
  <si>
    <t>P399</t>
  </si>
  <si>
    <t>ORD00792</t>
  </si>
  <si>
    <t>C5417</t>
  </si>
  <si>
    <t>ORD00793</t>
  </si>
  <si>
    <t>C5520</t>
  </si>
  <si>
    <t>ORD00794</t>
  </si>
  <si>
    <t>P119</t>
  </si>
  <si>
    <t>ORD00795</t>
  </si>
  <si>
    <t>C3938</t>
  </si>
  <si>
    <t>ORD00796</t>
  </si>
  <si>
    <t>C1654</t>
  </si>
  <si>
    <t>ORD00797</t>
  </si>
  <si>
    <t>C4847</t>
  </si>
  <si>
    <t>ORD00798</t>
  </si>
  <si>
    <t>C3210</t>
  </si>
  <si>
    <t>P792</t>
  </si>
  <si>
    <t>ORD00799</t>
  </si>
  <si>
    <t>C8027</t>
  </si>
  <si>
    <t>ORD00800</t>
  </si>
  <si>
    <t>C3963</t>
  </si>
  <si>
    <t>ORD00801</t>
  </si>
  <si>
    <t>C4462</t>
  </si>
  <si>
    <t>ORD00802</t>
  </si>
  <si>
    <t>C3187</t>
  </si>
  <si>
    <t>P195</t>
  </si>
  <si>
    <t>ORD00803</t>
  </si>
  <si>
    <t>C6141</t>
  </si>
  <si>
    <t>ORD00804</t>
  </si>
  <si>
    <t>C1259</t>
  </si>
  <si>
    <t>ORD00805</t>
  </si>
  <si>
    <t>ORD00806</t>
  </si>
  <si>
    <t>C1126</t>
  </si>
  <si>
    <t>P873</t>
  </si>
  <si>
    <t>ORD00807</t>
  </si>
  <si>
    <t>C6942</t>
  </si>
  <si>
    <t>ORD00808</t>
  </si>
  <si>
    <t>C2842</t>
  </si>
  <si>
    <t>ORD00809</t>
  </si>
  <si>
    <t>C6946</t>
  </si>
  <si>
    <t>ORD00810</t>
  </si>
  <si>
    <t>C6767</t>
  </si>
  <si>
    <t>ORD00811</t>
  </si>
  <si>
    <t>C5139</t>
  </si>
  <si>
    <t>ORD00812</t>
  </si>
  <si>
    <t>C9335</t>
  </si>
  <si>
    <t>ORD00813</t>
  </si>
  <si>
    <t>C2795</t>
  </si>
  <si>
    <t>ORD00814</t>
  </si>
  <si>
    <t>C5038</t>
  </si>
  <si>
    <t>ORD00815</t>
  </si>
  <si>
    <t>C9615</t>
  </si>
  <si>
    <t>P433</t>
  </si>
  <si>
    <t>ORD00816</t>
  </si>
  <si>
    <t>C6799</t>
  </si>
  <si>
    <t>ORD00817</t>
  </si>
  <si>
    <t>C4485</t>
  </si>
  <si>
    <t>ORD00818</t>
  </si>
  <si>
    <t>C9492</t>
  </si>
  <si>
    <t>P175</t>
  </si>
  <si>
    <t>ORD00819</t>
  </si>
  <si>
    <t>C9576</t>
  </si>
  <si>
    <t>P598</t>
  </si>
  <si>
    <t>ORD00820</t>
  </si>
  <si>
    <t>P680</t>
  </si>
  <si>
    <t>ORD00821</t>
  </si>
  <si>
    <t>C8607</t>
  </si>
  <si>
    <t>ORD00822</t>
  </si>
  <si>
    <t>C9110</t>
  </si>
  <si>
    <t>ORD00823</t>
  </si>
  <si>
    <t>ORD00824</t>
  </si>
  <si>
    <t>C6108</t>
  </si>
  <si>
    <t>ORD00825</t>
  </si>
  <si>
    <t>C5174</t>
  </si>
  <si>
    <t>ORD00826</t>
  </si>
  <si>
    <t>C2019</t>
  </si>
  <si>
    <t>P983</t>
  </si>
  <si>
    <t>ORD00827</t>
  </si>
  <si>
    <t>C2661</t>
  </si>
  <si>
    <t>P318</t>
  </si>
  <si>
    <t>ORD00828</t>
  </si>
  <si>
    <t>C7367</t>
  </si>
  <si>
    <t>ORD00829</t>
  </si>
  <si>
    <t>C4765</t>
  </si>
  <si>
    <t>P237</t>
  </si>
  <si>
    <t>ORD00830</t>
  </si>
  <si>
    <t>C5977</t>
  </si>
  <si>
    <t>P514</t>
  </si>
  <si>
    <t>ORD00831</t>
  </si>
  <si>
    <t>C7968</t>
  </si>
  <si>
    <t>ORD00832</t>
  </si>
  <si>
    <t>P782</t>
  </si>
  <si>
    <t>ORD00833</t>
  </si>
  <si>
    <t>C5626</t>
  </si>
  <si>
    <t>ORD00834</t>
  </si>
  <si>
    <t>C4722</t>
  </si>
  <si>
    <t>ORD00835</t>
  </si>
  <si>
    <t>P758</t>
  </si>
  <si>
    <t>ORD00836</t>
  </si>
  <si>
    <t>C7325</t>
  </si>
  <si>
    <t>ORD00837</t>
  </si>
  <si>
    <t>C9973</t>
  </si>
  <si>
    <t>ORD00838</t>
  </si>
  <si>
    <t>C6432</t>
  </si>
  <si>
    <t>ORD00839</t>
  </si>
  <si>
    <t>P768</t>
  </si>
  <si>
    <t>ORD00840</t>
  </si>
  <si>
    <t>C9100</t>
  </si>
  <si>
    <t>P991</t>
  </si>
  <si>
    <t>ORD00841</t>
  </si>
  <si>
    <t>C7578</t>
  </si>
  <si>
    <t>ORD00842</t>
  </si>
  <si>
    <t>C5418</t>
  </si>
  <si>
    <t>ORD00843</t>
  </si>
  <si>
    <t>C2027</t>
  </si>
  <si>
    <t>ORD00844</t>
  </si>
  <si>
    <t>C3135</t>
  </si>
  <si>
    <t>P299</t>
  </si>
  <si>
    <t>ORD00845</t>
  </si>
  <si>
    <t>C3519</t>
  </si>
  <si>
    <t>ORD00846</t>
  </si>
  <si>
    <t>P941</t>
  </si>
  <si>
    <t>ORD00847</t>
  </si>
  <si>
    <t>C5060</t>
  </si>
  <si>
    <t>ORD00848</t>
  </si>
  <si>
    <t>C6040</t>
  </si>
  <si>
    <t>P358</t>
  </si>
  <si>
    <t>ORD00849</t>
  </si>
  <si>
    <t>C1505</t>
  </si>
  <si>
    <t>ORD00850</t>
  </si>
  <si>
    <t>C8963</t>
  </si>
  <si>
    <t>P857</t>
  </si>
  <si>
    <t>ORD00851</t>
  </si>
  <si>
    <t>C4206</t>
  </si>
  <si>
    <t>P557</t>
  </si>
  <si>
    <t>ORD00852</t>
  </si>
  <si>
    <t>C7448</t>
  </si>
  <si>
    <t>ORD00853</t>
  </si>
  <si>
    <t>C5526</t>
  </si>
  <si>
    <t>ORD00854</t>
  </si>
  <si>
    <t>C4018</t>
  </si>
  <si>
    <t>P652</t>
  </si>
  <si>
    <t>ORD00855</t>
  </si>
  <si>
    <t>C4418</t>
  </si>
  <si>
    <t>ORD00856</t>
  </si>
  <si>
    <t>C4555</t>
  </si>
  <si>
    <t>P345</t>
  </si>
  <si>
    <t>ORD00857</t>
  </si>
  <si>
    <t>C1173</t>
  </si>
  <si>
    <t>ORD00858</t>
  </si>
  <si>
    <t>C8049</t>
  </si>
  <si>
    <t>P413</t>
  </si>
  <si>
    <t>ORD00859</t>
  </si>
  <si>
    <t>C2757</t>
  </si>
  <si>
    <t>P124</t>
  </si>
  <si>
    <t>ORD00860</t>
  </si>
  <si>
    <t>C3646</t>
  </si>
  <si>
    <t>ORD00861</t>
  </si>
  <si>
    <t>C9687</t>
  </si>
  <si>
    <t>ORD00862</t>
  </si>
  <si>
    <t>C2642</t>
  </si>
  <si>
    <t>ORD00863</t>
  </si>
  <si>
    <t>C9106</t>
  </si>
  <si>
    <t>P317</t>
  </si>
  <si>
    <t>ORD00864</t>
  </si>
  <si>
    <t>C4474</t>
  </si>
  <si>
    <t>ORD00865</t>
  </si>
  <si>
    <t>C7895</t>
  </si>
  <si>
    <t>P850</t>
  </si>
  <si>
    <t>ORD00866</t>
  </si>
  <si>
    <t>C2554</t>
  </si>
  <si>
    <t>ORD00867</t>
  </si>
  <si>
    <t>C5764</t>
  </si>
  <si>
    <t>P583</t>
  </si>
  <si>
    <t>ORD00868</t>
  </si>
  <si>
    <t>C5862</t>
  </si>
  <si>
    <t>ORD00869</t>
  </si>
  <si>
    <t>C8747</t>
  </si>
  <si>
    <t>ORD00870</t>
  </si>
  <si>
    <t>C8614</t>
  </si>
  <si>
    <t>ORD00871</t>
  </si>
  <si>
    <t>C2092</t>
  </si>
  <si>
    <t>P695</t>
  </si>
  <si>
    <t>ORD00872</t>
  </si>
  <si>
    <t>C6417</t>
  </si>
  <si>
    <t>ORD00873</t>
  </si>
  <si>
    <t>C8479</t>
  </si>
  <si>
    <t>P636</t>
  </si>
  <si>
    <t>ORD00874</t>
  </si>
  <si>
    <t>C9394</t>
  </si>
  <si>
    <t>ORD00875</t>
  </si>
  <si>
    <t>C2883</t>
  </si>
  <si>
    <t>ORD00876</t>
  </si>
  <si>
    <t>C6222</t>
  </si>
  <si>
    <t>ORD00877</t>
  </si>
  <si>
    <t>C5189</t>
  </si>
  <si>
    <t>ORD00878</t>
  </si>
  <si>
    <t>C8244</t>
  </si>
  <si>
    <t>P486</t>
  </si>
  <si>
    <t>ORD00879</t>
  </si>
  <si>
    <t>C6060</t>
  </si>
  <si>
    <t>P305</t>
  </si>
  <si>
    <t>ORD00880</t>
  </si>
  <si>
    <t>P938</t>
  </si>
  <si>
    <t>ORD00881</t>
  </si>
  <si>
    <t>C4725</t>
  </si>
  <si>
    <t>ORD00882</t>
  </si>
  <si>
    <t>ORD00883</t>
  </si>
  <si>
    <t>C8517</t>
  </si>
  <si>
    <t>ORD00884</t>
  </si>
  <si>
    <t>C1481</t>
  </si>
  <si>
    <t>P766</t>
  </si>
  <si>
    <t>ORD00885</t>
  </si>
  <si>
    <t>C4333</t>
  </si>
  <si>
    <t>P666</t>
  </si>
  <si>
    <t>ORD00886</t>
  </si>
  <si>
    <t>C7549</t>
  </si>
  <si>
    <t>P495</t>
  </si>
  <si>
    <t>ORD00887</t>
  </si>
  <si>
    <t>C9862</t>
  </si>
  <si>
    <t>P729</t>
  </si>
  <si>
    <t>ORD00888</t>
  </si>
  <si>
    <t>C1846</t>
  </si>
  <si>
    <t>P796</t>
  </si>
  <si>
    <t>ORD00889</t>
  </si>
  <si>
    <t>C1064</t>
  </si>
  <si>
    <t>ORD00890</t>
  </si>
  <si>
    <t>C8151</t>
  </si>
  <si>
    <t>ORD00891</t>
  </si>
  <si>
    <t>C4227</t>
  </si>
  <si>
    <t>ORD00892</t>
  </si>
  <si>
    <t>C2275</t>
  </si>
  <si>
    <t>ORD00893</t>
  </si>
  <si>
    <t>C2671</t>
  </si>
  <si>
    <t>ORD00894</t>
  </si>
  <si>
    <t>C6900</t>
  </si>
  <si>
    <t>P267</t>
  </si>
  <si>
    <t>ORD00895</t>
  </si>
  <si>
    <t>C8615</t>
  </si>
  <si>
    <t>ORD00896</t>
  </si>
  <si>
    <t>C9608</t>
  </si>
  <si>
    <t>ORD00897</t>
  </si>
  <si>
    <t>C8942</t>
  </si>
  <si>
    <t>ORD00898</t>
  </si>
  <si>
    <t>C2773</t>
  </si>
  <si>
    <t>P707</t>
  </si>
  <si>
    <t>ORD00899</t>
  </si>
  <si>
    <t>C5813</t>
  </si>
  <si>
    <t>P269</t>
  </si>
  <si>
    <t>ORD00900</t>
  </si>
  <si>
    <t>C2124</t>
  </si>
  <si>
    <t>ORD00901</t>
  </si>
  <si>
    <t>C4087</t>
  </si>
  <si>
    <t>ORD00902</t>
  </si>
  <si>
    <t>C9224</t>
  </si>
  <si>
    <t>ORD00903</t>
  </si>
  <si>
    <t>ORD00904</t>
  </si>
  <si>
    <t>C7597</t>
  </si>
  <si>
    <t>ORD00905</t>
  </si>
  <si>
    <t>C1197</t>
  </si>
  <si>
    <t>ORD00906</t>
  </si>
  <si>
    <t>C1858</t>
  </si>
  <si>
    <t>ORD00907</t>
  </si>
  <si>
    <t>C4086</t>
  </si>
  <si>
    <t>ORD00908</t>
  </si>
  <si>
    <t>C4558</t>
  </si>
  <si>
    <t>P714</t>
  </si>
  <si>
    <t>ORD00909</t>
  </si>
  <si>
    <t>C7243</t>
  </si>
  <si>
    <t>ORD00910</t>
  </si>
  <si>
    <t>C2608</t>
  </si>
  <si>
    <t>ORD00911</t>
  </si>
  <si>
    <t>C3773</t>
  </si>
  <si>
    <t>P500</t>
  </si>
  <si>
    <t>ORD00912</t>
  </si>
  <si>
    <t>C3408</t>
  </si>
  <si>
    <t>P713</t>
  </si>
  <si>
    <t>ORD00913</t>
  </si>
  <si>
    <t>C8921</t>
  </si>
  <si>
    <t>P740</t>
  </si>
  <si>
    <t>ORD00914</t>
  </si>
  <si>
    <t>C4797</t>
  </si>
  <si>
    <t>ORD00915</t>
  </si>
  <si>
    <t>C3276</t>
  </si>
  <si>
    <t>ORD00916</t>
  </si>
  <si>
    <t>C8845</t>
  </si>
  <si>
    <t>P861</t>
  </si>
  <si>
    <t>ORD00917</t>
  </si>
  <si>
    <t>C1886</t>
  </si>
  <si>
    <t>ORD00918</t>
  </si>
  <si>
    <t>C9856</t>
  </si>
  <si>
    <t>ORD00919</t>
  </si>
  <si>
    <t>P112</t>
  </si>
  <si>
    <t>ORD00920</t>
  </si>
  <si>
    <t>C1452</t>
  </si>
  <si>
    <t>P699</t>
  </si>
  <si>
    <t>ORD00921</t>
  </si>
  <si>
    <t>C1089</t>
  </si>
  <si>
    <t>P481</t>
  </si>
  <si>
    <t>ORD00922</t>
  </si>
  <si>
    <t>C9488</t>
  </si>
  <si>
    <t>ORD00923</t>
  </si>
  <si>
    <t>C4029</t>
  </si>
  <si>
    <t>ORD00924</t>
  </si>
  <si>
    <t>C2033</t>
  </si>
  <si>
    <t>P813</t>
  </si>
  <si>
    <t>ORD00925</t>
  </si>
  <si>
    <t>C6573</t>
  </si>
  <si>
    <t>P967</t>
  </si>
  <si>
    <t>ORD00926</t>
  </si>
  <si>
    <t>C4949</t>
  </si>
  <si>
    <t>P364</t>
  </si>
  <si>
    <t>ORD00927</t>
  </si>
  <si>
    <t>C2792</t>
  </si>
  <si>
    <t>P943</t>
  </si>
  <si>
    <t>ORD00928</t>
  </si>
  <si>
    <t>C8217</t>
  </si>
  <si>
    <t>ORD00929</t>
  </si>
  <si>
    <t>C8499</t>
  </si>
  <si>
    <t>ORD00930</t>
  </si>
  <si>
    <t>C6702</t>
  </si>
  <si>
    <t>ORD00931</t>
  </si>
  <si>
    <t>C6462</t>
  </si>
  <si>
    <t>ORD00932</t>
  </si>
  <si>
    <t>C3212</t>
  </si>
  <si>
    <t>ORD00933</t>
  </si>
  <si>
    <t>C9874</t>
  </si>
  <si>
    <t>P144</t>
  </si>
  <si>
    <t>ORD00934</t>
  </si>
  <si>
    <t>C2271</t>
  </si>
  <si>
    <t>ORD00935</t>
  </si>
  <si>
    <t>C6224</t>
  </si>
  <si>
    <t>P931</t>
  </si>
  <si>
    <t>ORD00936</t>
  </si>
  <si>
    <t>C6809</t>
  </si>
  <si>
    <t>P256</t>
  </si>
  <si>
    <t>ORD00937</t>
  </si>
  <si>
    <t>C6145</t>
  </si>
  <si>
    <t>ORD00938</t>
  </si>
  <si>
    <t>C4560</t>
  </si>
  <si>
    <t>P374</t>
  </si>
  <si>
    <t>ORD00939</t>
  </si>
  <si>
    <t>C3138</t>
  </si>
  <si>
    <t>ORD00940</t>
  </si>
  <si>
    <t>C6526</t>
  </si>
  <si>
    <t>P654</t>
  </si>
  <si>
    <t>ORD00941</t>
  </si>
  <si>
    <t>C3955</t>
  </si>
  <si>
    <t>ORD00942</t>
  </si>
  <si>
    <t>C7124</t>
  </si>
  <si>
    <t>ORD00943</t>
  </si>
  <si>
    <t>C1168</t>
  </si>
  <si>
    <t>ORD00944</t>
  </si>
  <si>
    <t>C7189</t>
  </si>
  <si>
    <t>P286</t>
  </si>
  <si>
    <t>ORD00945</t>
  </si>
  <si>
    <t>C5028</t>
  </si>
  <si>
    <t>P336</t>
  </si>
  <si>
    <t>ORD00946</t>
  </si>
  <si>
    <t>C8144</t>
  </si>
  <si>
    <t>ORD00947</t>
  </si>
  <si>
    <t>C5978</t>
  </si>
  <si>
    <t>P852</t>
  </si>
  <si>
    <t>ORD00948</t>
  </si>
  <si>
    <t>C2120</t>
  </si>
  <si>
    <t>ORD00949</t>
  </si>
  <si>
    <t>C7289</t>
  </si>
  <si>
    <t>P725</t>
  </si>
  <si>
    <t>ORD00950</t>
  </si>
  <si>
    <t>C6101</t>
  </si>
  <si>
    <t>ORD00951</t>
  </si>
  <si>
    <t>C9054</t>
  </si>
  <si>
    <t>ORD00952</t>
  </si>
  <si>
    <t>C3890</t>
  </si>
  <si>
    <t>ORD00953</t>
  </si>
  <si>
    <t>P882</t>
  </si>
  <si>
    <t>ORD00954</t>
  </si>
  <si>
    <t>C8060</t>
  </si>
  <si>
    <t>ORD00955</t>
  </si>
  <si>
    <t>C2325</t>
  </si>
  <si>
    <t>P909</t>
  </si>
  <si>
    <t>ORD00956</t>
  </si>
  <si>
    <t>C7540</t>
  </si>
  <si>
    <t>ORD00957</t>
  </si>
  <si>
    <t>C5456</t>
  </si>
  <si>
    <t>ORD00958</t>
  </si>
  <si>
    <t>C1953</t>
  </si>
  <si>
    <t>P275</t>
  </si>
  <si>
    <t>ORD00959</t>
  </si>
  <si>
    <t>C5638</t>
  </si>
  <si>
    <t>ORD00960</t>
  </si>
  <si>
    <t>C5470</t>
  </si>
  <si>
    <t>P386</t>
  </si>
  <si>
    <t>ORD00961</t>
  </si>
  <si>
    <t>C3692</t>
  </si>
  <si>
    <t>ORD00962</t>
  </si>
  <si>
    <t>C6122</t>
  </si>
  <si>
    <t>P441</t>
  </si>
  <si>
    <t>ORD00963</t>
  </si>
  <si>
    <t>C9503</t>
  </si>
  <si>
    <t>P918</t>
  </si>
  <si>
    <t>ORD00964</t>
  </si>
  <si>
    <t>C6193</t>
  </si>
  <si>
    <t>ORD00965</t>
  </si>
  <si>
    <t>C5955</t>
  </si>
  <si>
    <t>P363</t>
  </si>
  <si>
    <t>ORD00966</t>
  </si>
  <si>
    <t>C2819</t>
  </si>
  <si>
    <t>ORD00967</t>
  </si>
  <si>
    <t>C3868</t>
  </si>
  <si>
    <t>ORD00968</t>
  </si>
  <si>
    <t>C7630</t>
  </si>
  <si>
    <t>ORD00969</t>
  </si>
  <si>
    <t>ORD00970</t>
  </si>
  <si>
    <t>C5484</t>
  </si>
  <si>
    <t>ORD00971</t>
  </si>
  <si>
    <t>C2375</t>
  </si>
  <si>
    <t>ORD00972</t>
  </si>
  <si>
    <t>ORD00973</t>
  </si>
  <si>
    <t>C5829</t>
  </si>
  <si>
    <t>ORD00974</t>
  </si>
  <si>
    <t>C6405</t>
  </si>
  <si>
    <t>ORD00975</t>
  </si>
  <si>
    <t>C8346</t>
  </si>
  <si>
    <t>ORD00976</t>
  </si>
  <si>
    <t>C4321</t>
  </si>
  <si>
    <t>ORD00977</t>
  </si>
  <si>
    <t>C6059</t>
  </si>
  <si>
    <t>ORD00978</t>
  </si>
  <si>
    <t>C7829</t>
  </si>
  <si>
    <t>ORD00979</t>
  </si>
  <si>
    <t>C7681</t>
  </si>
  <si>
    <t>P947</t>
  </si>
  <si>
    <t>ORD00980</t>
  </si>
  <si>
    <t>C2995</t>
  </si>
  <si>
    <t>ORD00981</t>
  </si>
  <si>
    <t>C2083</t>
  </si>
  <si>
    <t>P387</t>
  </si>
  <si>
    <t>ORD00982</t>
  </si>
  <si>
    <t>P974</t>
  </si>
  <si>
    <t>ORD00983</t>
  </si>
  <si>
    <t>C4486</t>
  </si>
  <si>
    <t>P196</t>
  </si>
  <si>
    <t>ORD00984</t>
  </si>
  <si>
    <t>C5261</t>
  </si>
  <si>
    <t>ORD00985</t>
  </si>
  <si>
    <t>C9153</t>
  </si>
  <si>
    <t>P975</t>
  </si>
  <si>
    <t>ORD00986</t>
  </si>
  <si>
    <t>C6128</t>
  </si>
  <si>
    <t>ORD00987</t>
  </si>
  <si>
    <t>C8686</t>
  </si>
  <si>
    <t>P764</t>
  </si>
  <si>
    <t>ORD00988</t>
  </si>
  <si>
    <t>ORD00989</t>
  </si>
  <si>
    <t>ORD00990</t>
  </si>
  <si>
    <t>ORD00991</t>
  </si>
  <si>
    <t>ORD00992</t>
  </si>
  <si>
    <t>ORD00993</t>
  </si>
  <si>
    <t>C6321</t>
  </si>
  <si>
    <t>ORD00994</t>
  </si>
  <si>
    <t>C5251</t>
  </si>
  <si>
    <t>ORD00995</t>
  </si>
  <si>
    <t>C9654</t>
  </si>
  <si>
    <t>P925</t>
  </si>
  <si>
    <t>ORD00996</t>
  </si>
  <si>
    <t>P631</t>
  </si>
  <si>
    <t>ORD00997</t>
  </si>
  <si>
    <t>ORD00998</t>
  </si>
  <si>
    <t>C7400</t>
  </si>
  <si>
    <t>ORD00999</t>
  </si>
  <si>
    <t>C4775</t>
  </si>
  <si>
    <t>P884</t>
  </si>
  <si>
    <t>ORD01000</t>
  </si>
  <si>
    <t>C7739</t>
  </si>
  <si>
    <t xml:space="preserve"> Ratings</t>
  </si>
  <si>
    <t>Order id</t>
  </si>
  <si>
    <t>Kurtha</t>
  </si>
  <si>
    <t>New York</t>
  </si>
  <si>
    <t>California</t>
  </si>
  <si>
    <t>Los Angeles</t>
  </si>
  <si>
    <t>Texas</t>
  </si>
  <si>
    <t>Houston</t>
  </si>
  <si>
    <t>Washington</t>
  </si>
  <si>
    <t>Seattle</t>
  </si>
  <si>
    <t>Florida</t>
  </si>
  <si>
    <t>Miami</t>
  </si>
  <si>
    <t>Illinois</t>
  </si>
  <si>
    <t>Arizona</t>
  </si>
  <si>
    <t>Georgia</t>
  </si>
  <si>
    <t>Ohio</t>
  </si>
  <si>
    <t>Virginia</t>
  </si>
  <si>
    <t>Augusta</t>
  </si>
  <si>
    <t>Alabama</t>
  </si>
  <si>
    <t>Montgomery</t>
  </si>
  <si>
    <t>Minnesota</t>
  </si>
  <si>
    <t>Saint Paul</t>
  </si>
  <si>
    <t>Indiana</t>
  </si>
  <si>
    <t>Fort Wayne</t>
  </si>
  <si>
    <t>Virginia Beach</t>
  </si>
  <si>
    <t>Cleveland</t>
  </si>
  <si>
    <t>Tucson</t>
  </si>
  <si>
    <t>Phoenix</t>
  </si>
  <si>
    <t>Wisconsin</t>
  </si>
  <si>
    <t>Milwaukee</t>
  </si>
  <si>
    <t>Birmingham</t>
  </si>
  <si>
    <t>Columbus</t>
  </si>
  <si>
    <t>Austin</t>
  </si>
  <si>
    <t>New Jersey</t>
  </si>
  <si>
    <t>Newark</t>
  </si>
  <si>
    <t>North Carolina</t>
  </si>
  <si>
    <t>Raleigh</t>
  </si>
  <si>
    <t>Oregon</t>
  </si>
  <si>
    <t>Portland</t>
  </si>
  <si>
    <t>Madison</t>
  </si>
  <si>
    <t>Maryland</t>
  </si>
  <si>
    <t>Annapolis</t>
  </si>
  <si>
    <t>Massachusetts</t>
  </si>
  <si>
    <t>Boston</t>
  </si>
  <si>
    <t>Missouri</t>
  </si>
  <si>
    <t>Kansas City</t>
  </si>
  <si>
    <t>Tennessee</t>
  </si>
  <si>
    <t>Nashville</t>
  </si>
  <si>
    <t>Dallas</t>
  </si>
  <si>
    <t>Pennsylvania</t>
  </si>
  <si>
    <t>Pittsburgh</t>
  </si>
  <si>
    <t>St. Louis</t>
  </si>
  <si>
    <t>Cambridge</t>
  </si>
  <si>
    <t>Colorado</t>
  </si>
  <si>
    <t>Denver</t>
  </si>
  <si>
    <t>Chicago</t>
  </si>
  <si>
    <t>South Carolina</t>
  </si>
  <si>
    <t>Charleston</t>
  </si>
  <si>
    <t>Richmond</t>
  </si>
  <si>
    <t>Savannah</t>
  </si>
  <si>
    <t>Michigan</t>
  </si>
  <si>
    <t>Grand Rapids</t>
  </si>
  <si>
    <t>Baltimore</t>
  </si>
  <si>
    <t>Philadelphia</t>
  </si>
  <si>
    <t>Salem</t>
  </si>
  <si>
    <t>Charlotte</t>
  </si>
  <si>
    <t>Detroit</t>
  </si>
  <si>
    <t>Buffalo</t>
  </si>
  <si>
    <t>Minneapolis</t>
  </si>
  <si>
    <t>Jersey City</t>
  </si>
  <si>
    <t>Tampa</t>
  </si>
  <si>
    <t>Colorado Springs</t>
  </si>
  <si>
    <t>San Diego</t>
  </si>
  <si>
    <t>Indianapolis</t>
  </si>
  <si>
    <t>Memphis</t>
  </si>
  <si>
    <t>Springfield</t>
  </si>
  <si>
    <t>Atlanta</t>
  </si>
  <si>
    <t>San Francisco</t>
  </si>
  <si>
    <t>Orlando</t>
  </si>
  <si>
    <t>Spokane</t>
  </si>
  <si>
    <t>Columbia</t>
  </si>
  <si>
    <t>Worcester</t>
  </si>
  <si>
    <t>Sacramento</t>
  </si>
  <si>
    <t>Greensboro</t>
  </si>
  <si>
    <t>San Antonio</t>
  </si>
  <si>
    <t>Rochester</t>
  </si>
  <si>
    <t>Albany</t>
  </si>
  <si>
    <t>Trenton</t>
  </si>
  <si>
    <t>Lansing</t>
  </si>
  <si>
    <t>Allentown</t>
  </si>
  <si>
    <t>Jacksonville</t>
  </si>
  <si>
    <t>Greenville</t>
  </si>
  <si>
    <t>Naperville</t>
  </si>
  <si>
    <t>Eugene</t>
  </si>
  <si>
    <t>Evansville</t>
  </si>
  <si>
    <t>Cincinnati</t>
  </si>
  <si>
    <t>Mesa</t>
  </si>
  <si>
    <t>Boulder</t>
  </si>
  <si>
    <t>Tacoma</t>
  </si>
  <si>
    <t>Frederick</t>
  </si>
  <si>
    <t>Knoxville</t>
  </si>
  <si>
    <t>Norfolk</t>
  </si>
  <si>
    <t>Green Bay</t>
  </si>
  <si>
    <t>Valentina Rodriguez</t>
  </si>
  <si>
    <t>Noah Jones</t>
  </si>
  <si>
    <t>Valentina Chen</t>
  </si>
  <si>
    <t>Valentina Jones</t>
  </si>
  <si>
    <t>Sofia Jones</t>
  </si>
  <si>
    <t>Sofia Brown</t>
  </si>
  <si>
    <t>Olivia Moore</t>
  </si>
  <si>
    <t>Olivia Lopez</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</si>
  <si>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</si>
  <si>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</si>
  <si>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</si>
  <si>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</si>
  <si>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</si>
  <si>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</si>
  <si>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</si>
  <si>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</si>
  <si>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</si>
  <si>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</si>
  <si>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</si>
  <si>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</si>
  <si>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</si>
  <si>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</si>
  <si>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</si>
  <si>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</si>
  <si>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</si>
  <si>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</si>
  <si>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P747</t>
  </si>
  <si>
    <t>P750</t>
  </si>
  <si>
    <t>P759</t>
  </si>
  <si>
    <t>P760</t>
  </si>
  <si>
    <t>P761</t>
  </si>
  <si>
    <t>Month</t>
  </si>
  <si>
    <t>Sales</t>
  </si>
  <si>
    <t>Profit</t>
  </si>
  <si>
    <t>Row Labels</t>
  </si>
  <si>
    <t>Count of Order id</t>
  </si>
  <si>
    <t>Sum of Sales</t>
  </si>
  <si>
    <t>Count of Customer ID</t>
  </si>
  <si>
    <t>Sum of Profit</t>
  </si>
  <si>
    <t>Average of  Ratings</t>
  </si>
  <si>
    <t>Values</t>
  </si>
  <si>
    <t>Total Orders</t>
  </si>
  <si>
    <t>Total Sales</t>
  </si>
  <si>
    <t>Total Profit</t>
  </si>
  <si>
    <t>Total Customers</t>
  </si>
  <si>
    <t>Average Order Value</t>
  </si>
  <si>
    <t>Average Rating</t>
  </si>
  <si>
    <t>KIP Section</t>
  </si>
  <si>
    <t>Jan</t>
  </si>
  <si>
    <t>Feb</t>
  </si>
  <si>
    <t>Mar</t>
  </si>
  <si>
    <t>Apr</t>
  </si>
  <si>
    <t>May</t>
  </si>
  <si>
    <t>Jun</t>
  </si>
  <si>
    <t>Jul</t>
  </si>
  <si>
    <t>Aug</t>
  </si>
  <si>
    <t>Sep</t>
  </si>
  <si>
    <t>Oct</t>
  </si>
  <si>
    <t>Nov</t>
  </si>
  <si>
    <t>Dec</t>
  </si>
  <si>
    <t>No</t>
  </si>
  <si>
    <t>Product</t>
  </si>
  <si>
    <t>Customers</t>
  </si>
  <si>
    <t>HELPER TABLE</t>
  </si>
  <si>
    <t>Jack Lopez</t>
  </si>
  <si>
    <t>Jack Patel</t>
  </si>
  <si>
    <t>Aaliyah Campbell</t>
  </si>
  <si>
    <t>Aaliyah Collins</t>
  </si>
  <si>
    <t>Aaliyah Ellis</t>
  </si>
  <si>
    <t>Aaliyah Medina</t>
  </si>
  <si>
    <t>Aaliyah Morgan</t>
  </si>
  <si>
    <t>Aaliyah Ross</t>
  </si>
  <si>
    <t>Aaliyah Wood</t>
  </si>
  <si>
    <t>Aaron Chen</t>
  </si>
  <si>
    <t>Aaron Guzman</t>
  </si>
  <si>
    <t>Aaron Martin</t>
  </si>
  <si>
    <t>Aaron Morgan</t>
  </si>
  <si>
    <t>Aaron Romero</t>
  </si>
  <si>
    <t>Abigail Aguilar</t>
  </si>
  <si>
    <t>Abigail Guzman</t>
  </si>
  <si>
    <t>Abigail Long</t>
  </si>
  <si>
    <t>Abigail Simpson</t>
  </si>
  <si>
    <t>Adam Burns</t>
  </si>
  <si>
    <t>Adam Chen</t>
  </si>
  <si>
    <t>Adam McDonald</t>
  </si>
  <si>
    <t>Adam Ortiz</t>
  </si>
  <si>
    <t>Adam Porter</t>
  </si>
  <si>
    <t>Adam Watson</t>
  </si>
  <si>
    <t>Adam Woods</t>
  </si>
  <si>
    <t>Addison Campbell</t>
  </si>
  <si>
    <t>Addison Davis</t>
  </si>
  <si>
    <t>Addison Diaz</t>
  </si>
  <si>
    <t>Addison Graham</t>
  </si>
  <si>
    <t>Addison Lopez</t>
  </si>
  <si>
    <t>Addison Ortiz</t>
  </si>
  <si>
    <t>Adeline Cox</t>
  </si>
  <si>
    <t>Adeline Jones</t>
  </si>
  <si>
    <t>Adeline Owens</t>
  </si>
  <si>
    <t>Adeline Reed</t>
  </si>
  <si>
    <t>Adeline Ward</t>
  </si>
  <si>
    <t>Aiden Bailey</t>
  </si>
  <si>
    <t>Aiden Brown</t>
  </si>
  <si>
    <t>Aiden Cook</t>
  </si>
  <si>
    <t>Aiden Gordon</t>
  </si>
  <si>
    <t>Aiden Nguyen</t>
  </si>
  <si>
    <t>Aiden Sanchez</t>
  </si>
  <si>
    <t>Alexa Evans</t>
  </si>
  <si>
    <t>Alexa Fernandez</t>
  </si>
  <si>
    <t>Alexa Gonzales</t>
  </si>
  <si>
    <t>Alexa Jones</t>
  </si>
  <si>
    <t>Alexa Moore</t>
  </si>
  <si>
    <t>Alexa Walker</t>
  </si>
  <si>
    <t>Alexander Barnes</t>
  </si>
  <si>
    <t>Alexander Moore</t>
  </si>
  <si>
    <t>Alexander Nguyen</t>
  </si>
  <si>
    <t>Alexander Thompson</t>
  </si>
  <si>
    <t>Alexander Wallace</t>
  </si>
  <si>
    <t>Alice Barnes</t>
  </si>
  <si>
    <t>Alice Crawford</t>
  </si>
  <si>
    <t>Alice Fernandez</t>
  </si>
  <si>
    <t>Alice Jordan</t>
  </si>
  <si>
    <t>Alice Medina</t>
  </si>
  <si>
    <t>Alice Reynolds</t>
  </si>
  <si>
    <t>Allison Robinson</t>
  </si>
  <si>
    <t>Allison Vasquez</t>
  </si>
  <si>
    <t>Amelia Gonzalez</t>
  </si>
  <si>
    <t>Amelia Murray</t>
  </si>
  <si>
    <t>Amelia Roberts</t>
  </si>
  <si>
    <t>Andrew Bennett</t>
  </si>
  <si>
    <t>Andrew Patterson</t>
  </si>
  <si>
    <t>Andrew Reed</t>
  </si>
  <si>
    <t>Andrew Sanchez</t>
  </si>
  <si>
    <t>Andrew Washington</t>
  </si>
  <si>
    <t>Anna Nguyen</t>
  </si>
  <si>
    <t>Anna Ortiz</t>
  </si>
  <si>
    <t>Anna Richardson</t>
  </si>
  <si>
    <t>Anna Rivera</t>
  </si>
  <si>
    <t>Anna Sullivan</t>
  </si>
  <si>
    <t>Anthony Anderson</t>
  </si>
  <si>
    <t>Anthony Ellis</t>
  </si>
  <si>
    <t>Anthony Evans</t>
  </si>
  <si>
    <t>Anthony Russell</t>
  </si>
  <si>
    <t>Anthony Sanders</t>
  </si>
  <si>
    <t>Aria Aguilar</t>
  </si>
  <si>
    <t>Aria Campbell</t>
  </si>
  <si>
    <t>Aria Cole</t>
  </si>
  <si>
    <t>Aria Johnson</t>
  </si>
  <si>
    <t>Aria Mitchell</t>
  </si>
  <si>
    <t>Aria Powell</t>
  </si>
  <si>
    <t>Aria Ramos</t>
  </si>
  <si>
    <t>Aria Sullivan</t>
  </si>
  <si>
    <t>Aria Vasquez</t>
  </si>
  <si>
    <t>Ariana Gonzalez</t>
  </si>
  <si>
    <t>Ariana Kennedy</t>
  </si>
  <si>
    <t>Ariana McDonald</t>
  </si>
  <si>
    <t>Ariana Miller</t>
  </si>
  <si>
    <t>Ariana Murray</t>
  </si>
  <si>
    <t>Ariana Nguyen</t>
  </si>
  <si>
    <t>Ariana Owens</t>
  </si>
  <si>
    <t>Ariana Porter</t>
  </si>
  <si>
    <t>Ariana Rogers</t>
  </si>
  <si>
    <t>Arianna Baker</t>
  </si>
  <si>
    <t>Arianna Chambers</t>
  </si>
  <si>
    <t>Arianna Cox</t>
  </si>
  <si>
    <t>Arianna Hamilton</t>
  </si>
  <si>
    <t>Arianna Hayes</t>
  </si>
  <si>
    <t>Arianna Hunter</t>
  </si>
  <si>
    <t>Arianna Kim</t>
  </si>
  <si>
    <t>Arianna Patel</t>
  </si>
  <si>
    <t>Arianna Perez</t>
  </si>
  <si>
    <t>Arianna Reed</t>
  </si>
  <si>
    <t>Arianna Romero</t>
  </si>
  <si>
    <t>Arianna Sanchez</t>
  </si>
  <si>
    <t>Athena Chen</t>
  </si>
  <si>
    <t>Athena Sanchez</t>
  </si>
  <si>
    <t>Athena Thompson</t>
  </si>
  <si>
    <t>Aubree Anderson</t>
  </si>
  <si>
    <t>Aubree Cole</t>
  </si>
  <si>
    <t>Aubree Marshall</t>
  </si>
  <si>
    <t>Aubree Murray</t>
  </si>
  <si>
    <t>Aubree Patterson</t>
  </si>
  <si>
    <t>Aubree Reyes</t>
  </si>
  <si>
    <t>Aubree Vargas</t>
  </si>
  <si>
    <t>Aubrey Fernandez</t>
  </si>
  <si>
    <t>Aubrey Flores</t>
  </si>
  <si>
    <t>Aubrey Hughes</t>
  </si>
  <si>
    <t>Aubrey Owens</t>
  </si>
  <si>
    <t>Aubrey Romero</t>
  </si>
  <si>
    <t>Aubrey Simpson</t>
  </si>
  <si>
    <t>Aubrey Tran</t>
  </si>
  <si>
    <t>Audrey Collins</t>
  </si>
  <si>
    <t>Audrey Freeman</t>
  </si>
  <si>
    <t>Audrey Guzman</t>
  </si>
  <si>
    <t>Audrey Moore</t>
  </si>
  <si>
    <t>Audrey Morales</t>
  </si>
  <si>
    <t>Audrey Rogers</t>
  </si>
  <si>
    <t>Audrey Stevens</t>
  </si>
  <si>
    <t>Audrey Washington</t>
  </si>
  <si>
    <t>Autumn Castro</t>
  </si>
  <si>
    <t>Autumn Edwards</t>
  </si>
  <si>
    <t>Autumn Thompson</t>
  </si>
  <si>
    <t>Ava Clark</t>
  </si>
  <si>
    <t>Ava Cooper</t>
  </si>
  <si>
    <t>Ava Jimenez</t>
  </si>
  <si>
    <t>Ava Miller</t>
  </si>
  <si>
    <t>Ava Reyes</t>
  </si>
  <si>
    <t>Benjamin Castro</t>
  </si>
  <si>
    <t>Benjamin Diaz</t>
  </si>
  <si>
    <t>Benjamin Flores</t>
  </si>
  <si>
    <t>Benjamin Gordon</t>
  </si>
  <si>
    <t>Benjamin Mendoza</t>
  </si>
  <si>
    <t>Benjamin Price</t>
  </si>
  <si>
    <t>Benjamin Thomas</t>
  </si>
  <si>
    <t>Benjamin Vargas</t>
  </si>
  <si>
    <t>Brandon Garcia</t>
  </si>
  <si>
    <t>Brandon Gonzalez</t>
  </si>
  <si>
    <t>Brandon Hamilton</t>
  </si>
  <si>
    <t>Brandon Henry</t>
  </si>
  <si>
    <t>Brandon Long</t>
  </si>
  <si>
    <t>Brandon Richardson</t>
  </si>
  <si>
    <t>Brandon Thompson</t>
  </si>
  <si>
    <t>Brian Gibson</t>
  </si>
  <si>
    <t>Brian Kelly</t>
  </si>
  <si>
    <t>Brian Myers</t>
  </si>
  <si>
    <t>Brian Tran</t>
  </si>
  <si>
    <t>Brooklyn Hall</t>
  </si>
  <si>
    <t>Camila Garcia</t>
  </si>
  <si>
    <t>Camila Hall</t>
  </si>
  <si>
    <t>Camila Hayes</t>
  </si>
  <si>
    <t>Camila Jenkins</t>
  </si>
  <si>
    <t>Camila Nelson</t>
  </si>
  <si>
    <t>Camila Stewart</t>
  </si>
  <si>
    <t>Camila Wells</t>
  </si>
  <si>
    <t>Camila Young</t>
  </si>
  <si>
    <t>Caroline Freeman</t>
  </si>
  <si>
    <t>Caroline McDonald</t>
  </si>
  <si>
    <t>Caroline Ramirez</t>
  </si>
  <si>
    <t>Caroline Rivera</t>
  </si>
  <si>
    <t>Caroline Tran</t>
  </si>
  <si>
    <t>Caroline Wood</t>
  </si>
  <si>
    <t>Caroline Woods</t>
  </si>
  <si>
    <t>Charles Anderson</t>
  </si>
  <si>
    <t>Charles Graham</t>
  </si>
  <si>
    <t>Charles Howard</t>
  </si>
  <si>
    <t>Charles King</t>
  </si>
  <si>
    <t>Charles Morales</t>
  </si>
  <si>
    <t>Charles Nelson</t>
  </si>
  <si>
    <t>Charles Porter</t>
  </si>
  <si>
    <t>Charles Rodriguez</t>
  </si>
  <si>
    <t>Charlotte Allen</t>
  </si>
  <si>
    <t>Charlotte Henderson</t>
  </si>
  <si>
    <t>Charlotte Lee</t>
  </si>
  <si>
    <t>Charlotte Patel</t>
  </si>
  <si>
    <t>Charlotte Phillips</t>
  </si>
  <si>
    <t>Charlotte Sullivan</t>
  </si>
  <si>
    <t>Charlotte Tran</t>
  </si>
  <si>
    <t>Chloe Adams</t>
  </si>
  <si>
    <t>Chloe Hayes</t>
  </si>
  <si>
    <t>Chloe Wilson</t>
  </si>
  <si>
    <t>Christopher Cole</t>
  </si>
  <si>
    <t>Christopher Diaz</t>
  </si>
  <si>
    <t>Christopher Gibson</t>
  </si>
  <si>
    <t>Christopher Harris</t>
  </si>
  <si>
    <t>Christopher Robinson</t>
  </si>
  <si>
    <t>Christopher Russell</t>
  </si>
  <si>
    <t>Christopher Webb</t>
  </si>
  <si>
    <t>Claire Anderson</t>
  </si>
  <si>
    <t>Claire Castro</t>
  </si>
  <si>
    <t>Claire Ford</t>
  </si>
  <si>
    <t>Claire Ramirez</t>
  </si>
  <si>
    <t>Claire Reynolds</t>
  </si>
  <si>
    <t>Claire Wilson</t>
  </si>
  <si>
    <t>Cora Allen</t>
  </si>
  <si>
    <t>Cora Butler</t>
  </si>
  <si>
    <t>Cora Diaz</t>
  </si>
  <si>
    <t>Cora Lewis</t>
  </si>
  <si>
    <t>Cora Mitchell</t>
  </si>
  <si>
    <t>Cora Roberts</t>
  </si>
  <si>
    <t>Cora Ruiz</t>
  </si>
  <si>
    <t>Cora Simpson</t>
  </si>
  <si>
    <t>Cora Torres</t>
  </si>
  <si>
    <t>Daniel Davis</t>
  </si>
  <si>
    <t>Daniel Guzman</t>
  </si>
  <si>
    <t>Daniel Harrison</t>
  </si>
  <si>
    <t>Daniel Jenkins</t>
  </si>
  <si>
    <t>Daniel Sanchez</t>
  </si>
  <si>
    <t>Daniel Thompson</t>
  </si>
  <si>
    <t>David Bennett</t>
  </si>
  <si>
    <t>David Campbell</t>
  </si>
  <si>
    <t>David Freeman</t>
  </si>
  <si>
    <t>David Perry</t>
  </si>
  <si>
    <t>Dennis Butler</t>
  </si>
  <si>
    <t>Dennis Edwards</t>
  </si>
  <si>
    <t>Donald Carter</t>
  </si>
  <si>
    <t>Donald Garcia</t>
  </si>
  <si>
    <t>Donald Kim</t>
  </si>
  <si>
    <t>Donald Reyes</t>
  </si>
  <si>
    <t>Donald Webb</t>
  </si>
  <si>
    <t>Donald Wood</t>
  </si>
  <si>
    <t>Douglas Porter</t>
  </si>
  <si>
    <t>Douglas Ramirez</t>
  </si>
  <si>
    <t>Douglas Ramos</t>
  </si>
  <si>
    <t>Douglas Stewart</t>
  </si>
  <si>
    <t>Douglas Thompson</t>
  </si>
  <si>
    <t>Edward Bell</t>
  </si>
  <si>
    <t>Edward Hunter</t>
  </si>
  <si>
    <t>Edward Perez</t>
  </si>
  <si>
    <t>Edward Stewart</t>
  </si>
  <si>
    <t>Edward Vargas</t>
  </si>
  <si>
    <t>Eleanor Cook</t>
  </si>
  <si>
    <t>Eleanor Edwards</t>
  </si>
  <si>
    <t>Eleanor Morgan</t>
  </si>
  <si>
    <t>Elena Baker</t>
  </si>
  <si>
    <t>Elena Brown</t>
  </si>
  <si>
    <t>Elena Foster</t>
  </si>
  <si>
    <t>Elena Graham</t>
  </si>
  <si>
    <t>Elena Henry</t>
  </si>
  <si>
    <t>Elena Morris</t>
  </si>
  <si>
    <t>Elena Webb</t>
  </si>
  <si>
    <t>Eliana Hughes</t>
  </si>
  <si>
    <t>Eliana Myers</t>
  </si>
  <si>
    <t>Eliana Russell</t>
  </si>
  <si>
    <t>Eliana Stevens</t>
  </si>
  <si>
    <t>Elijah Gordon</t>
  </si>
  <si>
    <t>Elijah Owens</t>
  </si>
  <si>
    <t>Elijah Perez</t>
  </si>
  <si>
    <t>Elijah Reyes</t>
  </si>
  <si>
    <t>Elijah Watson</t>
  </si>
  <si>
    <t>Elizabeth Martinez</t>
  </si>
  <si>
    <t>Elizabeth Olson</t>
  </si>
  <si>
    <t>Elizabeth Ramos</t>
  </si>
  <si>
    <t>Elizabeth Woods</t>
  </si>
  <si>
    <t>Emilia Gordon</t>
  </si>
  <si>
    <t>Emilia Lee</t>
  </si>
  <si>
    <t>Emilia Mitchell</t>
  </si>
  <si>
    <t>Emilia Perry</t>
  </si>
  <si>
    <t>Emilia Sanders</t>
  </si>
  <si>
    <t>Emilia Thomas</t>
  </si>
  <si>
    <t>Emily Collins</t>
  </si>
  <si>
    <t>Emily Crawford</t>
  </si>
  <si>
    <t>Emily Ellis</t>
  </si>
  <si>
    <t>Emily Jordan</t>
  </si>
  <si>
    <t>Emily Miller</t>
  </si>
  <si>
    <t>Emily Murray</t>
  </si>
  <si>
    <t>Emma Myers</t>
  </si>
  <si>
    <t>Emma Nguyen</t>
  </si>
  <si>
    <t>Eric Brown</t>
  </si>
  <si>
    <t>Eric Harris</t>
  </si>
  <si>
    <t>Eric Howard</t>
  </si>
  <si>
    <t>Eric Martinez</t>
  </si>
  <si>
    <t>Eric Robinson</t>
  </si>
  <si>
    <t>Eric Sanchez</t>
  </si>
  <si>
    <t>Ethan Castillo</t>
  </si>
  <si>
    <t>Ethan Chavez</t>
  </si>
  <si>
    <t>Ethan Davis</t>
  </si>
  <si>
    <t>Ethan Diaz</t>
  </si>
  <si>
    <t>Ethan Gibson</t>
  </si>
  <si>
    <t>Ethan Guzman</t>
  </si>
  <si>
    <t>Ethan Lewis</t>
  </si>
  <si>
    <t>Ethan Long</t>
  </si>
  <si>
    <t>Ethan Martin</t>
  </si>
  <si>
    <t>Ethan Russell</t>
  </si>
  <si>
    <t>Ethan Scott</t>
  </si>
  <si>
    <t>Ethan Thompson</t>
  </si>
  <si>
    <t>Eva Flores</t>
  </si>
  <si>
    <t>Eva Gray</t>
  </si>
  <si>
    <t>Eva Hughes</t>
  </si>
  <si>
    <t>Eva Patterson</t>
  </si>
  <si>
    <t>Eva Ramirez</t>
  </si>
  <si>
    <t>Eva Taylor</t>
  </si>
  <si>
    <t>Eva Wallace</t>
  </si>
  <si>
    <t>Evelyn Jones</t>
  </si>
  <si>
    <t>Evelyn Jordan</t>
  </si>
  <si>
    <t>Evelyn Martin</t>
  </si>
  <si>
    <t>Evelyn Nelson</t>
  </si>
  <si>
    <t>Evelyn Patel</t>
  </si>
  <si>
    <t>Evelyn Stevens</t>
  </si>
  <si>
    <t>Everly Chen</t>
  </si>
  <si>
    <t>Everly Jimenez</t>
  </si>
  <si>
    <t>Everly Kennedy</t>
  </si>
  <si>
    <t>Everly Morris</t>
  </si>
  <si>
    <t>Everly Phillips</t>
  </si>
  <si>
    <t>Everly Porter</t>
  </si>
  <si>
    <t>Everly Thomas</t>
  </si>
  <si>
    <t>Everly Thompson</t>
  </si>
  <si>
    <t>Everly Vargas</t>
  </si>
  <si>
    <t>Everly Vasquez</t>
  </si>
  <si>
    <t>Everly Wilson</t>
  </si>
  <si>
    <t>Everly Wright</t>
  </si>
  <si>
    <t>Frank Davis</t>
  </si>
  <si>
    <t>Frank Foster</t>
  </si>
  <si>
    <t>Frank Gibson</t>
  </si>
  <si>
    <t>Frank Griffin</t>
  </si>
  <si>
    <t>Frank Long</t>
  </si>
  <si>
    <t>Frank Mendoza</t>
  </si>
  <si>
    <t>Frank Miller</t>
  </si>
  <si>
    <t>Frank Patterson</t>
  </si>
  <si>
    <t>Frank Phillips</t>
  </si>
  <si>
    <t>Gabriella Davis</t>
  </si>
  <si>
    <t>Gabriella Fisher</t>
  </si>
  <si>
    <t>Gabriella Griffin</t>
  </si>
  <si>
    <t>Gabriella Guzman</t>
  </si>
  <si>
    <t>Gabriella Henderson</t>
  </si>
  <si>
    <t>Gabriella Jimenez</t>
  </si>
  <si>
    <t>Gabriella Marshall</t>
  </si>
  <si>
    <t>Gabriella Medina</t>
  </si>
  <si>
    <t>Gabriella Mendoza</t>
  </si>
  <si>
    <t>Gabriella Owens</t>
  </si>
  <si>
    <t>Gabriella Porter</t>
  </si>
  <si>
    <t>Gabriella Taylor</t>
  </si>
  <si>
    <t>Gary Adams</t>
  </si>
  <si>
    <t>Gary Baker</t>
  </si>
  <si>
    <t>Gary Tran</t>
  </si>
  <si>
    <t>Gary Vargas</t>
  </si>
  <si>
    <t>Genesis Alexander</t>
  </si>
  <si>
    <t>Genesis Anderson</t>
  </si>
  <si>
    <t>Genesis Castro</t>
  </si>
  <si>
    <t>Genesis Guzman</t>
  </si>
  <si>
    <t>Genesis Henry</t>
  </si>
  <si>
    <t>Genesis Medina</t>
  </si>
  <si>
    <t>Genesis Powell</t>
  </si>
  <si>
    <t>Genesis Watson</t>
  </si>
  <si>
    <t>George Castillo</t>
  </si>
  <si>
    <t>George Smith</t>
  </si>
  <si>
    <t>George Turner</t>
  </si>
  <si>
    <t>George West</t>
  </si>
  <si>
    <t>George Wood</t>
  </si>
  <si>
    <t>George Young</t>
  </si>
  <si>
    <t>Gianna Garcia</t>
  </si>
  <si>
    <t>Gianna Graham</t>
  </si>
  <si>
    <t>Gianna Morgan</t>
  </si>
  <si>
    <t>Gianna Scott</t>
  </si>
  <si>
    <t>Gianna Turner</t>
  </si>
  <si>
    <t>Grace Edwards</t>
  </si>
  <si>
    <t>Grace Fisher</t>
  </si>
  <si>
    <t>Grace Harrison</t>
  </si>
  <si>
    <t>Grace Kim</t>
  </si>
  <si>
    <t>Grace Watson</t>
  </si>
  <si>
    <t>Gregory Cook</t>
  </si>
  <si>
    <t>Gregory Foster</t>
  </si>
  <si>
    <t>Gregory Jackson</t>
  </si>
  <si>
    <t>Gregory Miller</t>
  </si>
  <si>
    <t>Gregory Morris</t>
  </si>
  <si>
    <t>Gregory Robinson</t>
  </si>
  <si>
    <t>Gregory Sanders</t>
  </si>
  <si>
    <t>Gregory Washington</t>
  </si>
  <si>
    <t>Gregory Webb</t>
  </si>
  <si>
    <t>Hailey Adams</t>
  </si>
  <si>
    <t>Hailey Bell</t>
  </si>
  <si>
    <t>Hailey Castro</t>
  </si>
  <si>
    <t>Hailey Cook</t>
  </si>
  <si>
    <t>Hailey Gomez</t>
  </si>
  <si>
    <t>Hailey Gordon</t>
  </si>
  <si>
    <t>Hailey Lewis</t>
  </si>
  <si>
    <t>Hailey Peterson</t>
  </si>
  <si>
    <t>Hailey Vargas</t>
  </si>
  <si>
    <t>Hannah Bennett</t>
  </si>
  <si>
    <t>Hannah Butler</t>
  </si>
  <si>
    <t>Hannah Cooper</t>
  </si>
  <si>
    <t>Hannah Fisher</t>
  </si>
  <si>
    <t>Hannah Gonzalez</t>
  </si>
  <si>
    <t>Hannah Harrison</t>
  </si>
  <si>
    <t>Hannah Kennedy</t>
  </si>
  <si>
    <t>Hannah Martinez</t>
  </si>
  <si>
    <t>Harper Gray</t>
  </si>
  <si>
    <t>Harper Jackson</t>
  </si>
  <si>
    <t>Harper Johnson</t>
  </si>
  <si>
    <t>Harper Miller</t>
  </si>
  <si>
    <t>Harper Moore</t>
  </si>
  <si>
    <t>Harper Patel</t>
  </si>
  <si>
    <t>Harper Robinson</t>
  </si>
  <si>
    <t>Harper Sanchez</t>
  </si>
  <si>
    <t>Henry Cole</t>
  </si>
  <si>
    <t>Henry Coleman</t>
  </si>
  <si>
    <t>Henry Gibson</t>
  </si>
  <si>
    <t>Henry Long</t>
  </si>
  <si>
    <t>Henry Lopez</t>
  </si>
  <si>
    <t>Henry Mendoza</t>
  </si>
  <si>
    <t>Henry Murray</t>
  </si>
  <si>
    <t>Henry Ortiz</t>
  </si>
  <si>
    <t>Henry Romero</t>
  </si>
  <si>
    <t>Henry Stevens</t>
  </si>
  <si>
    <t>Henry Tran</t>
  </si>
  <si>
    <t>Henry Washington</t>
  </si>
  <si>
    <t>Isabella Cook</t>
  </si>
  <si>
    <t>Isabella Cox</t>
  </si>
  <si>
    <t>Isabella Davis</t>
  </si>
  <si>
    <t>Isabella Diaz</t>
  </si>
  <si>
    <t>Isabella Hamilton</t>
  </si>
  <si>
    <t>Isabella Harris</t>
  </si>
  <si>
    <t>Isabella Martin</t>
  </si>
  <si>
    <t>Isabella Romero</t>
  </si>
  <si>
    <t>Isabella Simmons</t>
  </si>
  <si>
    <t>Isabelle Bailey</t>
  </si>
  <si>
    <t>Isabelle Ortiz</t>
  </si>
  <si>
    <t>Isabelle Phillips</t>
  </si>
  <si>
    <t>Isabelle Porter</t>
  </si>
  <si>
    <t>Isabelle Rivera</t>
  </si>
  <si>
    <t>Isabelle Wright</t>
  </si>
  <si>
    <t>Ivy Barnes</t>
  </si>
  <si>
    <t>Ivy Cox</t>
  </si>
  <si>
    <t>Ivy Diaz</t>
  </si>
  <si>
    <t>Ivy Gonzalez</t>
  </si>
  <si>
    <t>Ivy Kelly</t>
  </si>
  <si>
    <t>Ivy Perez</t>
  </si>
  <si>
    <t>Ivy Reyes</t>
  </si>
  <si>
    <t>Jack Barnes</t>
  </si>
  <si>
    <t>Jack King</t>
  </si>
  <si>
    <t>Jack Long</t>
  </si>
  <si>
    <t>Jack Stewart</t>
  </si>
  <si>
    <t>Jack Sullivan</t>
  </si>
  <si>
    <t>Jackson Alvarez</t>
  </si>
  <si>
    <t>Jackson Evans</t>
  </si>
  <si>
    <t>Jackson Taylor</t>
  </si>
  <si>
    <t>Jackson White</t>
  </si>
  <si>
    <t>Jackson Wright</t>
  </si>
  <si>
    <t>Jacob Bennett</t>
  </si>
  <si>
    <t>Jacob Foster</t>
  </si>
  <si>
    <t>Jacob Hunter</t>
  </si>
  <si>
    <t>Jacob James</t>
  </si>
  <si>
    <t>Jacob Jimenez</t>
  </si>
  <si>
    <t>Jacob McDonald</t>
  </si>
  <si>
    <t>Jacob Romero</t>
  </si>
  <si>
    <t>Jade Evans</t>
  </si>
  <si>
    <t>Jade Porter</t>
  </si>
  <si>
    <t>Jade Reed</t>
  </si>
  <si>
    <t>Jade Ward</t>
  </si>
  <si>
    <t>James Clark</t>
  </si>
  <si>
    <t>James Marshall</t>
  </si>
  <si>
    <t>James Medina</t>
  </si>
  <si>
    <t>James Mendez</t>
  </si>
  <si>
    <t>James Myers</t>
  </si>
  <si>
    <t>James West</t>
  </si>
  <si>
    <t>Jason Reynolds</t>
  </si>
  <si>
    <t>Jason Sanchez</t>
  </si>
  <si>
    <t>Jason Young</t>
  </si>
  <si>
    <t>Jeffrey Adams</t>
  </si>
  <si>
    <t>Jeffrey Jimenez</t>
  </si>
  <si>
    <t>Jeffrey Lee</t>
  </si>
  <si>
    <t>Jeffrey Myers</t>
  </si>
  <si>
    <t>Jeffrey Thompson</t>
  </si>
  <si>
    <t>Jerry Chavez</t>
  </si>
  <si>
    <t>Jerry Cook</t>
  </si>
  <si>
    <t>Jerry Fernandez</t>
  </si>
  <si>
    <t>Jerry Ortiz</t>
  </si>
  <si>
    <t>Jerry Reynolds</t>
  </si>
  <si>
    <t>Jerry Tucker</t>
  </si>
  <si>
    <t>Jerry West</t>
  </si>
  <si>
    <t>John Baker</t>
  </si>
  <si>
    <t>John Evans</t>
  </si>
  <si>
    <t>John Garcia</t>
  </si>
  <si>
    <t>John Gomez</t>
  </si>
  <si>
    <t>John James</t>
  </si>
  <si>
    <t>John Mendoza</t>
  </si>
  <si>
    <t>John Russell</t>
  </si>
  <si>
    <t>Jonathan Allen</t>
  </si>
  <si>
    <t>Jonathan Collins</t>
  </si>
  <si>
    <t>Jonathan Davis</t>
  </si>
  <si>
    <t>Jonathan Johnson</t>
  </si>
  <si>
    <t>Jonathan Phillips</t>
  </si>
  <si>
    <t>Jose Collins</t>
  </si>
  <si>
    <t>Jose James</t>
  </si>
  <si>
    <t>Jose Johnson</t>
  </si>
  <si>
    <t>Jose Patterson</t>
  </si>
  <si>
    <t>Jose Reynolds</t>
  </si>
  <si>
    <t>Joseph Hall</t>
  </si>
  <si>
    <t>Joseph Miller</t>
  </si>
  <si>
    <t>Joseph Nelson</t>
  </si>
  <si>
    <t>Joseph Perez</t>
  </si>
  <si>
    <t>Joseph Simmons</t>
  </si>
  <si>
    <t>Joshua Ford</t>
  </si>
  <si>
    <t>Joshua Harrison</t>
  </si>
  <si>
    <t>Joshua Kennedy</t>
  </si>
  <si>
    <t>Joshua Marshall</t>
  </si>
  <si>
    <t>Joshua Mendez</t>
  </si>
  <si>
    <t>Joshua Murphy</t>
  </si>
  <si>
    <t>Joshua Ruiz</t>
  </si>
  <si>
    <t>Joshua Stevens</t>
  </si>
  <si>
    <t>Joshua Young</t>
  </si>
  <si>
    <t>Julia Bennett</t>
  </si>
  <si>
    <t>Julia Clark</t>
  </si>
  <si>
    <t>Julia Gordon</t>
  </si>
  <si>
    <t>Julia Gray</t>
  </si>
  <si>
    <t>Julia Ortiz</t>
  </si>
  <si>
    <t>Julia Roberts</t>
  </si>
  <si>
    <t>Justin Bell</t>
  </si>
  <si>
    <t>Justin Garcia</t>
  </si>
  <si>
    <t>Justin Parker</t>
  </si>
  <si>
    <t>Justin Sanchez</t>
  </si>
  <si>
    <t>Kaylee Butler</t>
  </si>
  <si>
    <t>Kaylee Long</t>
  </si>
  <si>
    <t>Kaylee Perez</t>
  </si>
  <si>
    <t>Kaylee Price</t>
  </si>
  <si>
    <t>Kennedy James</t>
  </si>
  <si>
    <t>Kennedy Long</t>
  </si>
  <si>
    <t>Kennedy Vargas</t>
  </si>
  <si>
    <t>Kennedy West</t>
  </si>
  <si>
    <t>Kenneth Adams</t>
  </si>
  <si>
    <t>Kenneth Brooks</t>
  </si>
  <si>
    <t>Kenneth Campbell</t>
  </si>
  <si>
    <t>Kenneth Gomez</t>
  </si>
  <si>
    <t>Kenneth Lopez</t>
  </si>
  <si>
    <t>Kenneth Moore</t>
  </si>
  <si>
    <t>Kenneth Ortiz</t>
  </si>
  <si>
    <t>Kenneth Washington</t>
  </si>
  <si>
    <t>Kevin Campbell</t>
  </si>
  <si>
    <t>Kevin Diaz</t>
  </si>
  <si>
    <t>Kevin Flores</t>
  </si>
  <si>
    <t>Kevin Ortiz</t>
  </si>
  <si>
    <t>Kinsley Chen</t>
  </si>
  <si>
    <t>Kinsley Stevens</t>
  </si>
  <si>
    <t>Kinsley Williams</t>
  </si>
  <si>
    <t>Kyle Gutierrez</t>
  </si>
  <si>
    <t>Kyle Nelson</t>
  </si>
  <si>
    <t>Kyle Ruiz</t>
  </si>
  <si>
    <t>Kyle Taylor</t>
  </si>
  <si>
    <t>Kyle Wright</t>
  </si>
  <si>
    <t>Larry Ford</t>
  </si>
  <si>
    <t>Larry Griffin</t>
  </si>
  <si>
    <t>Larry Taylor</t>
  </si>
  <si>
    <t>Larry Tucker</t>
  </si>
  <si>
    <t>Larry Woods</t>
  </si>
  <si>
    <t>Layla Burns</t>
  </si>
  <si>
    <t>Layla Moore</t>
  </si>
  <si>
    <t>Layla Ramirez</t>
  </si>
  <si>
    <t>Layla Scott</t>
  </si>
  <si>
    <t>Layla Taylor</t>
  </si>
  <si>
    <t>Layla Turner</t>
  </si>
  <si>
    <t>Layla Walker</t>
  </si>
  <si>
    <t>Leah Aguilar</t>
  </si>
  <si>
    <t>Leah Cook</t>
  </si>
  <si>
    <t>Leah Davis</t>
  </si>
  <si>
    <t>Leah Myers</t>
  </si>
  <si>
    <t>Liam Collins</t>
  </si>
  <si>
    <t>Liam Jimenez</t>
  </si>
  <si>
    <t>Liam Reyes</t>
  </si>
  <si>
    <t>Liam Sanders</t>
  </si>
  <si>
    <t>Liam West</t>
  </si>
  <si>
    <t>Lillian Bennett</t>
  </si>
  <si>
    <t>Lillian Castillo</t>
  </si>
  <si>
    <t>Lillian Foster</t>
  </si>
  <si>
    <t>Lillian Lee</t>
  </si>
  <si>
    <t>Lillian Moore</t>
  </si>
  <si>
    <t>Lillian Morales</t>
  </si>
  <si>
    <t>Lillian White</t>
  </si>
  <si>
    <t>Lily Allen</t>
  </si>
  <si>
    <t>Lily Bennett</t>
  </si>
  <si>
    <t>Lily Coleman</t>
  </si>
  <si>
    <t>Lily Hamilton</t>
  </si>
  <si>
    <t>Lily Kennedy</t>
  </si>
  <si>
    <t>Lily Thomas</t>
  </si>
  <si>
    <t>Logan Alexander</t>
  </si>
  <si>
    <t>Logan Henry</t>
  </si>
  <si>
    <t>Logan Morales</t>
  </si>
  <si>
    <t>Logan Nguyen</t>
  </si>
  <si>
    <t>Logan Peterson</t>
  </si>
  <si>
    <t>Lucas Coleman</t>
  </si>
  <si>
    <t>Lucas Ellis</t>
  </si>
  <si>
    <t>Lucas Myers</t>
  </si>
  <si>
    <t>Lucas Torres</t>
  </si>
  <si>
    <t>Lucas Woods</t>
  </si>
  <si>
    <t>Lucy Aguilar</t>
  </si>
  <si>
    <t>Lucy Griffin</t>
  </si>
  <si>
    <t>Lucy Harris</t>
  </si>
  <si>
    <t>Lucy Hughes</t>
  </si>
  <si>
    <t>Lucy Morales</t>
  </si>
  <si>
    <t>Lucy Nelson</t>
  </si>
  <si>
    <t>Lucy Reynolds</t>
  </si>
  <si>
    <t>Luna Flores</t>
  </si>
  <si>
    <t>Luna Green</t>
  </si>
  <si>
    <t>Lydia Crawford</t>
  </si>
  <si>
    <t>Lydia Hall</t>
  </si>
  <si>
    <t>Lydia Hamilton</t>
  </si>
  <si>
    <t>Lydia Jones</t>
  </si>
  <si>
    <t>Lydia Rivera</t>
  </si>
  <si>
    <t>Lydia Thompson</t>
  </si>
  <si>
    <t>Lydia Webb</t>
  </si>
  <si>
    <t>Madelyn Crawford</t>
  </si>
  <si>
    <t>Madelyn Hamilton</t>
  </si>
  <si>
    <t>Madelyn Martin</t>
  </si>
  <si>
    <t>Madelyn Ruiz</t>
  </si>
  <si>
    <t>Madison Chen</t>
  </si>
  <si>
    <t>Madison Hughes</t>
  </si>
  <si>
    <t>Madison James</t>
  </si>
  <si>
    <t>Madison Martin</t>
  </si>
  <si>
    <t>Madison Rogers</t>
  </si>
  <si>
    <t>Maria Hernandez</t>
  </si>
  <si>
    <t>Maria Howard</t>
  </si>
  <si>
    <t>Maria Mendoza</t>
  </si>
  <si>
    <t>Maria Peterson</t>
  </si>
  <si>
    <t>Maria Sullivan</t>
  </si>
  <si>
    <t>Maria Walker</t>
  </si>
  <si>
    <t>Mark Baker</t>
  </si>
  <si>
    <t>Mark Garcia</t>
  </si>
  <si>
    <t>Mark Guzman</t>
  </si>
  <si>
    <t>Mark Ortiz</t>
  </si>
  <si>
    <t>Mark Simmons</t>
  </si>
  <si>
    <t>Mason Howard</t>
  </si>
  <si>
    <t>Mason Kim</t>
  </si>
  <si>
    <t>Mason Rogers</t>
  </si>
  <si>
    <t>Mason White</t>
  </si>
  <si>
    <t>Matthew Brown</t>
  </si>
  <si>
    <t>Matthew Hall</t>
  </si>
  <si>
    <t>Matthew Hamilton</t>
  </si>
  <si>
    <t>Matthew James</t>
  </si>
  <si>
    <t>Matthew Martinez</t>
  </si>
  <si>
    <t>Matthew Smith</t>
  </si>
  <si>
    <t>Maya Chavez</t>
  </si>
  <si>
    <t>Maya Collins</t>
  </si>
  <si>
    <t>Maya Hunter</t>
  </si>
  <si>
    <t>Maya Jordan</t>
  </si>
  <si>
    <t>Maya Ortiz</t>
  </si>
  <si>
    <t>Melanie Clark</t>
  </si>
  <si>
    <t>Melanie Crawford</t>
  </si>
  <si>
    <t>Melanie Mendoza</t>
  </si>
  <si>
    <t>Melanie Romero</t>
  </si>
  <si>
    <t>Mia Hunter</t>
  </si>
  <si>
    <t>Mia Lewis</t>
  </si>
  <si>
    <t>Mia Vargas</t>
  </si>
  <si>
    <t>Michael Campbell</t>
  </si>
  <si>
    <t>Michael Castillo</t>
  </si>
  <si>
    <t>Michael Coleman</t>
  </si>
  <si>
    <t>Michael Cox</t>
  </si>
  <si>
    <t>Michael Gordon</t>
  </si>
  <si>
    <t>Michael Griffin</t>
  </si>
  <si>
    <t>Michael Murphy</t>
  </si>
  <si>
    <t>Michael Robinson</t>
  </si>
  <si>
    <t>Michael Rodriguez</t>
  </si>
  <si>
    <t>Michael Simmons</t>
  </si>
  <si>
    <t>Mila Burns</t>
  </si>
  <si>
    <t>Mila Chavez</t>
  </si>
  <si>
    <t>Mila Jackson</t>
  </si>
  <si>
    <t>Mila Long</t>
  </si>
  <si>
    <t>Mila Nelson</t>
  </si>
  <si>
    <t>Mila White</t>
  </si>
  <si>
    <t>Naomi Brown</t>
  </si>
  <si>
    <t>Naomi Cole</t>
  </si>
  <si>
    <t>Naomi Moore</t>
  </si>
  <si>
    <t>Naomi Morris</t>
  </si>
  <si>
    <t>Naomi Phillips</t>
  </si>
  <si>
    <t>Naomi Smith</t>
  </si>
  <si>
    <t>Natalie Chavez</t>
  </si>
  <si>
    <t>Natalie Hernandez</t>
  </si>
  <si>
    <t>Natalie Patel</t>
  </si>
  <si>
    <t>Natalie Perry</t>
  </si>
  <si>
    <t>Natalie Porter</t>
  </si>
  <si>
    <t>Natalie Ward</t>
  </si>
  <si>
    <t>Nathan Allen</t>
  </si>
  <si>
    <t>Nathan Bailey</t>
  </si>
  <si>
    <t>Nathan Freeman</t>
  </si>
  <si>
    <t>Nathan Gordon</t>
  </si>
  <si>
    <t>Nathan Graham</t>
  </si>
  <si>
    <t>Nathan James</t>
  </si>
  <si>
    <t>Nathan Kim</t>
  </si>
  <si>
    <t>Nathan Mendez</t>
  </si>
  <si>
    <t>Nathan Morgan</t>
  </si>
  <si>
    <t>Nathan Patterson</t>
  </si>
  <si>
    <t>Nevaeh Aguilar</t>
  </si>
  <si>
    <t>Nevaeh Hamilton</t>
  </si>
  <si>
    <t>Nevaeh Martin</t>
  </si>
  <si>
    <t>Nevaeh Ward</t>
  </si>
  <si>
    <t>Nicholas Ellis</t>
  </si>
  <si>
    <t>Nicholas Jackson</t>
  </si>
  <si>
    <t>Nicholas Romero</t>
  </si>
  <si>
    <t>Nicholas Turner</t>
  </si>
  <si>
    <t>Noah Simmons</t>
  </si>
  <si>
    <t>Noah Vargas</t>
  </si>
  <si>
    <t>Nora Johnson</t>
  </si>
  <si>
    <t>Nora Kim</t>
  </si>
  <si>
    <t>Nora Medina</t>
  </si>
  <si>
    <t>Nora Stevens</t>
  </si>
  <si>
    <t>Nora Thompson</t>
  </si>
  <si>
    <t>Oliver Anderson</t>
  </si>
  <si>
    <t>Oliver Cruz</t>
  </si>
  <si>
    <t>Oliver Jones</t>
  </si>
  <si>
    <t>Oliver Ramos</t>
  </si>
  <si>
    <t>Oliver Robinson</t>
  </si>
  <si>
    <t>Olivia Hughes</t>
  </si>
  <si>
    <t>Olivia Jordan</t>
  </si>
  <si>
    <t>Olivia Tucker</t>
  </si>
  <si>
    <t>Olivia Washington</t>
  </si>
  <si>
    <t>Paisley Harris</t>
  </si>
  <si>
    <t>Paisley Mendez</t>
  </si>
  <si>
    <t>Paisley Peterson</t>
  </si>
  <si>
    <t>Patrick Baker</t>
  </si>
  <si>
    <t>Patrick Chambers</t>
  </si>
  <si>
    <t>Patrick Edwards</t>
  </si>
  <si>
    <t>Patrick Ellis</t>
  </si>
  <si>
    <t>Patrick Ortiz</t>
  </si>
  <si>
    <t>Paul Chambers</t>
  </si>
  <si>
    <t>Paul Davis</t>
  </si>
  <si>
    <t>Paul Murray</t>
  </si>
  <si>
    <t>Paul Phillips</t>
  </si>
  <si>
    <t>Paul Turner</t>
  </si>
  <si>
    <t>Penelope Aguilar</t>
  </si>
  <si>
    <t>Penelope Johnson</t>
  </si>
  <si>
    <t>Penelope Morris</t>
  </si>
  <si>
    <t>Penelope Peterson</t>
  </si>
  <si>
    <t>Penelope Price</t>
  </si>
  <si>
    <t>Penelope Rogers</t>
  </si>
  <si>
    <t>Penelope Tran</t>
  </si>
  <si>
    <t>Peter Brown</t>
  </si>
  <si>
    <t>Peter Cooper</t>
  </si>
  <si>
    <t>Peter Diaz</t>
  </si>
  <si>
    <t>Peter Jones</t>
  </si>
  <si>
    <t>Peter Long</t>
  </si>
  <si>
    <t>Peter Patterson</t>
  </si>
  <si>
    <t>Peter Perez</t>
  </si>
  <si>
    <t>Peter Thomas</t>
  </si>
  <si>
    <t>Piper Barnes</t>
  </si>
  <si>
    <t>Piper Cook</t>
  </si>
  <si>
    <t>Piper Fisher</t>
  </si>
  <si>
    <t>Piper Vargas</t>
  </si>
  <si>
    <t>Quinn Collins</t>
  </si>
  <si>
    <t>Quinn Cox</t>
  </si>
  <si>
    <t>Quinn Hayes</t>
  </si>
  <si>
    <t>Quinn Martinez</t>
  </si>
  <si>
    <t>Quinn Mitchell</t>
  </si>
  <si>
    <t>Quinn Stevens</t>
  </si>
  <si>
    <t>Raymond Bailey</t>
  </si>
  <si>
    <t>Raymond Foster</t>
  </si>
  <si>
    <t>Raymond Gonzales</t>
  </si>
  <si>
    <t>Raymond Nelson</t>
  </si>
  <si>
    <t>Raymond Price</t>
  </si>
  <si>
    <t>Richard Bailey</t>
  </si>
  <si>
    <t>Richard Guzman</t>
  </si>
  <si>
    <t>Richard James</t>
  </si>
  <si>
    <t>Richard Lewis</t>
  </si>
  <si>
    <t>Richard Walker</t>
  </si>
  <si>
    <t>Richard Wright</t>
  </si>
  <si>
    <t>Richard Young</t>
  </si>
  <si>
    <t>Riley Jordan</t>
  </si>
  <si>
    <t>Riley Vargas</t>
  </si>
  <si>
    <t>Riley White</t>
  </si>
  <si>
    <t>Robert Cole</t>
  </si>
  <si>
    <t>Robert Griffin</t>
  </si>
  <si>
    <t>Robert Hunter</t>
  </si>
  <si>
    <t>Robert Nelson</t>
  </si>
  <si>
    <t>Robert Roberts</t>
  </si>
  <si>
    <t>Robert Simpson</t>
  </si>
  <si>
    <t>Ronald Gonzales</t>
  </si>
  <si>
    <t>Ronald Green</t>
  </si>
  <si>
    <t>Ronald Jones</t>
  </si>
  <si>
    <t>Ronald Kelly</t>
  </si>
  <si>
    <t>Ronald Kennedy</t>
  </si>
  <si>
    <t>Ronald Long</t>
  </si>
  <si>
    <t>Ronald Miller</t>
  </si>
  <si>
    <t>Ronald Simmons</t>
  </si>
  <si>
    <t>Ronald Vasquez</t>
  </si>
  <si>
    <t>Ruby Butler</t>
  </si>
  <si>
    <t>Ruby Castillo</t>
  </si>
  <si>
    <t>Ruby Nelson</t>
  </si>
  <si>
    <t>Ruby Powell</t>
  </si>
  <si>
    <t>Ruby Ross</t>
  </si>
  <si>
    <t>Ruby Russell</t>
  </si>
  <si>
    <t>Ruby Sullivan</t>
  </si>
  <si>
    <t>Ryan Crawford</t>
  </si>
  <si>
    <t>Ryan Foster</t>
  </si>
  <si>
    <t>Ryan Harris</t>
  </si>
  <si>
    <t>Ryan Richardson</t>
  </si>
  <si>
    <t>Rylee Butler</t>
  </si>
  <si>
    <t>Rylee Gomez</t>
  </si>
  <si>
    <t>Rylee Hayes</t>
  </si>
  <si>
    <t>Rylee Phillips</t>
  </si>
  <si>
    <t>Sadie Bennett</t>
  </si>
  <si>
    <t>Sadie Roberts</t>
  </si>
  <si>
    <t>Sadie Rogers</t>
  </si>
  <si>
    <t>Sadie Ruiz</t>
  </si>
  <si>
    <t>Samuel Crawford</t>
  </si>
  <si>
    <t>Samuel Diaz</t>
  </si>
  <si>
    <t>Samuel Lee</t>
  </si>
  <si>
    <t>Samuel Lopez</t>
  </si>
  <si>
    <t>Samuel Russell</t>
  </si>
  <si>
    <t>Samuel Vasquez</t>
  </si>
  <si>
    <t>Samuel Walker</t>
  </si>
  <si>
    <t>Samuel Ward</t>
  </si>
  <si>
    <t>Sarah Johnson</t>
  </si>
  <si>
    <t>Sarah Marshall</t>
  </si>
  <si>
    <t>Sarah Parker</t>
  </si>
  <si>
    <t>Sarah Rodriguez</t>
  </si>
  <si>
    <t>Sarah Sanchez</t>
  </si>
  <si>
    <t>Sarah Torres</t>
  </si>
  <si>
    <t>Savannah Butler</t>
  </si>
  <si>
    <t>Savannah Cole</t>
  </si>
  <si>
    <t>Savannah Gonzalez</t>
  </si>
  <si>
    <t>Savannah Gordon</t>
  </si>
  <si>
    <t>Savannah Jackson</t>
  </si>
  <si>
    <t>Savannah King</t>
  </si>
  <si>
    <t>Savannah Lewis</t>
  </si>
  <si>
    <t>Savannah McDonald</t>
  </si>
  <si>
    <t>Savannah Mitchell</t>
  </si>
  <si>
    <t>Savannah Nelson</t>
  </si>
  <si>
    <t>Savannah Peterson</t>
  </si>
  <si>
    <t>Savannah Powell</t>
  </si>
  <si>
    <t>Savannah Romero</t>
  </si>
  <si>
    <t>Savannah Walker</t>
  </si>
  <si>
    <t>Scarlett Butler</t>
  </si>
  <si>
    <t>Scarlett Griffin</t>
  </si>
  <si>
    <t>Scarlett Sanchez</t>
  </si>
  <si>
    <t>Scarlett Tucker</t>
  </si>
  <si>
    <t>Scott Jordan</t>
  </si>
  <si>
    <t>Scott Moore</t>
  </si>
  <si>
    <t>Scott Woods</t>
  </si>
  <si>
    <t>Serenity Henry</t>
  </si>
  <si>
    <t>Serenity Miller</t>
  </si>
  <si>
    <t>Skylar Castro</t>
  </si>
  <si>
    <t>Skylar Mendoza</t>
  </si>
  <si>
    <t>Sofia Fisher</t>
  </si>
  <si>
    <t>Sofia Peterson</t>
  </si>
  <si>
    <t>Sofia Scott</t>
  </si>
  <si>
    <t>Sofia Ward</t>
  </si>
  <si>
    <t>Sophia Alvarez</t>
  </si>
  <si>
    <t>Sophia Diaz</t>
  </si>
  <si>
    <t>Sophia Gordon</t>
  </si>
  <si>
    <t>Sophia Myers</t>
  </si>
  <si>
    <t>Sophia Ramirez</t>
  </si>
  <si>
    <t>Sophia Scott</t>
  </si>
  <si>
    <t>Sophia Watson</t>
  </si>
  <si>
    <t>Sophia Wilson</t>
  </si>
  <si>
    <t>Stella Smith</t>
  </si>
  <si>
    <t>Stella Webb</t>
  </si>
  <si>
    <t>Stephen Fernandez</t>
  </si>
  <si>
    <t>Stephen Graham</t>
  </si>
  <si>
    <t>Stephen Moore</t>
  </si>
  <si>
    <t>Stephen Powell</t>
  </si>
  <si>
    <t>Stephen Thomas</t>
  </si>
  <si>
    <t>Stephen Wilson</t>
  </si>
  <si>
    <t>Stephen Wright</t>
  </si>
  <si>
    <t>Steven Medina</t>
  </si>
  <si>
    <t>Steven Morgan</t>
  </si>
  <si>
    <t>Steven Romero</t>
  </si>
  <si>
    <t>Steven Wright</t>
  </si>
  <si>
    <t>Thomas Bailey</t>
  </si>
  <si>
    <t>Thomas Chambers</t>
  </si>
  <si>
    <t>Thomas Graham</t>
  </si>
  <si>
    <t>Thomas Hill</t>
  </si>
  <si>
    <t>Timothy Fisher</t>
  </si>
  <si>
    <t>Timothy Marshall</t>
  </si>
  <si>
    <t>Timothy Mendoza</t>
  </si>
  <si>
    <t>Timothy Patel</t>
  </si>
  <si>
    <t>Timothy Rogers</t>
  </si>
  <si>
    <t>Tyler Allen</t>
  </si>
  <si>
    <t>Tyler Fernandez</t>
  </si>
  <si>
    <t>Tyler Graham</t>
  </si>
  <si>
    <t>Tyler Gray</t>
  </si>
  <si>
    <t>Tyler Hayes</t>
  </si>
  <si>
    <t>Tyler Henderson</t>
  </si>
  <si>
    <t>Tyler Henry</t>
  </si>
  <si>
    <t>Tyler Reed</t>
  </si>
  <si>
    <t>Tyler Romero</t>
  </si>
  <si>
    <t>Valentina Allen</t>
  </si>
  <si>
    <t>Valentina Cooper</t>
  </si>
  <si>
    <t>Valentina Gordon</t>
  </si>
  <si>
    <t>Valentina Jimenez</t>
  </si>
  <si>
    <t>Valentina Murphy</t>
  </si>
  <si>
    <t>Valentina Parker</t>
  </si>
  <si>
    <t>Valentina Thompson</t>
  </si>
  <si>
    <t>Valentina Turner</t>
  </si>
  <si>
    <t>Victoria Edwards</t>
  </si>
  <si>
    <t>Victoria Kim</t>
  </si>
  <si>
    <t>Victoria Miller</t>
  </si>
  <si>
    <t>Victoria Parker</t>
  </si>
  <si>
    <t>Victoria Porter</t>
  </si>
  <si>
    <t>Victoria Romero</t>
  </si>
  <si>
    <t>Victoria Scott</t>
  </si>
  <si>
    <t>Victoria Stevens</t>
  </si>
  <si>
    <t>Victoria Vargas</t>
  </si>
  <si>
    <t>William Chen</t>
  </si>
  <si>
    <t>William Davis</t>
  </si>
  <si>
    <t>William Evans</t>
  </si>
  <si>
    <t>William Hayes</t>
  </si>
  <si>
    <t>William McDonald</t>
  </si>
  <si>
    <t>William Reynolds</t>
  </si>
  <si>
    <t>William Robinson</t>
  </si>
  <si>
    <t>William Wood</t>
  </si>
  <si>
    <t>Willow Harrison</t>
  </si>
  <si>
    <t>Willow Jones</t>
  </si>
  <si>
    <t>Willow Lewis</t>
  </si>
  <si>
    <t>Willow Patel</t>
  </si>
  <si>
    <t>Willow Price</t>
  </si>
  <si>
    <t>Willow Sanchez</t>
  </si>
  <si>
    <t>Willow Sullivan</t>
  </si>
  <si>
    <t>Zachary Barnes</t>
  </si>
  <si>
    <t>Zachary Burns</t>
  </si>
  <si>
    <t>Zachary Griffin</t>
  </si>
  <si>
    <t>Zachary Hall</t>
  </si>
  <si>
    <t>Zachary Lewis</t>
  </si>
  <si>
    <t>Zachary Parker</t>
  </si>
  <si>
    <t>Zachary Robinson</t>
  </si>
  <si>
    <t>Zoe Fisher</t>
  </si>
  <si>
    <t>Zoe Henry</t>
  </si>
  <si>
    <t>Zoe Patterson</t>
  </si>
  <si>
    <t>Zoe Roberts</t>
  </si>
  <si>
    <t>Zoe Turner</t>
  </si>
  <si>
    <t>Zoey Diaz</t>
  </si>
  <si>
    <t>Zoey Fisher</t>
  </si>
  <si>
    <t>Zoey Foster</t>
  </si>
  <si>
    <t>Zoey Griffin</t>
  </si>
  <si>
    <t>Zoey Jenkins</t>
  </si>
  <si>
    <t>Zoey Jordan</t>
  </si>
  <si>
    <t>Zoey Reyes</t>
  </si>
  <si>
    <t>Zoey Sanchez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</si>
</sst>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quot;K&quot;"/>
    <numFmt numFmtId="165" formatCode="\$0.00,&quot;K&quot;"/>
  </numFmts>
  <fonts count="6" x14ac:knownFonts="1">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b/>
      <sz val="14"/>
      <color theme="1"/>
      <name val="Calibri"/>
      <family val="2"/>
      <scheme val="minor"/>
    </font>
    <font>
      <b/>
      <sz val="11"/>
      <color rgb="FF2563EB"/>
      <name val="Calibri"/>
      <family val="2"/>
      <scheme val="minor"/>
    </font>
  </fonts>
  <fills count="7">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EDF2F9"/>
        <bgColor indexed="64"/>
      </patternFill>
    </fill>
    <fill>
      <patternFill patternType="solid">
        <fgColor rgb="FF2563EB"/>
        <bgColor indexed="64"/>
      </patternFill>
    </fill>
    <fill>
      <patternFill patternType="solid">
        <fgColor theme="1"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rgb="FF2563EB"/>
      </bottom>
      <diagonal/>
    </border>
  </borders>
  <cellStyleXfs count="1">
    <xf numFmtId="0" fontId="0" fillId="0" borderId="0"/>
  </cellStyleXfs>
  <cellXfs count="39">
    <xf numFmtId="0" fontId="0" fillId="0" borderId="0" xfId="0"/>
    <xf numFmtId="14" fontId="0" fillId="0" borderId="0" xfId="0" applyNumberFormat="1"/>
    <xf numFmtId="0" fontId="0" fillId="0" borderId="0" xfId="0" applyAlignment="1">
      <alignment horizontal="right" vertical="center" wrapText="1"/>
    </xf>
    <xf numFmtId="0" fontId="1" fillId="0" borderId="0" xfId="0" applyFont="1" applyAlignment="1">
      <alignment horizontal="right" vertical="center" wrapText="1"/>
    </xf>
    <xf numFmtId="0" fontId="0" fillId="0" borderId="0" xfId="0" applyAlignment="1">
      <alignment vertical="center" wrapText="1"/>
    </xf>
    <xf numFmtId="1" fontId="0" fillId="0" borderId="0" xfId="0" applyNumberFormat="1"/>
    <xf numFmtId="1" fontId="1" fillId="0" borderId="0" xfId="0" applyNumberFormat="1" applyFont="1" applyAlignment="1">
      <alignment horizontal="center" vertical="center" wrapText="1"/>
    </xf>
    <xf numFmtId="1" fontId="0" fillId="0" borderId="0" xfId="0" applyNumberFormat="1" applyAlignment="1">
      <alignment vertical="center" wrapText="1"/>
    </xf>
    <xf numFmtId="0" fontId="0" fillId="2" borderId="0" xfId="0" applyFill="1"/>
    <xf numFmtId="1" fontId="0" fillId="2" borderId="0" xfId="0" applyNumberFormat="1" applyFill="1"/>
    <xf numFmtId="0" fontId="0" fillId="0" borderId="0" xfId="0" pivotButton="1"/>
    <xf numFmtId="0" fontId="0" fillId="0" borderId="0" xfId="0" applyAlignment="1">
      <alignment horizontal="left"/>
    </xf>
    <xf numFmtId="0" fontId="0" fillId="0" borderId="1" xfId="0" applyBorder="1" applyAlignment="1">
      <alignment horizontal="left"/>
    </xf>
    <xf numFmtId="0" fontId="0" fillId="0" borderId="1" xfId="0" applyBorder="1"/>
    <xf numFmtId="164" fontId="0" fillId="0" borderId="1" xfId="0" applyNumberFormat="1" applyBorder="1"/>
    <xf numFmtId="165" fontId="0" fillId="0" borderId="1" xfId="0" applyNumberFormat="1" applyBorder="1"/>
    <xf numFmtId="2" fontId="0" fillId="0" borderId="1" xfId="0" applyNumberFormat="1" applyBorder="1"/>
    <xf numFmtId="0" fontId="0" fillId="3" borderId="0" xfId="0" applyFill="1"/>
    <xf numFmtId="0" fontId="4" fillId="3" borderId="0" xfId="0" applyFont="1" applyFill="1"/>
    <xf numFmtId="0" fontId="0" fillId="4" borderId="0" xfId="0" applyFill="1"/>
    <xf numFmtId="164" fontId="0" fillId="0" borderId="0" xfId="0" applyNumberFormat="1"/>
    <xf numFmtId="0" fontId="3" fillId="4" borderId="0" xfId="0" applyFont="1" applyFill="1" applyAlignment="1">
      <alignment horizontal="right"/>
    </xf>
    <xf numFmtId="1" fontId="0" fillId="4" borderId="0" xfId="0" applyNumberFormat="1" applyFill="1" applyAlignment="1">
      <alignment horizontal="center"/>
    </xf>
    <xf numFmtId="165" fontId="0" fillId="0" borderId="0" xfId="0" applyNumberFormat="1"/>
    <xf numFmtId="0" fontId="0" fillId="4" borderId="0" xfId="0" applyFill="1" applyAlignment="1">
      <alignment horizontal="right"/>
    </xf>
    <xf numFmtId="165" fontId="0" fillId="4" borderId="0" xfId="0" applyNumberFormat="1" applyFill="1"/>
    <xf numFmtId="0" fontId="0" fillId="0" borderId="0" xfId="0" applyNumberFormat="1"/>
    <xf numFmtId="0" fontId="0" fillId="6" borderId="0" xfId="0" applyFill="1"/>
    <xf numFmtId="0" fontId="5" fillId="4" borderId="3" xfId="0" applyFont="1" applyFill="1" applyBorder="1"/>
    <xf numFmtId="0" fontId="5" fillId="4" borderId="3" xfId="0" applyFont="1" applyFill="1" applyBorder="1" applyAlignment="1">
      <alignment horizontal="right"/>
    </xf>
    <xf numFmtId="0" fontId="5" fillId="4" borderId="3" xfId="0" applyFont="1" applyFill="1" applyBorder="1"/>
    <xf numFmtId="0" fontId="5" fillId="4" borderId="3" xfId="0" applyFont="1" applyFill="1" applyBorder="1" applyAlignment="1">
      <alignment horizontal="center"/>
    </xf>
    <xf numFmtId="0" fontId="5" fillId="4" borderId="3" xfId="0" applyFont="1" applyFill="1" applyBorder="1"/>
    <xf numFmtId="0" fontId="5" fillId="4" borderId="3" xfId="0" applyFont="1" applyFill="1" applyBorder="1"/>
    <xf numFmtId="164" fontId="0" fillId="4" borderId="0" xfId="0" applyNumberFormat="1" applyFill="1" applyAlignment="1">
      <alignment horizontal="center"/>
    </xf>
    <xf numFmtId="0" fontId="5" fillId="4" borderId="3" xfId="0" applyFont="1" applyFill="1" applyBorder="1" applyAlignment="1">
      <alignment horizontal="center"/>
    </xf>
    <xf numFmtId="0" fontId="0" fillId="4" borderId="0" xfId="0" applyFill="1" applyAlignment="1">
      <alignment horizontal="center"/>
    </xf>
    <xf numFmtId="0" fontId="0" fillId="5" borderId="2" xfId="0" applyFill="1" applyBorder="1" applyAlignment="1">
      <alignment horizontal="center"/>
    </xf>
    <xf numFmtId="0" fontId="0" fillId="5" borderId="0" xfId="0" applyFill="1" applyAlignment="1">
      <alignment horizontal="center"/>
    </xf>
  </cellXfs>
  <cellStyles count="1">
    <cellStyle name="Normal" xfId="0" builtinId="0"/>
  </cellStyles>
  <dxfs count="77">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64" formatCode="\$0,&quot;K&quot;"/>
    </dxf>
    <dxf>
      <numFmt numFmtId="164" formatCode="\$0,&quot;K&quot;"/>
    </dxf>
    <dxf>
      <numFmt numFmtId="1" formatCode="0"/>
    </dxf>
    <dxf>
      <numFmt numFmtId="1" formatCode="0"/>
    </dxf>
    <dxf>
      <numFmt numFmtId="1" formatCode="0"/>
    </dxf>
    <dxf>
      <numFmt numFmtId="165" formatCode="\$0.00,&quot;K&quot;"/>
    </dxf>
    <dxf>
      <numFmt numFmtId="164" formatCode="\$0,&quot;K&quot;"/>
    </dxf>
    <dxf>
      <numFmt numFmtId="164" formatCode="\$0,&quot;K&quot;"/>
    </dxf>
    <dxf>
      <numFmt numFmtId="1" formatCode="0"/>
    </dxf>
    <dxf>
      <numFmt numFmtId="1" formatCode="0"/>
    </dxf>
    <dxf>
      <numFmt numFmtId="0" formatCode="General"/>
    </dxf>
    <dxf>
      <numFmt numFmtId="1" formatCode="0"/>
    </dxf>
    <dxf>
      <numFmt numFmtId="1" formatCode="0"/>
    </dxf>
    <dxf>
      <numFmt numFmtId="166" formatCode="dd/mm/yyyy"/>
    </dxf>
    <dxf>
      <numFmt numFmtId="166" formatCode="dd/mm/yyyy"/>
    </dxf>
    <dxf>
      <numFmt numFmtId="164" formatCode="\$0,&quot;K&quot;"/>
    </dxf>
    <dxf>
      <numFmt numFmtId="164" formatCode="\$0,&quot;K&quot;"/>
    </dxf>
    <dxf>
      <numFmt numFmtId="1" formatCode="0"/>
    </dxf>
    <dxf>
      <numFmt numFmtId="165" formatCode="\$0.00,&quot;K&quot;"/>
    </dxf>
    <dxf>
      <numFmt numFmtId="164" formatCode="\$0,&quot;K&quot;"/>
    </dxf>
    <dxf>
      <numFmt numFmtId="164" formatCode="\$0,&quot;K&quot;"/>
    </dxf>
    <dxf>
      <numFmt numFmtId="1" formatCode="0"/>
    </dxf>
    <dxf>
      <numFmt numFmtId="1" formatCode="0"/>
    </dxf>
    <dxf>
      <font>
        <b/>
        <color theme="1"/>
      </font>
      <border>
        <bottom style="thin">
          <color theme="9"/>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6"/>
        </bottom>
        <vertical/>
        <horizontal/>
      </border>
    </dxf>
    <dxf>
      <font>
        <color theme="1"/>
      </font>
      <fill>
        <patternFill>
          <bgColor theme="0" tint="-4.9989318521683403E-2"/>
        </patternFill>
      </fill>
      <border diagonalUp="0" diagonalDown="0">
        <left/>
        <right/>
        <top/>
        <bottom/>
        <vertical/>
        <horizontal/>
      </border>
    </dxf>
    <dxf>
      <font>
        <b/>
        <i val="0"/>
        <color rgb="FFFFFFFF"/>
      </font>
      <fill>
        <patternFill>
          <bgColor rgb="FF162832"/>
        </patternFill>
      </fill>
    </dxf>
    <dxf>
      <font>
        <b val="0"/>
        <i val="0"/>
        <color theme="0"/>
      </font>
      <fill>
        <patternFill>
          <bgColor rgb="FF101C24"/>
        </patternFill>
      </fill>
    </dxf>
  </dxfs>
  <tableStyles count="4" defaultTableStyle="TableStyleMedium9" defaultPivotStyle="PivotStyleLight16">
    <tableStyle name="Slicer Style 1" pivot="0" table="0" count="0" xr9:uid="{6CB89915-7F8B-4802-AC06-4A2D98AB2525}"/>
    <tableStyle name="Slicer Style 2" pivot="0" table="0" count="10" xr9:uid="{2BEAE0C9-FBC2-4579-B48B-84BB55E10A67}">
      <tableStyleElement type="wholeTable" dxfId="76"/>
      <tableStyleElement type="headerRow" dxfId="75"/>
    </tableStyle>
    <tableStyle name="SlicerStyleDark3 2" pivot="0" table="0" count="10" xr9:uid="{8F671B2C-FF05-4C94-8154-586A7FAB5D61}">
      <tableStyleElement type="wholeTable" dxfId="74"/>
      <tableStyleElement type="headerRow" dxfId="73"/>
    </tableStyle>
    <tableStyle name="SlicerStyleDark6 2" pivot="0" table="0" count="10" xr9:uid="{B7744E64-791C-4F62-95D4-5C0D041F9587}">
      <tableStyleElement type="wholeTable" dxfId="72"/>
      <tableStyleElement type="headerRow" dxfId="71"/>
    </tableStyle>
  </tableStyles>
  <colors>
    <mruColors>
      <color rgb="FF20A95A"/>
      <color rgb="FF9AA8AF"/>
      <color rgb="FF20333C"/>
      <color rgb="FF29434F"/>
      <color rgb="FFFFFFFF"/>
      <color rgb="FF28C468"/>
      <color rgb="FF17252D"/>
      <color rgb="FF71818A"/>
      <color rgb="FF24343D"/>
      <color rgb="FFD9E2E7"/>
    </mruColors>
  </colors>
  <extLst>
    <ext xmlns:x14="http://schemas.microsoft.com/office/spreadsheetml/2009/9/main" uri="{46F421CA-312F-682f-3DD2-61675219B42D}">
      <x14:dxfs count="23">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i val="0"/>
            <color rgb="FFFFFFFF"/>
          </font>
          <fill>
            <patternFill>
              <bgColor rgb="FF2563EB"/>
            </patternFill>
          </fill>
        </dxf>
        <dxf>
          <font>
            <b val="0"/>
            <i val="0"/>
            <color rgb="FFB6C4DB"/>
          </font>
          <fill>
            <patternFill>
              <bgColor rgb="FF1B2F55"/>
            </patternFill>
          </fill>
        </dxf>
        <dxf>
          <font>
            <b/>
            <i val="0"/>
            <color rgb="FFFFFFFF"/>
          </font>
          <fill>
            <patternFill>
              <bgColor rgb="FF3B82F6"/>
            </patternFill>
          </fill>
        </dxf>
        <dxf>
          <font>
            <b/>
            <i val="0"/>
            <color rgb="FFFFFFFF"/>
          </font>
          <fill>
            <patternFill>
              <bgColor rgb="FF2B4577"/>
            </patternFill>
          </fill>
        </dxf>
        <dxf>
          <font>
            <b/>
            <i val="0"/>
            <color rgb="FFFFFFFF"/>
          </font>
          <fill>
            <patternFill>
              <bgColor rgb="FF1D4ED8"/>
            </patternFill>
          </fill>
        </dxf>
        <dxf>
          <font>
            <b/>
            <i val="0"/>
            <color rgb="FFFFFFFF"/>
          </font>
          <fill>
            <patternFill>
              <bgColor rgb="FF2563EB"/>
            </patternFill>
          </fill>
        </dxf>
        <dxf>
          <font>
            <b val="0"/>
            <i val="0"/>
            <color rgb="FF7E8FAE"/>
          </font>
          <fill>
            <patternFill>
              <bgColor rgb="FF14233F"/>
            </patternFill>
          </fill>
        </dxf>
        <dxf>
          <font>
            <b val="0"/>
            <i val="0"/>
            <color rgb="FFE8EEF8"/>
          </font>
          <fill>
            <patternFill>
              <bgColor rgb="FF1E3A66"/>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22"/>
            <x14:slicerStyleElement type="unselectedItemWithNoData" dxfId="21"/>
            <x14:slicerStyleElement type="selectedItemWithData" dxfId="20"/>
            <x14:slicerStyleElement type="selectedItemWithNoData" dxfId="19"/>
            <x14:slicerStyleElement type="hoveredUnselectedItemWithData" dxfId="18"/>
            <x14:slicerStyleElement type="hoveredSelectedItemWithData" dxfId="17"/>
            <x14:slicerStyleElement type="hoveredUnselectedItemWithNoData" dxfId="16"/>
            <x14:slicerStyleElement type="hoveredSelectedItemWithNoData" dxfId="15"/>
          </x14:slicerStyleElements>
        </x14:slicerStyle>
        <x14:slicerStyle name="SlicerStyleDark3 2">
          <x14:slicerStyleElements>
            <x14:slicerStyleElement type="unselectedItemWithData" dxfId="14"/>
            <x14:slicerStyleElement type="unselectedItemWithNoData" dxfId="13"/>
            <x14:slicerStyleElement type="selectedItemWithData" dxfId="12"/>
            <x14:slicerStyleElement type="selectedItemWithNoData" dxfId="11"/>
            <x14:slicerStyleElement type="hoveredUnselectedItemWithData" dxfId="10"/>
            <x14:slicerStyleElement type="hoveredSelectedItemWithData" dxfId="9"/>
            <x14:slicerStyleElement type="hoveredUnselectedItemWithNoData" dxfId="8"/>
            <x14:slicerStyleElement type="hoveredSelectedItemWithNoData" dxfId="7"/>
          </x14:slicerStyleElements>
        </x14:slicerStyle>
        <x14:slicerStyle name="SlicerStyleDark6 2">
          <x14:slicerStyleElements>
            <x14:slicerStyleElement type="unselectedItemWithData"/>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lgn="l">
              <a:defRPr sz="1400" b="0" i="0" u="none" strike="noStrike" kern="1200" cap="none" spc="20" baseline="0">
                <a:solidFill>
                  <a:schemeClr val="tx1">
                    <a:lumMod val="50000"/>
                    <a:lumOff val="50000"/>
                  </a:schemeClr>
                </a:solidFill>
                <a:latin typeface="+mn-lt"/>
                <a:ea typeface="+mn-ea"/>
                <a:cs typeface="+mn-cs"/>
              </a:defRPr>
            </a:pPr>
            <a:r>
              <a:rPr lang="en-IN" b="1">
                <a:solidFill>
                  <a:schemeClr val="tx1"/>
                </a:solidFill>
              </a:rPr>
              <a:t>SALES</a:t>
            </a:r>
            <a:r>
              <a:rPr lang="en-IN" b="1" baseline="0">
                <a:solidFill>
                  <a:schemeClr val="tx1"/>
                </a:solidFill>
              </a:rPr>
              <a:t> TREND (MONTHLY)</a:t>
            </a:r>
            <a:endParaRPr lang="en-IN" b="1">
              <a:solidFill>
                <a:schemeClr val="tx1"/>
              </a:solidFill>
            </a:endParaRPr>
          </a:p>
        </c:rich>
      </c:tx>
      <c:layout>
        <c:manualLayout>
          <c:xMode val="edge"/>
          <c:yMode val="edge"/>
          <c:x val="1.0334701752024588E-2"/>
          <c:y val="3.1872509960159362E-2"/>
        </c:manualLayout>
      </c:layout>
      <c:overlay val="0"/>
      <c:spPr>
        <a:noFill/>
        <a:ln>
          <a:noFill/>
        </a:ln>
        <a:effectLst/>
      </c:spPr>
      <c:txPr>
        <a:bodyPr rot="0" spcFirstLastPara="1" vertOverflow="ellipsis" vert="horz" wrap="square" anchor="ctr" anchorCtr="1"/>
        <a:lstStyle/>
        <a:p>
          <a:pPr algn="l">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spPr>
            <a:gradFill rotWithShape="1">
              <a:gsLst>
                <a:gs pos="0">
                  <a:srgbClr val="2563EB"/>
                </a:gs>
                <a:gs pos="100000">
                  <a:srgbClr val="93C5FD"/>
                </a:gs>
              </a:gsLst>
              <a:lin ang="5400000" scaled="0"/>
            </a:gradFill>
            <a:ln w="9525" cap="flat" cmpd="sng" algn="ctr">
              <a:noFill/>
              <a:round/>
            </a:ln>
            <a:effectLst>
              <a:outerShdw blurRad="40000" dist="20000" dir="5400000" rotWithShape="0">
                <a:srgbClr val="000000">
                  <a:alpha val="38000"/>
                </a:srgbClr>
              </a:outerShdw>
            </a:effectLst>
          </c:spPr>
          <c:invertIfNegative val="0"/>
          <c:cat>
            <c:strRef>
              <c:f>Pivot!$F$4:$F$15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Pivot!$H$4:$H$15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extLst>
            <c:ext xmlns:c16="http://schemas.microsoft.com/office/drawing/2014/chart" uri="{C3380CC4-5D6E-409C-BE32-E72D297353CC}">
              <c16:uniqueId val="{00000001-9FCC-47D8-BAFF-B885DEC19C99}"/>
            </c:ext>
          </c:extLst>
        </c:ser>
        <c:dLbls>
          <c:showLegendKey val="0"/>
          <c:showVal val="0"/>
          <c:showCatName val="0"/>
          <c:showSerName val="0"/>
          <c:showPercent val="0"/>
          <c:showBubbleSize val="0"/>
        </c:dLbls>
        <c:gapWidth val="50"/>
        <c:axId val="539607360"/>
        <c:axId val="499380064"/>
      </c:barChart>
      <c:lineChart>
        <c:grouping val="standard"/>
        <c:varyColors val="0"/>
        <c:ser>
          <c:idx val="0"/>
          <c:order val="0"/>
          <c:spPr>
            <a:ln w="31750" cap="rnd">
              <a:solidFill>
                <a:srgbClr val="D97706"/>
              </a:solidFill>
              <a:round/>
            </a:ln>
            <a:effectLst/>
          </c:spPr>
          <c:marker>
            <c:symbol val="circle"/>
            <c:size val="7"/>
            <c:spPr>
              <a:solidFill>
                <a:srgbClr val="FFFFFF"/>
              </a:solidFill>
              <a:ln w="25400" cap="flat" cmpd="sng" algn="ctr">
                <a:solidFill>
                  <a:srgbClr val="D9770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75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Pivot!$G$4:$G$15</c:f>
              <c:numCache>
                <c:formatCode>\$0,"K"</c:formatCode>
                <c:ptCount val="12"/>
                <c:pt idx="0">
                  <c:v>134014.38249999998</c:v>
                </c:pt>
                <c:pt idx="1">
                  <c:v>106604.307</c:v>
                </c:pt>
                <c:pt idx="2">
                  <c:v>119074.43199999997</c:v>
                </c:pt>
                <c:pt idx="3">
                  <c:v>157694.57299999997</c:v>
                </c:pt>
                <c:pt idx="4">
                  <c:v>121124.09850000002</c:v>
                </c:pt>
                <c:pt idx="5">
                  <c:v>99764.748000000007</c:v>
                </c:pt>
                <c:pt idx="6">
                  <c:v>110318.98115000001</c:v>
                </c:pt>
                <c:pt idx="7">
                  <c:v>105231.72409999993</c:v>
                </c:pt>
                <c:pt idx="8">
                  <c:v>101183.44100000001</c:v>
                </c:pt>
                <c:pt idx="9">
                  <c:v>67484.858500000002</c:v>
                </c:pt>
                <c:pt idx="10">
                  <c:v>100922.50649999997</c:v>
                </c:pt>
                <c:pt idx="11">
                  <c:v>77808.748499999987</c:v>
                </c:pt>
              </c:numCache>
            </c:numRef>
          </c:val>
          <c:smooth val="0"/>
          <c:extLst>
            <c:ext xmlns:c16="http://schemas.microsoft.com/office/drawing/2014/chart" uri="{C3380CC4-5D6E-409C-BE32-E72D297353CC}">
              <c16:uniqueId val="{00000000-9FCC-47D8-BAFF-B885DEC19C99}"/>
            </c:ext>
          </c:extLst>
        </c:ser>
        <c:dLbls>
          <c:showLegendKey val="0"/>
          <c:showVal val="0"/>
          <c:showCatName val="0"/>
          <c:showSerName val="0"/>
          <c:showPercent val="0"/>
          <c:showBubbleSize val="0"/>
        </c:dLbls>
        <c:marker val="1"/>
        <c:smooth val="0"/>
        <c:axId val="539607360"/>
        <c:axId val="499380064"/>
      </c:lineChart>
      <c:catAx>
        <c:axId val="539607360"/>
        <c:scaling>
          <c:orientation val="minMax"/>
        </c:scaling>
        <c:delete val="0"/>
        <c:axPos val="b"/>
        <c:numFmt formatCode="General" sourceLinked="1"/>
        <c:majorTickMark val="out"/>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9380064"/>
        <c:crosses val="autoZero"/>
        <c:auto val="1"/>
        <c:lblAlgn val="ctr"/>
        <c:lblOffset val="100"/>
        <c:noMultiLvlLbl val="0"/>
      </c:catAx>
      <c:valAx>
        <c:axId val="499380064"/>
        <c:scaling>
          <c:orientation val="minMax"/>
          <c:min val="30000"/>
        </c:scaling>
        <c:delete val="0"/>
        <c:axPos val="l"/>
        <c:numFmt formatCode="\$0,&quot;K&quot;"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3960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SALES</a:t>
            </a:r>
            <a:r>
              <a:rPr lang="en-IN" b="1" baseline="0">
                <a:solidFill>
                  <a:schemeClr val="tx1"/>
                </a:solidFill>
              </a:rPr>
              <a:t> BY CATEGORY</a:t>
            </a:r>
            <a:endParaRPr lang="en-IN" b="1">
              <a:solidFill>
                <a:schemeClr val="tx1"/>
              </a:solidFill>
            </a:endParaRPr>
          </a:p>
        </c:rich>
      </c:tx>
      <c:layout>
        <c:manualLayout>
          <c:xMode val="edge"/>
          <c:yMode val="edge"/>
          <c:x val="2.1714465848426932E-2"/>
          <c:y val="3.20000000000000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00229573131035"/>
          <c:y val="0.14981333333333335"/>
          <c:w val="0.48532637075718016"/>
          <c:h val="0.74351999999999996"/>
        </c:manualLayout>
      </c:layout>
      <c:doughnutChart>
        <c:varyColors val="1"/>
        <c:ser>
          <c:idx val="0"/>
          <c:order val="0"/>
          <c:spPr>
            <a:effectLst>
              <a:outerShdw blurRad="50800" dist="38100" dir="8100000" algn="tr" rotWithShape="0">
                <a:prstClr val="black">
                  <a:alpha val="40000"/>
                </a:prstClr>
              </a:outerShdw>
              <a:softEdge rad="0"/>
            </a:effectLst>
          </c:spPr>
          <c:dPt>
            <c:idx val="0"/>
            <c:bubble3D val="0"/>
            <c:spPr>
              <a:solidFill>
                <a:schemeClr val="accent1"/>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1-9CB3-4005-8EE6-26C8EFB80BAD}"/>
              </c:ext>
            </c:extLst>
          </c:dPt>
          <c:dPt>
            <c:idx val="1"/>
            <c:bubble3D val="0"/>
            <c:spPr>
              <a:solidFill>
                <a:schemeClr val="accent2"/>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3-9CB3-4005-8EE6-26C8EFB80BAD}"/>
              </c:ext>
            </c:extLst>
          </c:dPt>
          <c:dPt>
            <c:idx val="2"/>
            <c:bubble3D val="0"/>
            <c:spPr>
              <a:solidFill>
                <a:schemeClr val="accent3"/>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5-9CB3-4005-8EE6-26C8EFB80BAD}"/>
              </c:ext>
            </c:extLst>
          </c:dPt>
          <c:dPt>
            <c:idx val="3"/>
            <c:bubble3D val="0"/>
            <c:spPr>
              <a:solidFill>
                <a:schemeClr val="accent4"/>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7-9CB3-4005-8EE6-26C8EFB80BAD}"/>
              </c:ext>
            </c:extLst>
          </c:dPt>
          <c:dPt>
            <c:idx val="4"/>
            <c:bubble3D val="0"/>
            <c:spPr>
              <a:solidFill>
                <a:schemeClr val="accent5"/>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9-9CB3-4005-8EE6-26C8EFB80BAD}"/>
              </c:ext>
            </c:extLst>
          </c:dPt>
          <c:dPt>
            <c:idx val="5"/>
            <c:bubble3D val="0"/>
            <c:spPr>
              <a:solidFill>
                <a:schemeClr val="accent6"/>
              </a:solidFill>
              <a:ln w="19050">
                <a:solidFill>
                  <a:schemeClr val="lt1"/>
                </a:solidFill>
              </a:ln>
              <a:effectLst>
                <a:outerShdw blurRad="50800" dist="38100" dir="8100000" algn="tr" rotWithShape="0">
                  <a:prstClr val="black">
                    <a:alpha val="40000"/>
                  </a:prstClr>
                </a:outerShdw>
                <a:softEdge rad="0"/>
              </a:effectLst>
            </c:spPr>
            <c:extLst>
              <c:ext xmlns:c16="http://schemas.microsoft.com/office/drawing/2014/chart" uri="{C3380CC4-5D6E-409C-BE32-E72D297353CC}">
                <c16:uniqueId val="{0000000B-9CB3-4005-8EE6-26C8EFB80B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Pivot!$J$11:$J$16</c:f>
              <c:strCache>
                <c:ptCount val="6"/>
                <c:pt idx="0">
                  <c:v>Beauty</c:v>
                </c:pt>
                <c:pt idx="1">
                  <c:v>Electronics</c:v>
                </c:pt>
                <c:pt idx="2">
                  <c:v>Fashion</c:v>
                </c:pt>
                <c:pt idx="3">
                  <c:v>Grocery</c:v>
                </c:pt>
                <c:pt idx="4">
                  <c:v>Home</c:v>
                </c:pt>
                <c:pt idx="5">
                  <c:v>Sports</c:v>
                </c:pt>
              </c:strCache>
            </c:strRef>
          </c:cat>
          <c:val>
            <c:numRef>
              <c:f>Pivot!$K$11:$K$16</c:f>
              <c:numCache>
                <c:formatCode>\$0,"K"</c:formatCode>
                <c:ptCount val="6"/>
                <c:pt idx="0">
                  <c:v>222579.38759999993</c:v>
                </c:pt>
                <c:pt idx="1">
                  <c:v>199339.68215000004</c:v>
                </c:pt>
                <c:pt idx="2">
                  <c:v>241590.24449999991</c:v>
                </c:pt>
                <c:pt idx="3">
                  <c:v>209989.55800000005</c:v>
                </c:pt>
                <c:pt idx="4">
                  <c:v>241223.90649999995</c:v>
                </c:pt>
                <c:pt idx="5">
                  <c:v>186504.02199999997</c:v>
                </c:pt>
              </c:numCache>
            </c:numRef>
          </c:val>
          <c:extLst>
            <c:ext xmlns:c16="http://schemas.microsoft.com/office/drawing/2014/chart" uri="{C3380CC4-5D6E-409C-BE32-E72D297353CC}">
              <c16:uniqueId val="{0000000C-9CB3-4005-8EE6-26C8EFB80BAD}"/>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7048977885597194"/>
          <c:y val="0.13957123359580054"/>
          <c:w val="0.19373998615708285"/>
          <c:h val="0.769337112860892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[Ecommerce_Sales_Dashboard.xlsm]Pivot!PivotTable12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Payments</a:t>
            </a:r>
            <a:r>
              <a:rPr lang="en-US" b="1" baseline="0">
                <a:solidFill>
                  <a:schemeClr val="tx1"/>
                </a:solidFill>
              </a:rPr>
              <a:t> Mode</a:t>
            </a:r>
            <a:endParaRPr lang="en-US" b="1">
              <a:solidFill>
                <a:schemeClr val="tx1"/>
              </a:solidFill>
            </a:endParaRPr>
          </a:p>
        </c:rich>
      </c:tx>
      <c:layout>
        <c:manualLayout>
          <c:xMode val="edge"/>
          <c:yMode val="edge"/>
          <c:x val="3.7842323651452285E-2"/>
          <c:y val="2.32288037166085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1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Pivot!$B$29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DE-4A19-8127-FFD76B01D6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DE-4A19-8127-FFD76B01D6A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DE-4A19-8127-FFD76B01D6A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ADE-4A19-8127-FFD76B01D6A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ADE-4A19-8127-FFD76B01D6A8}"/>
              </c:ext>
            </c:extLst>
          </c:dPt>
          <c:dLbls>
            <c:spPr>
              <a:noFill/>
              <a:ln>
                <a:noFill/>
              </a:ln>
              <a:effectLst/>
            </c:spPr>
            <c:txPr>
              <a:bodyPr rot="0" spcFirstLastPara="1" vertOverflow="ellipsis" vert="horz" wrap="square" lIns="38100" tIns="19050" rIns="38100" bIns="19050" anchor="ctr" anchorCtr="1">
                <a:spAutoFit/>
              </a:bodyPr>
              <a:lstStyle/>
              <a:p>
                <a:pPr>
                  <a:defRPr sz="91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Pivot!$A$30:$A$34</c:f>
              <c:strCache>
                <c:ptCount val="5"/>
                <c:pt idx="0">
                  <c:v>COD</c:v>
                </c:pt>
                <c:pt idx="1">
                  <c:v>Credit Card</c:v>
                </c:pt>
                <c:pt idx="2">
                  <c:v>Debit Card</c:v>
                </c:pt>
                <c:pt idx="3">
                  <c:v>UPI</c:v>
                </c:pt>
                <c:pt idx="4">
                  <c:v>Wallet</c:v>
                </c:pt>
              </c:strCache>
            </c:strRef>
          </c:cat>
          <c:val>
            <c:numRef>
              <c:f>Pivot!$B$30:$B$34</c:f>
              <c:numCache>
                <c:formatCode>0</c:formatCode>
                <c:ptCount val="5"/>
                <c:pt idx="0">
                  <c:v>213</c:v>
                </c:pt>
                <c:pt idx="1">
                  <c:v>204</c:v>
                </c:pt>
                <c:pt idx="2">
                  <c:v>204</c:v>
                </c:pt>
                <c:pt idx="3">
                  <c:v>179</c:v>
                </c:pt>
                <c:pt idx="4">
                  <c:v>218</c:v>
                </c:pt>
              </c:numCache>
            </c:numRef>
          </c:val>
          <c:extLst>
            <c:ext xmlns:c16="http://schemas.microsoft.com/office/drawing/2014/chart" uri="{C3380CC4-5D6E-409C-BE32-E72D297353CC}">
              <c16:uniqueId val="{0000000A-0ADE-4A19-8127-FFD76B01D6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[Ecommerce_Sales_Dashboard.xlsm]Pivot!PivotTable13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Order</a:t>
            </a:r>
            <a:r>
              <a:rPr lang="en-US" b="1" baseline="0">
                <a:solidFill>
                  <a:schemeClr val="tx1"/>
                </a:solidFill>
              </a:rPr>
              <a:t> Status</a:t>
            </a:r>
            <a:endParaRPr lang="en-US" b="1">
              <a:solidFill>
                <a:schemeClr val="tx1"/>
              </a:solidFill>
            </a:endParaRPr>
          </a:p>
        </c:rich>
      </c:tx>
      <c:layout>
        <c:manualLayout>
          <c:xMode val="edge"/>
          <c:yMode val="edge"/>
          <c:x val="3.5059760956175308E-2"/>
          <c:y val="4.07470215994863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Pivot!$E$29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3BF-401A-8D31-EFD845824B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BF-401A-8D31-EFD845824B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3BF-401A-8D31-EFD845824B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3BF-401A-8D31-EFD845824B5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Pivot!$D$30:$D$33</c:f>
              <c:strCache>
                <c:ptCount val="4"/>
                <c:pt idx="0">
                  <c:v>Cancelled</c:v>
                </c:pt>
                <c:pt idx="1">
                  <c:v>Delivered</c:v>
                </c:pt>
                <c:pt idx="2">
                  <c:v>Pending</c:v>
                </c:pt>
                <c:pt idx="3">
                  <c:v>Returned</c:v>
                </c:pt>
              </c:strCache>
            </c:strRef>
          </c:cat>
          <c:val>
            <c:numRef>
              <c:f>Pivot!$E$30:$E$33</c:f>
              <c:numCache>
                <c:formatCode>0</c:formatCode>
                <c:ptCount val="4"/>
                <c:pt idx="0">
                  <c:v>242</c:v>
                </c:pt>
                <c:pt idx="1">
                  <c:v>271</c:v>
                </c:pt>
                <c:pt idx="2">
                  <c:v>262</c:v>
                </c:pt>
                <c:pt idx="3">
                  <c:v>243</c:v>
                </c:pt>
              </c:numCache>
            </c:numRef>
          </c:val>
          <c:extLst>
            <c:ext xmlns:c16="http://schemas.microsoft.com/office/drawing/2014/chart" uri="{C3380CC4-5D6E-409C-BE32-E72D297353CC}">
              <c16:uniqueId val="{00000008-53BF-401A-8D31-EFD845824B51}"/>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GB" sz="1400" b="1" i="0" u="none" strike="noStrike" baseline="0">
              <a:solidFill>
                <a:schemeClr val="tx1"/>
              </a:solidFill>
              <a:latin typeface="Calibri"/>
            </a:rPr>
            <a:t>SALES BY STATE</a:t>
          </a:r>
        </a:p>
      </cx:txPr>
      <cx:extLst>
        <cx:ext uri="ext:featex">
          <cx:featureExtension feature="mp" drop="onModelChange">
            <cx:offset top="0.031250007450580597" left="-0.78124994039535522"/>
          </cx:featureExtension>
        </cx:ext>
      </cx:extLst>
    </cx:title>
    <cx:plotArea>
      <cx:plotAreaRegion>
        <cx:series layoutId="regionMap" uniqueId="{00000000-E0C5-4976-8769-3AA3D032619B}">
          <cx:spPr>
            <a:ln>
              <a:solidFill>
                <a:schemeClr val="tx1"/>
              </a:solidFill>
            </a:ln>
          </cx:spPr>
          <cx:dataLabels>
            <cx:txPr>
              <a:bodyPr spcFirstLastPara="1" vertOverflow="ellipsis" horzOverflow="overflow" wrap="square" lIns="0" tIns="0" rIns="0" bIns="0" anchor="ctr" anchorCtr="1"/>
              <a:lstStyle/>
              <a:p>
                <a:pPr algn="ctr" rtl="0">
                  <a:defRPr sz="800" baseline="0">
                    <a:solidFill>
                      <a:schemeClr val="tx1"/>
                    </a:solidFill>
                  </a:defRPr>
                </a:pPr>
                <a:endParaRPr lang="en-GB" sz="800" b="0" i="0" u="none" strike="noStrike" baseline="0">
                  <a:solidFill>
                    <a:schemeClr val="tx1"/>
                  </a:solidFill>
                  <a:latin typeface="Calibri"/>
                </a:endParaRPr>
              </a:p>
            </cx:txPr>
            <cx:visibility seriesName="0" categoryName="0" value="1"/>
            <cx:separator>, </cx:separator>
            <cx:dataLabel idx="21">
              <cx:txPr>
                <a:bodyPr spcFirstLastPara="1" vertOverflow="ellipsis" horzOverflow="overflow" wrap="square" lIns="0" tIns="0" rIns="0" bIns="0" anchor="ctr" anchorCtr="1"/>
                <a:lstStyle/>
                <a:p>
                  <a:pPr algn="ctr" rtl="0">
                    <a:defRPr sz="800" baseline="0">
                      <a:solidFill>
                        <a:schemeClr val="tx1"/>
                      </a:solidFill>
                    </a:defRPr>
                  </a:pPr>
                  <a:r>
                    <a:rPr lang="en-GB" sz="800" b="0" i="0" u="none" strike="noStrike" baseline="0">
                      <a:solidFill>
                        <a:schemeClr val="tx1"/>
                      </a:solidFill>
                      <a:latin typeface="Calibri"/>
                    </a:rPr>
                    <a:t>$138K</a:t>
                  </a:r>
                </a:p>
              </cx:txPr>
            </cx:dataLabel>
          </cx:dataLabels>
          <cx:dataId val="0"/>
          <cx:layoutPr>
            <cx:geography cultureLanguage="en-GB" cultureRegion="IN" attribution="Powered by Bing">
              <cx:geoCache provider="{E9337A44-BEBE-4D9F-B70C-5C5E7DAFC167}">
                <cx:binary>7Hxrb9y21u5fCfL5lcubRHJjdwNbmhnPjK9xHKfpF8GJHZESKUqi7r/+XWM7qT1J3FMkBwcGzqB1
a2tELvFZa/FZF+rfn8Z/fTK3182r0ZrS/+vT+Ptr1bbVv377zX9St/baH1j9qXHefW4PPjn7m/v8
WX+6/e2muR50mf1GEGa/fVLXTXs7vv7Pv2G07NYdu0/XrXblm+62mS5ufWda/8y17156dX1jdbnQ
vm30pxb//npT3ujr8vr1q9uy1e10OVW3v79+8qXXr37bH+qbaV8ZkKztbuBeKg8klpKJUKC7D339
yrgye7gciOiACMylpOT+evhl7tNrC/c/CPQ/r96Vur29efW2vW5v/ZfvfE++O+mub26aW+/h+e7+
++NxnjwbfO309atPrivb3ZJmsLq/v96bWHuX3H8hcbsHfPf2bkV+ewrKf/699wdYo72/PMJtf0H/
7tI3sP3XXH+8tr8SNnLAo4gRQvg3eAmGKKBF5P3nCxb3eD1I8tN4/WicPbz+e/wy8Wr07H6pmbED
AiYEpsTuUdmDDWN8AHiGMgqjOzvDe7DdC/TzsP1gnH3Y/nyRsF3ejtfP+p5/6BvxAYuoYALje98H
oDz2jVIeULA0yfmDrYmnoN2J89OQfX+UPcAu/3iRgCXXRn92Tal/pWvkByRkUQTb2ndRw1geRJgT
jhlsfLvPU9T+kumnoXtmqD38kv++SPzea//JlV6XX5bwexv+PzM6xg4iKmVII3SPDsDz2OiEPOBg
c2Eo6T28QFjuydD9BvdVpJ9G78cj7YH3fvMiwUuccc31jfuyfj+PHRUHUoowROyBLO45TIzCg5Bx
QaM90L6I8tOY/XCgPciSsxcJ2QoQ0ze/0FkScRCCLeHowRXunOETayMHTHDKiPi+tT0I9NO4/Wic
PdhWL5NObozRpdO/kJowdIAJw2BJD3xyHzd5gJmIaCjCr170sZf8ItFPA/fDgfaQ27xM5C5vyxLi
1NvbX+gkwwPBgDAi8RBxkz2Tiw4oo2RHUb7yl8fQfRXpp7H78Uh74F2+zKj7RHvvukb/QuzEAY04
pErYQ0Swh50Ed8k55Zg8+NO9bMkXiX4auh8OtIfcycvc5w5vXZP90qCAHERMEMHk90M5QQ8YY5Qz
9Fca7LHRPQj007j9aJw92A5fZjhwct1M5rq8+aUGJ0PCabi3v/HogCMMKRX5sP/tEcovkvw0YD8c
aA+xk8WLJJQn195ff1Kdv23bX0lPyAFsX5Qj+RDEQWbkMa3kkO1CIaQpBeTBHtvZE3l+AXiPnu6b
0fYRfKE2pz8pnV3/2ghccMYlFw+b2B54IoQIHEmoCTxcj/YwfJDomwW/B/p7Yeb3awInPxpoH7nN
y7Q9veOWrv2F4RzbcUeJGZUP2xh+aneSHWAJoRxkovcxe5DlF4D2o5H2UXsZpPL5atNjlX7yzX9e
hgN3GHKgIF+zWo8dJqSa0S7a+7rfsaf47RXBfizW9y1t7/YnT/IyKmynt8Or7W3jb6cvC/M9P/MP
U5EQZFPYwUL6fbbPIVXJRQjV34cYew+Uv2T6aat6Zqg9szrdvkhn+P7aKyilt+5XbmT8gGEMViVg
r9p99otuBB2EIcQFX8I58JaPychfMv00fs8MtYff+5dJQ86U/oWJZEhvMQxpSQkM8u6zT0Gg/I0k
hcTkX+7yMXI7aX4as+8OsofW2fpFWtvOnXxwTfFF33+BryQHEIwRtus8uPtAQPZ4A+PhQQRXwuhL
AXyPNH6R6KdR++FAe8idfniZyLmmVa+S68ZBSvkXMkcKlRkKFhUCs7/77PlKDgllEVIRRff9CWgf
vydy/TyKzw+3j2XyIrE8a26zX7rfUbBBEUHaP7rHcC9pgu/2OwFVOLYXdt9L8tOo/WCYPbTOLl4k
WudQCvCT6a9/abcC7HRCQrPCQ7yG0F7ExvmBoEJAj8lfO+Hjne6xVD+N37OD7aF4/jJ5ylvX/d/x
n2B7CKIz8qVXaG//EzucIbsMjV73trnnP5/K9dNI/s1we1i+fZn+80pDkeCXWiPlByEmQkKR5x6l
Pd7JxcHOVEOJHq4Dyo+t8YtEP43fDwfaQ+7q/5EV/rhX9muz8eK6vV7edSk/apd9/uqXPtu9Wx+W
+Lsk9X71Nze/vyY0wuA8v3Y/7wZ5As7pE07xBbhHt95e+/b31wFQVRaSiEP9POSEQEfm61fD7d0l
wQ4owREDN80gbmQU9KPcDQuN1NFBKASmu0ZqSK+RCO7yO2cDlyhUfCkWklAZQrIgpF+bxM+dmYAD
fF2Wh99flZ09d7ps/e+vOYIiYnX/vZ2w4S7BRyiVPIygnxRBFATXP11fQPgMX8f/w4uxto3x+Xps
hapiLAvFF7PP6mFB+kaOy7avkIsF4irapGTK2KYkpRRJNPuuTMgQ5eOKzqMtli50Wb0OjMNDE1d9
aVGMFPXQlR6K4ylVbFO5Fp+60LBNyzpM4onk9QdTRXTTa5yaeMhNYOLCjENsZymOpUrdh9KL6kOF
5rRZ9rnXVTyUWBxjRdh12fT41EoblAm0oUdR3DkiqkNiuGqWvgh2t9DU2qTI9XRO6lZedRTDxEOF
Ah23XowX2RjKK6vxeNHkhG7Swto0ptXIm7OMlIXburBxYhtJ7m+8QPjSlLbIYqzKIMFlZnRSsWk8
n8xIu6ToJDxGJVkTxYRkzRphii8hZRBeczKO584F3Zr2ir6bBzGel9Q1a0+R83FkPT7NSA3PX/Es
vcoj6ANJ6lpXPuYy9/6wkrO/yRsNK1AyRy61N9UHmtaoj0fawNfYiN2RdWF4PWVwX9xlIECIB5B2
MDAbohm5zFPlbNLRSM1xJEd4albAnKKg1QeTI3h2acK5j7sB0dOIaXtUKq5OaRHkx6JPcdwMejzJ
U91vqJPFptQc7uHBbj2jMc2z2I42iBag1/CXe0ANyopmkelUXpFuh3A/deM5QOr9H9HkpvF4qNIJ
L8aC5HaBvCn0m8ASeAQ35TBK1Sv4KbwxcxKaDtZlyAOQUY2BSeNhYkGY8IBn+rBubdivq8Iq9L6J
PKMrY+fAxf0wf1ZpByuB+lJeTWa4aGcfrqZSRSwxqU6vZuLzN7xnksVmrIOkwpZclgwUcFTDTmst
KHoxsi5dTVUGI80pgZ9cpSCb2ilRi+h4rqIBfudtD9pAGg/IStpyupRTSDeC4Y6dGM7bOqkyD8oX
EKMWaU/A9PhQtTecySFborbCp2qowQi5HAFgVwlEYiEzH8VFXpXTtsxloZNCGmOXPahoFGMwy2NX
yYiteZ7STZD3hCbTQEFuPXd6jm2RjhcUZWUal4MFjUlx52/GkcGU5RwAdv1OTyY5Vh+6HUSCtnRj
w676ILCHwdoa6UOoscolZ6U+nPpeLiuGqw9NladXdyqsAw7rW3h35HbGnu+UNI368WKgHSzJQLLp
fMzAFOxM3BFTeVmsCDQmXUGfJixc6ypKk8oIUJiOI3dkygj+fGcSnan0YaQnWLxJdQA2Asehsa4/
zLxp1nVYWbWIughfssGlV0GO+iCufK5cnNeZTUzDwTgjN8nlTIQ+NCoc+njQFh4HabbRfgRAazTB
t4Big4IFFIzcFz2sT9owfNmTFp4azeBBoGuRbrhy8nhwRh7PdQQQtnqCEVyF8zk2gWhE0nGv6Hle
9xlfBI2fwJ9ms1wgU/F1FDZohUwuj8N6DBZ0UEETj66A56Vjkw2r2U+dWkowijQmjQWBZgoeyxI3
qIvJj9VJlndyqadaH9IJbLmQ4J5FWQRyabGBcVhk2aYoerHIW3AZCKX4sg2rDlbQsvGiAkXXMVFF
/aFAab2W2GeHaavIJaeg81FhhnQlVN7Mbz202bL12IGLpDM88FgUoFGBJACUIQG+TNE8V9vM8XBc
0tIatbVprg9zNOvDjpFiTvoBUDI6ZddeE3DNOJ1Ap1I4gtLHUzQDrI034TUaJFj4WGJ8WXcTvszD
aZgWRWNpGVvkQF+wb+XSlaClg+zBImxU41PtJL60FoM8ua2ydNnLneZwbNy0ZXkDw5Ms9TdZ4fSh
ViFot4Qpdk1xV40OcX7Eqq5Zd5ijenWn84wwuAm18MwJqXf63/EIn3a6l1eQb+TwnGjn9voB1+2b
vg6LcYW0B//W+FYsjKI7fZSTF0lVC3kV0BmAvHdpucfaLio+gCqFqWi6TS58HcR1z4ZmWeEAn7MI
rMuYQuZJN8DyUjOu7izO9oJdDWU74mSsw0at7jyrcwpHh4MS9RXWtCyvhiybivfhQMFPGLbzUrgf
9CFTbXgtzSCXeVfbN1h1JBFZeVOqUW6aqtptBjW0S8RTmoEHlmbGp8McgiMzwB+6RDhR4XhUqsTq
jExqWoP7oXZY4KwDChEDQ3E4idwsj2zpWxUTno4ZLImW5s2cm9scacNFYtogu4KttFmXbWgBohKB
1RTdCL4WbLJZKHAxLg4GEuYJrZvoxpX2ymW42cp07NAQT2IYgYfQ5pIwsXFytxH5qDSXesqqI9hj
xDkuOUrBdnu6amqq4xrj9hSKZ+4IjthlSS8y9U7zOjTxVKZ/1i1ZBsTVxx7qOEnT8gTxHGwg7iy2
wbBu22njVVcd8Vw2Nj1HirlEyvZ9WXerqvL1KoBY4LxifZxbfpESFqL3U2SqAPYJZ6N0g7Gz4FVz
sHA4dbCYKerIokKVXZCIzGXCfRtmcVSzPKkcsWuM60zFmlUiCVhBV0VJehlzPa9QNw7bMFdFkQR8
mPqYlJWaVlM0Gb6WoJZNkvkuHGH5lTxqKZvPxNjyrc8lbHN6rNd6DKo2tgN+x3DvTgIUlWd6LsSW
kxS0FzMgJUq4ZSbySsWoGkmcF7w7asYenXCaIRr7IByvDXP5u4nbdyzntTk2tWdv6kKVy6D1g0jY
3MiV6Gn/2U+N/KhEa2I/SBLPoGTLOuR6IZqpWU1BLteor/vFNLZ2aUU1qoSxvIg76vMT0ah8OoH1
im7yVpSruRtS2Mc1WmZ6eCdlXq0KzZtDng5/9umYhDrnH7N6nC5UOJULbGqyogXPY9KGzRuPYFkj
WUbLcLTjp7wjl0HO0xgP3p8IreY3dp7CxPHOrtwUsMNU9vy4kpots9pf1rIL8riJgBktva3dSTun
4KIKC/xkUNUyA96w7WyDt8Q3wTqUzm8K2bFjR2eUwKKVy76ow7dj5Fw81rVYBnIu4hw8VgwaUpyz
Ol9wYJ3BXOAz2AQmoHx9ucpEEG1MQ6c3maMJLWm5JoFvDsVuh6BT1S/GTHbrsADAvJ6CDz4d60Ve
NfJkzsM3nbZk0ZYluiiaXBy7ybTvyEiC48lWpo4DweG+Abjrx7Y3EngJIfO2Hcv6MNet+yMH+g70
rrO9Bv0mxSVpUrHmAw1OUVSjBHZevigEW3U8nFa5K+xmQJxfB4X9YwzqwsSYG5v0TeNXAQe1iSc+
oHia2+4QpYVKQlHUCTj/bDGHBjaiTLWbvgxvKpWxJWnxkOAKmZ23wpspb+h12qCqXqTOj38AI14C
u26ACWpULqYCFcu2ZtFlWoNHAc/f2KV2WMeBJnyN/EgPrTLTwpNpAtAMHo5VF3AcV7TLZQeORDSw
dm2ILvqhMHiZhaaZgIvX85hf6BSPXYxzy8yaz77PbsD5ZyuVk3oxC1wt0qAvqyRT6dzELqPpYRup
ABxTo6O1KLrhKig8EbDtpSSKdYfVoqlaiEBUveRR46BlE+xC03a4qiJhNnM0qVg2U7Ga53ZedgrB
rznXq4gY9G7IRgEqTq1jwVaHO+IHjtRq+QmO4mbHWW1PVd/694GS3ZFtxElUlD6BzSt9azuC/pCD
j5q4g9il3RZ1Pen3Pqo6tLFFJNttUOOZdGvwWnIFWf+uHpY5DoA5ZRC4pWdpKwdgs72DMCTUTnxI
awNOPc3zoZrAfU9IpnGIm5ke8jx3c5gQwwIUZz5AQ5ZkIeroB6Es7Lqky6coEVrQbMWHNLRHNWrg
74UDyrVAoW0FaA+RzTLsgIOqRgHbKgcPRCTqGexNuq7MtEV4Hi8mMuBL4KImsfUAtFwGwM8eRfzf
CZ4hPt8PnaHJQhAIoHcHwMju+qPQuVOp0VWr83XqpGkW1jk6vp/Z3Pk/2DTP9YpZCWzElaEpongo
YPN9XgAMjTb7EggKRTC8OwcDUkDPwGMJBhVhN5M2W4ejFFmclj7Ti07ilJziwKsMyGZaHWqqVXbU
VulcLqvIp6dZ2eJLgTp8ylwBrPJ5qb6zLFA5oCEC2h5BB/NO6EfLUtIudSpn2boMgPrVI+z+y1E7
4KQ9BMdJqwkwn87OQI6CPqugtPY1DfMdUDCkRvbXZFe42P0LFBwztDf9xIuu7GdYk8lAKJTjeqpg
x6mFzQEQNYUBsOhB0MuCp8EG7+h3yQzLj3pWV+SMRVNfzDEq2kyt210EXdVZmX/2aQgxTEnB0f6N
wN+CGHKOQw4VT4Q4tDo+FbiXmQ5oIMy6THvbxHIaO5+oqKiANMF5mzopK1suo9HX15YV00XdQq6i
VhDLazc2F7asISP77BLucj5Pc0IRcCAGHUKMQ7vKndo9QjAI62DugDesmzwA2hgF0XjRQkrqykOK
x8ci2IW/AyH+hmFON1UP8UU5uMYcYujp1Yn31S4Gg5V9XjD6PcHuDjZHAkPP5x32jwTjPaoa29Rq
XUUZMNTMQezVxXIYGj4CK6K+fFspI9hmckBbFyN1vtj2jPQXHeulj1U/yCuEJoiW2R0vxi2EsYGG
ICpjM9B3nXng3KnbcfhdrqeUCCw7sClkSwrejN3JBBm8m/ugVNthvOjmXRagnKrxQqU6y+M+n8fz
HY+71mUBujV7URRxyCuIgJ5fjt3x/H2c4OgpizDkDVgE7114qjkKB7Weeh4cUhWCDyRuLtVWdLtQ
pxxBenD88ngiog/elmSG5MloFYg16W5+O8oIViujGKKTcA5MkhsG/wuLBT9HDpnG5V16iJJqB3aT
Q5amG7pMr10GGbBE86rPlllfN+t5sjB7SApI3kTF1IOGQEBwc/ewD7nfB8O+T11+chXsg7C57/36
n0tn4Z+7dyt8/c5dmvev36DN8/7VGs9+Czrndwc8/f6XdtJ8HQtmf5Bul/198ss3qegfJJvv39Tx
g4v/Z5loDgXYR2rxTSL6yyHFxyno+3seMtAYkQMEyeW7Y7CYQpb3awYaI+gEhJ6lKITzXZJAb9PX
DDTD0CNIoFUeDvOBD40I5I2/ZKAjOJgJ7fICDq+EcDwFyX+Sgb7zx4+cDRJc3LVUcQHTQXZtT4mR
VRVKgzk4Em1aA8WAkpeYuj+aXrKy2UJGkus6LqSANMQhmFWkw2MqjR2WmZUs5G0cuolV2ZbJFJKY
J2VAKIqAeLQqQ3kVC9Nof9gVeTumh4XQodbHYTb0tYpn+GvardN6hrneobAf6jmLs852ozrGvQ0n
4OSD4EGsRDAkQR+J0m7h3AcwjYIORk9xnaY9+kDKJm0TF7VNNb3N6xn6yJaCZQN/I9TYKXmmdbsc
WskgsWQFCWwSdsDdY9M1czDFfArSAoiQq8UDRfn/VvM39Rss4ZDpc2Zz7DrtH7/9ZlcNebjrwXCE
OIBdBg7XgfEwDpUb2JgfSjfQ+oyAciGwmOjOpODSl9INPUBEECShdYJwCS90+Go4cD4WyrYCut0J
gdcJUIn/ieHQHbl7ZDhQ/IWjtBRKBxzMl4f75A9iiaFzGjebsEw5JPjyAF8gVc8notfVytW5ANuo
OProA55eQhag2Uy2TLdBo9Otb0ifcMPxsYO4/7Bgc5+QHhsbC1EEl6KyfsFVFeqlQ61MsMrHM1wG
3W3eEHw8qsxcMainLCsrNIQ5Nj1xiKlxURLeLyDV0iQ4Q81w2NpgXrvaRm+7shuhi/s5orJH9WAF
GIsgiQLLAGtKd7W1x0wzn0QDYUdVbcYGj+dR6uVhNnUyIW27ey6Q+/n59mpld/PBmwIoA4cowPHt
uSrIcqIxK4pqMwQNjcfMfMzmoU90Cmvw/Ex7O/tuJngxAYZTEyIEX7vbAh4/2Qyh9OxVZDZDWvsF
yfMJeGEYHAqa6rc9BFCHk8rTi+cn/c7jQXkBjkJFoEyQ4N5df8SuckT8ACk7s+kiNRVx0DV57BHh
4aIbw2aK//lsIcMRcBfBoPV5bzEzKeB1WDY3G4yGsDgpIb+9GqMGD2edkZfPz4V3pP+prcCDgbXC
8XMkgSztTQZ5faNsgfSmVqOBzIlKvVnUtXWQe8JzrCY1nnVNh48HyPavZ8Pbaql95P/xM4cINjw4
GQgnYuBYzB6sBns+2Y7mm7qDEtVi9JNfRFmaXsqocuhvJvtWh6A+jEN4TxDUkhnUI57C2dTS0LaJ
8k2F5/mNE41ftAFYcKWqQm0mr0PIMZWyEH8z77dqFCLIgwNvgFYkHqG9oLTI8kFnUZVvyqHuKygp
yUuo/QxDXOou/2dzMQlvOIJDe9BSD/BixPbmYjoYcK+khjJQnS0g28eLuELNdJRB3evd80q052/v
5to1dDB4iQFi3wQfuW2joAlAh+ZpHvDCpdxujaY9Xjw/DzTWPdbV+3lotOvkulNX8hS3LjK+idyo
NylQknwxDjk8FJtKEqc9Dd8qrW0bj03rdDzv6m5LZDN18rwMe7qzk2F3toeBfXISoX3d6Sdc6Dps
QYbeZ4sK9zVEW3OQnaR0sluXiXDhIzr9jT//NnaHTRZcUBRB/gD2ULEHZ59FvZtTrjdKpPR9k0d2
CzHqdFrlpTpsaFX6uA3cWELNd8x4kg7d1G+GqBxvcGTq5lPVS7st0jJdZyiwWyjrwo85D948vzrf
kzNEsLfvzq0xiaI90ypCmg4zD4I1NFREH6epY03S1waS2qmJhggyH3nFY6hdc74M3FCcoJ5MJqZl
mm66wrEj2cp0M0Ki61QGkeerqFcuXzgleX/4vKzfai20kMApLYFDYCTQcPtUm5AsW+fNoDdWoqlI
ikyMRVJ63y6fn2fP6kFj4OQDQAb5HgE/9/dGHRBYlMDrDcTk8xupZ0gcQPdEeGQ8C98+P9e+O7+b
jEPAALtjKAU0UT19qEn40LMxB3cOfemLTKT9rqLaJQZMZZWSKkuqcZiOcDfyD4Ets8PRhe3fLCx0
uu4s8dGushODUgTNlNDoTEGcvV3FNFVAwDLSNe+GZtpwQ8CZtnKk1SbrqvlNAO8l+hhCWiDRGqoB
8VSpPIP/LxoB/R4oPPJZn25l103nbS8JJJ1ryNUntWk7nRCoJpwY5dOt0jW5mA1NP/djZ67EZOaT
2TTQJCOhLPaW12OxJVaER32DwOF6O5CLsCuit1CSRmtI3OBjVbKpW6BKB5ATHeY3U5bSLjal6s9s
g9prk07o4wx5jhMfVNMcy7FMP1sRhNW2tLWd47Kv0vXsoSi0yrnqVEw5ZKPjwBUMxWUNvThKpvgT
tCLRdwOlVR2PkM2C4vmYss+mb9mwsO1IoVwicnWSUbBsFoJrwU2vP3YKnLfzWfg5c4EgSWmBNiZl
ikSWDFpm3QpBm8bhwBCQoZKP/kbwjizLvOYfRD004sLhXZ8IWH9WQLZYwvRV1QRvBPHgO5Hv+IeZ
pSE0mMjshO/u9aEDMaAngy1rPfgBskcmuJSOTiewz5gryIIPZ3fLm0ZDuySlQm8qWqti62Zu1CbF
WUS3BKLXkyKTtlvWs8qrJRwyAW/V4emoaWfwUAKPwZ+lg1xe4tCIUWIMntedrmDtplBonzQIqUs2
ava+a5AJoEaNynNaEF4ucgbjDEqrk6itsoWvuf7YIDmUcdo0U3YoZyjOxiyETSHPKH0nSkiOxwGB
tbWU6I8ms2SFG8euc8joQQ409KaJU23nN+EQjG3SFg10BfX1eKYn1qsFZ1j/aaIWXNOMzRWeEDNL
utNDCw0VkFnKIWE/QQVPL+YRA4HB1s2rsjegS9y280k2TNCQk0LoNUFzVQ9VtDBAKJkt8JxO+WpK
cngAH9t8mNPEg4ItkVfVtRoytHajAO0NCzaeN6ka3bpTEDFEoQsuI1XAgqGMTSdZYPJtIcxSzkGx
GBs2nkG2rl61OcfrbJjdsoZUbTIFrnmTtUpvkGjKoyEbWKKt0YuIeHSCaTlvO+gfWcMhhvQya/nS
sa64rqOyOJlgtiRNQ35mZ34IXQ5VUpfpeIh0DoUKAWZXMXuI3NTGQdHRBQrGOSEQ8yU4KpuVHKG/
ijWlKRJYVXIldX+mM+jYybFcKVXT1dApt5VgJLEKuiou7CDj2sJjmUI0CVR0zWLq2y4mnqVxG7IP
Dff0JLP6rIEmvbjv6bjoJwF9S9AkuApr/S5KI7ucfEWOTGgS1BVhUrXlcFhIi5JixipWM4oWsmJz
rKW68Gr6KCtyXXWBX+aBpYspYmVM5p5sAiT+qKFKUMY9rUwyjQJ2ta4if1rKttB/guOe6FMV6WFR
QHmt79MjV/Lsj7Yi81KxadwqY8EBsx1HsmQ6jTSlUCD19Rusjd8GfVgs5jk6Lng9QcKD2Zx7Weyc
SOZva1RU6wm7vIshHZ7W8ZTRfIsdczhOg4wfd6EBgZxhFEEbGZnfhTN0eY2DSTtoVSRQ6oaa+RkQ
JaYWQwT+ouDIvIPETPYOSl3D28lB9TV2voJ6SdXP00nBZ7pMbcRXrGjFTW51sxlNNG5ULS1MCiz6
pMnQhQiH4QIq7dOSzl233O0/IXTrQG9aoqvanvuWzwkHSzMbFjCgAqRwadJMwEUKMcJeWEY+iRDX
4IrKIc5YCjsCzyRfVzmEPh3o38ICzVvJGbHDbuhZlTQVsWcetVfczPUCD7o/ZfUs8iQzTuSLNipY
vgpzYo+CyherMi/Cc2gM8KuId9n7Ns+GI9qNi1anwzYfOtTGRAzyT+gI81CTK4nXSQ9+clPKRm1p
Dbw9JoPw67m3oJg5cAcIEcz/svdlvXXjaNq/SAOSEinp8pN0dp8T27ETOzeC7STauUiktl8/j1xd
PdXd+KbR9wMUUihUzqaFfJ9V3kO79OGuW/oXqSK+J50dX10go982mJslEZKyJ9bx8Ps8rfF6ILzy
0sVNc5Irh3lMwmyg1zW+QQQWDzCbLqmvlE49a8IjEHR8jGfKbKKp639pFkU7PdXL2Vj/GnYBucZ5
P7UpVLA7dJ5KjDAyPLiwjR/a3ORlkvu5D/BflwFoih6iX+WBfbBtfMZJjb/O3K0ZNuHWJtIbg495
JcNDaD2wBkYOWaQMy5CC2eWilnozvfDDFHrtXkR23E1RFTw3y6DuCzv4SZfT+pTXhl1xBKvM78bU
wBN5GDnHhR3LK2QpkuZdzO4L0/IjN6F/FxfFkPR65V9zbmjWRZM6tGTV+xbSwJuz+ElYaEw6DlPl
p5FFa1vS5Dw6lKNkLfRNOkAszWGWIbN/cyRSX2CGxdgf+0rA3+bVcrc0ngqSqh7bQ9vI8JU3AiSO
MsVl9niksjwP2tPixcsvCzh+Z/3JPdjAmyM4XWGhSr1GYk+H97BPpRr5DYhdH5ouDAEAqDq3dLG4
u6y+TnXX3mvB7ZdomOejb4YyTqs4Onbz2p+mSHrJSPPooqD7XWsno0NQjN17I00odo2Ozfeg4GYv
RN38jnlX5akOtTp5ToJLqtv+WzjoHx3eetcbFbRpzFfWpkO+jm9EB/WERWDwToV2mGXhZ7apKSXP
gnp1F9jJqpSoeoczXu2ajn1MXqyzyukc+kvsDzsJR9Q1jJ16D6kczxDyvSyKsQea0l8PC1/yLIga
e0/JOLzXfYM127TYNbAI9E1hIY6EpuHPljgZDh9oVI6ChARyLn+X3mKgbA4t/E+BlYBJ1vsNS6C8
zlyzWzVx9+wV+fge9FX0Wri4l4mUsddmM1kjjm1v6doQqors5NETwXJmrI6LXSfG74ul1Y00ncm8
aGwpvIy1SqqpoSmmqOK2sCXMbGvAajCTn7iCERnfys7HQNbkGkxVm7XNhD1DweoAF6RzQmC6VOVm
YDDzkeaTPdO+0y6zAVNYzpa1+Aq5ny3pzJk78XjGNkLBDuG6bGFHK4YVXoY2Jvu4UThv2BQOPtH2
rNfKfWhgIyCMss2k1+Eo9FH1I2fbpQxGiVzLUDOZhKyfj4L48PBw5r95THu/mXDTXR4txROXa51S
hbedgzl+prKCv8nx/keugwrjJIlTM1TPGIzznc0FSeBgfBT+t6JYJfwkWF7zNsdF1X0jXMKFHnmP
4TjDYBPKFZ6uaB+snkh6aZc0aEiXgKQH3RmWZUJlXyQRMHYi/c3cNVfvTctKCZMVjBqutApbZXFk
s8f2Tky/7OrHB2D5IDUwJuwbGoVp0wn4fjqe0mqkCayE+6iIC7hbmJeFOS5nUs/0svDu4Fb6tmq8
calcdGCLaZKuW9pDYKv5qxGsTJmLimstx9+eht/KrJ2E1WFk5wrE7m4Am3WuILnC8AV6gM3jgvu5
dwddWvLeWBonwPjYdTAInQOngt0QVzA3Tna4I3au7xo6HxoBK5SPgSsFqBaZneYvkyA0KYNZHDnE
1pTAcAhoorPWwd/HMArez3QgiW1huoos6oB6T+20p9YDFbDsdSb+0S9et+8XLeA7AHewFuRUT8OD
8723SgR7lZcL5pT4Jrvh3HnmderWL67Jz1aJZ93nVyy5IIzayl5Ev/6GffcbdKHHkMmDxjSdyrp9
i0k1HVY4meC2jt8pJ0O69oXLYo/yZyRe+x1R7H2OKQYrr8AiX7JTK3qbQYff13DxzWUIa18hProx
1gnrwGon3AMiKCbnvq/++jGP1UnAHLY3YVtN6RIvxXeih2JN+j5qzkGv4VxdlqRSlX+g62401cs8
zsMRUQ6Yep9JNLonExl4VYbqKzxzJexScZP2ZnQvHuuj3TyN9jgCw9w5B6dYP9fbbb6QM/er8AUO
dnmoOiOibCin/lQZAXp0qjc4EcblfFATxQhd9U2QrFSsd3bkXr8vu/kRoZT4JxHQls6ebkHoQEND
fOHARjb5Fxt1w1Anphzn+5b12/sx09RvC0hnGCtrmttT0Vlc0eHU6D4BqxnUNiF1S+G+LeCobjAP
HUPfhd7NOguz0uCpGh4yyMqJGCZAziau0t6x/DUqmhz+CYEbEJ8KiQGGVwARFgFIZSxSgEUFLnuX
KSwv4Jk2TWNRLn918Lvtcs8AYyjGL3W1zjeDPe5bZPLl6gUcKLkKvZ1djCC32uPVuLPxAtjhQixL
01D7qaQbOqHVPP6qVzZ9qcVC7wht1j0t+uZcNlP+WnTI8WRFENJHOnC7gzEbSKRYR/Ku1CT41Zbj
Bnljq5a05Hr4buSI0aH1BDlo6vcnzPZ4a09Ib1cqAPSML8W6h9kD+GoS9odo4byreox/SVDqe96v
aUNHeZK6qNMVW/6JNQM20sHPzxDzQQoMAPkRjHSXT6Xm8/NGHXi7RYn+lAsfmk3TjgcSBt3L51+J
o449EgHYr2BPPUC7XY/Mb/Tb0FlgsLlnYAkif/oyrRh7PIBNaD2rFF/jBgez6kuOtI41+0+iWLcz
ZJRZRZlrwBu3XaVJUlVlfPBifMWunJozHNvyIDo+fFeVxQ+oarwj1pH1YQDxcs+rlr50juCsy4bg
O09zf+q5nO+bGfPu6pXkuDZuvc56WWw6E/yuoAMXrjlgnxlLrVK+1OaAUQ3Y3rk27LOxyacmqVaw
IiAvsRhsKaKc9HGmgpGbU5OTrsP1T1bvLlaFfgP5Vx1IU4NRjNZL3PcDS2gbW1AyBkb3RBar2ttm
mgIYVy25IS7DL6peoZCtHORVvjbnz+vOq+S6H2ucAX+17be2b9cHOBgEYNK8mWRcqfPfngS7lniA
WQ+t245J66CyUfwnztV8U+GIwwaSMkVmYr0ySeVBbVQcklTrNVzy6cvaTlGmFAy+IsAVYIPNYB6P
2xu2tfhaICSxi0v4bXSrwOeHOspmeJxfOoKXNDLoT6Hc/q+yOFpUzLhgqR8u1xFvtFtgxeWZmTzy
UlIe1Fljm/gAqyF9LD2M1zQEz5p9Ek/UY/nvlQYglWpcTf6KN61nT72BSpR+hu18fLZspncxnfLz
iJzWW14SZEfyEreOV+IWhkwObXKy+TnXVL01EO9PMYIOfrIMY0vGpG9z+ghwgF8oYX92SV4UDSbg
fJKHWFbsDril/27j7fB2pG3OTuEwjYNij1Nja0xa+OJsaMqfMJPpNxNV+GiYp8Zza5f8ZEG5domL
vOFtXWA0JGDkrMHr4r5qLlh83x0fxrSkFaCH1R+SRHEaQ8w7DGOfn4nF2bE2x80+QyvN3RKDsZDx
wfaj3RVKwI0MCvyquzF/7ScOu/AqVnppC0a/SF/kZ976+OYWyIdnEsvhAaVNID8gi0YZ366CSYOa
45qDUuBBMKZNZIEJp9jhKglX8r4ZGN4gRXoqhRaLe1r1PM8U0OneEayPcYAjVYjCe1oBCH6HucYP
ju12DfZkwZXHdX6uCgbPWuQv69ELXZSh4AawLxLl+CsSwMkpAMb8Mqhq/jGPEVSoAQN5DypVF7sS
YwV2Rl2bOzqMEpEk654qMkU/9Rjkv+E/i88jh402KSbsTEE1mf3Cw6VIYokrYIxN/loLzmUy9H6f
w9IMgjtDjEctf9DP/2d0+LdGB/6/5lT/X9+8yeF/HmTxh81he82fLgc8wCCAioaWB2jpEcSMv7oc
BBVQYxjsBVv5M7SFP10OCKjiJZtYQ+BBAEv2d5cDAqqQHfG3kXwOYcsBK/6nAer+D/L8fwuoYgj+
R5IdEXj848NqAS2T45v+kyZkQH4HmrngBOIHeSrujTcM7uNhxVZzbgvDjwj41Uuqpmn5CXtieAcK
0WCIp3R6VMqRxA3ae2vDllwbHsS3Veb+k6hrkB1CC5kVQxDeynYcHpd6rJ66gbeHxmHy6wpBfyid
RzvoCvU5YgKTxmDex6FGXBbxrgqIG7taMoDs/yC68WAFKARLcwQZvyLw0pxj2cpLHvrtASEGpLoA
DRVnFUzueZd5dVeeKWA/QpQdQqqITWJlBcl17oyDZzVvwW3qqD0gDgcfH8QCjLpiZg+zh8k5rBoQ
mUtFrou/eGMyKh8OasSdDlSx4oXGVQwTcHNPZ+GuOaNPK1kUtoQczJoJYi8hRvu//QXG8qnbbNeY
R1gKe6W9jxcaABsitegHfAZ50VbuwFuif04TPsTv/SYxFeye0qnmGWEVAbofFtqD7ub6GA/WZlMw
IckZLjS1lLnvKqryL9aV0wNky/UjRqLrRfbOfwA3thx9mPlvAqzUA/RBYHjGqr3JubuQWZj3bqOw
RlmEez1i4glpg5+BBGESNLI9jnJiiWkC9xOTSVL1HORSrC9MFidknuadq1qSNIiNZQPPr12ju5MX
eae2CSEcGbV+D8beHIwZIT7EANZDbauLFcF0wDMl8hPryu6eruHK9rFXY15chnwbAWp30cFSfyuW
Kn4NDejXuhIaO52YvmoYyZ7iPKiuIF3JdRrIjDxt71ffcxsMd7Uj7ddABfrQwVweJ5NRBAbuFtmU
pvX9h3UJq2sBP+p+CcMWqFlH4aOsIMIm0poID/jyxzsxVeQ+7nGtqMKKPK3XoP1w86xvuRDtER5i
/wLVoD10WlSvLgqrF6NLepOF5g9d1K7HuVzmG/FG/8Imro69U8UXG6jhqQakhVMUPpDOcyct8wmZ
YMmjG4M/+lVC9r+aImggubf6WMM22iFYOrT7KSj5l1ZPF1ZOAS5HOEM9YpFVKOxb6SKyJMvc0B3T
efhm/OkXQo/dqUBoJemWjp+UyYN9GGGgWULJvvlB8wENH8jEKwL2GkbySY3++g3e4uWwEkkeVCkw
fc3I3565N2yBCD8iCDpQTtPJE+ZtyPv6Piwa0yaomoo/sLWXBzniRcVatc9RRRBG8T3gxLHpLnWB
kwjpCojPtSKLgrYDYhvsO6yVY5/YBslJJU8FEu9nNZmDlJHAjh8CkVdt3TwgV94+8rw9igV8ioDZ
/hQ0MJgM2iHChMXy1SoYFULeIUBc+SbDPASGVCJNogcS/Fpno1K/qct03dw3tebNSwht4TmU2nsA
EaxSnNCQJEg9sMwIqu+9ft5PrTAX048gheN4z23dHfJhIlfUwLQH0z6McCi+ePmkskb49KEmhX9E
fh5guZ3IeJNk7D98u+CbBCSbyBweEN+fdyCaHLBM6EcvNlyMhqtibZHnDheFqPBSfFkH1RwgIq0V
EDAP036cRZzCJ6mSIl92GGiHIVmVw8QRx+NzsS5BnSDMCBahLwyWuaFqk1j35FJoo6+I35Edpd5L
jUBplIDI8XdgmMIEKwBJQZeJFHnW7000kVNLBgJbGtAmqxv13iLKfkHkIH7gXSROw4BIFwgHzz5U
FhJRGMqUSz28iTqcEUfl0T0ZRGdT3fnktk08mDi7tQUebcWuQ6j9W4xd47YGZfm9j4LqDsHbH/Fq
xRE74pou9TDehiKocClN9d1QC5laUKt3HVwA97bOzbUmk/nm5VV7G5pO7xQQ854CjmQrct47Phj/
ezN17CjAHu2QoVL7cq7ZrzUs3HXisX4LkHfE5uLW4KWEaIVJm45ILlcNEjigBcEblahbWAqYUmle
3lNaYRGHGzYZkXj7ShwOvSz5mgFY6d0ws+iCMnPYfeZWlV/8sJ5woSFNFQNCQyklDuRn4buDrGaL
nNqqn1uXHyqq612z5Ot9M4IUgcufgB+3BNSc82SQ8GLeC6PGGx0Ldo5p0fyYDGuyiQmIVBTbbYVb
/DJAjz+GNJrBGZg+fm2EqLJOTuSlzfv8iJUJaqpl2YLyjPvV1d6HRlHfWdvI23dFOHyhlWxPPPBy
QKJigBYxRc/FFOV7Sgz5Wo4Vwcchy5Euiyf2fhn2t34x73JYlw+yOiz/cMSviK/OAYwAyDUjdhn5
UNe8C8hBNkIX6JGHRHfExDvk76QjwBtNRR5gq+ix99d18eQgs5mkdqZdUgki4MGA4D8q5L+rZNYh
HP7r0EOZDfPI/I573ZzGtkRKfJ68u4pBnIN1+H4cZXO03L3yHilPrLUwIUducqDqxCuvyjeSu9+Q
el4jNT9Kunapt04gu3zTnXoZLuDEqydmCn3WZRg+jbph35p6kh9+LObvfY4XjojL41JHSB7kBmoK
KuLO2gxmtAdoWmYViFByVGUkiC0QvquYssFOqKq8m+EPzyDauOjeWLOIl0Hkv121+NGxRXI7fvWW
kum9N8IpmitycAumHmToNMJq2njqVWMBxewVjxmd82ZvmqXozpGHBNQw1SzDkNdcaLHIM56yAIVi
4eYHCfOivs/nsr2EJTJiT65cy/zQrk2LMOw8QM6F9mF5/RNG6sF75iaf+Y6WI9RJ5VWNOkET98Ez
k+XQx0ruRzF8H8JiSnq4MzOy4EzaIvgOtnY6CnCmiL1bd8PfnPfxFkJ2iKlXfXDn4CdGN4SneNIU
2GW8cPSOmEWe5Vq2uxKupTN2EO8reiiKO6QjaIoM4nIby8LcepzN82qnBGrz9BY08XLutyDnEHju
QOWM7Kbbxi0fKboEVpL+UlUgKvZNKJZsVLk9Rq0fpA3w62FAMCdd8gDxUzDStfGK0xoU9uTyPD/3
qMQ4W1LcCdqCRA6pvitzYbOlCM0P5wskI2e+HCozVvvaIsjiFQg/91WrdlMe6DlRZYONLNdDynGa
j45oBhKXdQdOcvIbzRYYo3WjqxmUA3JnP+F3F9H34Q+5w/0hfuQmwMQB9uRTGPn09fwfiPs3IA4m
IgYA9Xfr87+EPP7+cJW/pjz+9qo/cRxa8DlyZFuR0IbG/nSqk//yKVIaW7sPNmv8+VcMhxgV6APY
tgKgrM0+/WfEI/gvnGBAQgA4eJxiGPH+AwwH6/I/YrhtjN2CJAHabrYnsf2z1zdcet8rJy5P3tgM
VB+wXBf1CGp3wvBuO5jXks2ION2Bs1nSbjBLRreELopwwqPpgirJeT50OyxR9DZsqd55y/eKLelb
FGLg6dT7O+C1+aWbkafOFp/7b/GWE2ZbYtjFfIJSiBRxmIc/ndT2NPqouuCoQcrEljqmW/4Y2VqH
UhNCkjCG+pOsMaR0XhqIZjJCfLle1EuAKgf0Dg3dyc2geEkFLmYIw4zYkaQjQOUXuqWi5VK1T6z0
EZUehwCxaTykR4F1cwYMvLeewYAhYF2g+ek9j7bY9fwZwe76oriqfrHPCKxEd3O9kkd4y1gm2/Bh
dDS+khqjY9QVxQ94w7aZd/Mrh27MYNiE9aYm/QE1J/I4VVhStqS40irE7sHkXngQ61c3gp4K43Mh
m4yrubn3otzDvsWahGJr3bXFoBK3pdN74svdZAKSkjUI7mJo3icH6e+IuA49B03pndtB6l3DzJqW
Xr1mQ03UFbInYvEm8hCRnyb3RCuN9DZiDHdF3vFDoGm3ZwbEE1mH9UGPbLiGlZcjscyexIw0/tI4
scOeAWk/bIaHtcnxRqhR2Aun5szTyPQHW7rfIeaPKpwfpEPCh2q/PjpMIgcUyeTfxqhS+7rOxc+o
Qibt6lA1dS141yTtZ7HAPKNjIOraMavADB+Rf+73ENyqbEEsagfbIXSIrakAzQTxOxxE0+9iWuI9
gAcqJ0yOQCbum+AhWKahvVtq/Vw6Wj9jyFnePIGtLpErJ1fY48ZL5KG6R3UEJxneG73TRQSJhKFj
odzaFvKtd8HfGhhaVDGg0gilDBChzDECuH6YlfHOkfTHL6zr40tgKjEnGli7TyvqdeHRedij9/2w
5XhjF6AOYt2aIQTo4PqzLGKde39fbg0SDB7pMjFbrwS6MepUgpiE4SNwRKYtc13mTzAAYddBV81A
Oww2bO3uPY8fkUJtktJJc+0Fe1OtCfM7gz6S8qJp+11UffiI3qlD7kXUOw2VC3J2aK2PuohkhF8t
/lgDdNTsAAzWLyv0sfvBsaj7iKWfr3eBBCMRWffM9ezf95Ere7cDPn8K8qHexXDl75A4jM+TChno
TTj3l0yXQj/q2YORDHL1WBwxMzb9M2unoJkzThppy0yKUIVnOfBo8LIONhmC2VfguHejXveb30P0
O1Xk5HUtzWRTgp6Om1nCLvwOlMAMKsT4Qh/kHLv8J+Z6bJvVGidY4ZKSwuOzI059xZXLGzQzdQ52
zD6gTTqPiIUnSJ/U76GXL94xkiNRmzA/eYmKHHw+o4OfIMHcgzaoCTm2b92i+VtD8SyoRJGFFicK
BRd4f4uuSxsGP5fAt82B5fOIYXoxcAeOXgXXlKV5Hu8kb/CRa1v0KMPZkp8+ZA20ng0tAqlkQm0S
1j58om1yRNBYPMC71xXwsyVjFUv1JYwWpgQ8OzBC2AsaTziBCIH2pCKcQ9RRlVJ8mUcx7/lWFUVI
CyYKUo4tUwHXxRM0C3bpMXj2SaN64LW1i6dDjYDxVcYBVJkqxn0/g7vmTRvYlDkfDh7KgMbDMTqo
sm/u4Q+4W4uYhklPuULCiJeXXOtwryYblEm7PVkQLlSMmhmSRDSxtWDnCIUf3JOQAiKLohB4Mqtd
j2oMbw+fFfkatkAwMPytsEpMyH0LT8ob3KvqMRpDcbPCjK+8RqldgoDRBZOun8BFTjO0fBWg+TfQ
sH4CiG7DEgagAnvUxlQFYj9tiKP6BB9swyHFSvP9TOromW8oJdjwCtmQS7thGLWhmdaDrjtKkn+s
G9ZZcpoNoShOWDrzI0o1yEsTUgipXRy9jtQAMNkNO8FSNl9CUFBXNA0CGpu5yfS01D9K5tMz3xBY
AChmN0w2f8Iz65cU9q0NtdUbfhNxXe82AWJopX5eQ2VPixgxnPZyPXAEHYFs6DSl6+CN6bRhRPC+
gIv9hhzRJaTRQeXzTPfILE4bwpw3rMk21Fkw4E+Y66Z03DBpsKFTgR+whx8NkJWCFMLSCBzrf0La
cUO3Y8TslYYr/TU6psBZAAU3NKdHsSFjb8bnsQ0t6w0315XWOxC+7a3ZULXb8DXwXH+/Nb7fRTDy
gC+RsDKUM8oG/HK8wXSOGhbWimML4G42BL9sWB5mNHLLcxrjTQaBSWAD/W7D/2pjAoa5BClQbfwA
35iCmIn+LQJ5YAbRZP682of+k1oINpahi4f4odmYB7pxEBMKExMNmwwAsyKnkhTf842zoChBxPAQ
honnLWA0PskNApoD/mqyC/pCXxFIJRf/kw7B7m8yCGQ6C2gJumSm9tljaFXK3FAA0weonIo3hmX4
JFsMcjgpahIX6GcFgxUK2dJQoLpA0ALkCmQaAF3c1NCrkFap+BubI8wU6Fxbk5DUWAn6Hg5R3FVo
Fwm/+uiEKbDlwWhalE+DWHT1R27i/+b7P+b7DwWXWr88/iqq/2ni/qwE3XJJ///p/p8emPLrs+f0
76/723wvkLoOfR8z/jaYb5HsP2d8NEZsRbMx5EkfConYpuu/yTR4NBaMriF0SAz+G8T423xP8Wxd
n+EGQbYwxIMR0CzwH8z3/j+O99sn0i3wiiRsuPVu/EsOgta9RM0k/xXBN4IuBaYD1IhhPx2r9RtH
fWDzFqCZZ9hLswxLkEE45vAbeSqHxin7ACV7is1NeI5LDhtIE3vSHKe4a4dryzuNiLRqZq7fOVTf
WWUeGG44Owok7OivECOXe2xLgPK3KILg+eF3vhE3bAXQN5KOboVsaaB5330pYRicgBha3jfolgTd
00HzXsxW/4DmuOXC0DFX//aGEZby/yjRiXYG5IWwaKJNDqk4HK5/krFCzFOuRJ/WL1CxCC4cLaqD
gmMbjEMfIlhRWPiL1krjEectyVGPt//LFfU3Xe2vRa//VBWDz98eJYmGGGxiOFP4Mv8YmVlrPxqg
AlY/a9psjXBWASIBP8TMM/UeYZICzqi+BFtSJl7grVreT4G/DHC1B6uY/DMKjOTQJEoh3EtviMag
Ee/fHCMKMPqXQE2IExZvNRYM1UO4nv4lYieJLfN61vEHqRkXPwK/R3UFEw3H5t37XcGO4wSKq4Ml
LehZmIQwEyPg0aJKbEitL+fwuZ6I877+u4P3eXr+EvVBmU0UAsT6DEGfIIrEP0V9CDFSgakcDv3K
SDkAiaIFjWUOmSinfg+rRFI8RYQFpqMYNuG1pALW/cLS7oILGbclHFaNRgLmjgUzfJn3Xc6LQh0X
MxmubvlcwYu3pDmbB/Y6IJlqih36aANpdl2LjhFMpwhqDx3yqhz9eXc+ul59AaUuBPmzb0Q0ev6X
XHYYGxBIKccYt5EbRQULIKlx+o6g/kL07rRIpvUya1vsxD1KU/GycksghPjXZipnJhELmKkfDJZw
d2o+j+ZUdqzmoItnuPp204gGA++Ipt2ovUnmcLgp7jgX3nzUN+INPLRg+SSB5ZvgvBGYHCASNIPt
kLSVQw9rRyZ02MLij/i6j68hjBX4fDLPON1xXeBP3KoTju8K81yf70Mz+uYENaQRbKcjhY/smrn2
xzOZGFpX0hZ61YBGz9m0dfvsK1R4ob12QeWCPtWCIKZ1htcD5p8U0kuzYlSflgFAukRNVjw+TvUc
orMyqUsbwbTvQQubYAs1KNPn7D42MYoaUfwGId088SUeV4UqzaXDgcxpQ5i4KVTdKfEElxQ4akgO
qI5E2KM3lNZpR6Oh/72EqJCMzlzME/tB+bzY6BZ0U64fJMrrGrarJQqxUP5LiEA0BzXRkUHESS04
t9kEJIYANtQgrWA5x+XOsbEHMAzdwdVnB/gR23qqztKLo95L56okwyEgrZ3eBemaBVVuQa4l+jND
2cHFj8Y5z0Ehhz++x7Deb2fNSB0X4i7q0IdY72XZwpGTQoSlOPNdEOQ4QYu0Ef71x6XRVtiLfsgQ
3VYE5GsNn3WCAJpAZqIfUAOKr8GaBlXLjTfGT5jYVPRVb5bnPfqgC56URTF95cuWQl6qCXJDMPrH
CizpqUPD4NFhjn8MATfTOeYl1G7bktRArH3KcVEf4SIHNYy7r4RRW7cvBalUBq/nVt2K2PMB6eQw
nZjkl0iTH6rB7SgnLTbdVCPnVJY4uwRWSUx6GJJV5b6gmtKSHa5cu4P/0kcNNVSij1K7r4wG+tIH
XnHpRpi1tuhh6gYUXI3KxVkZT9EDGByTAoNVP6vB5Kj+RHnTEkiZ8Tw252hl3X5BLLVPpOYB3jpa
ZBrUMtxPeMtTBGr9vZ+VgwW4zH+auIEDYaYIdy1xzdEqR9RXDfcGSmULROBAD6jieZrX6K31JAcH
5LonQLBqR5gl54DEZQV63PPvAsvXfW8HPDoQ7YYPBA5Jm5TWj3/SrkBLJShk+jiyuqz2eoF3kcIr
+DiMgT1tS0GGulp39v+buTPbrRvJ1vSrHPQ9CySDwQHovtmj5tFS2rohLEvFmQwGZz59fyE5u1JK
HLsTfdOFRAmWtkQyGMNa6x9WZ4R+ssLKMQ6iOA2/ZshsllPOuuFH53q5s28G1WM3meGuhWhIhq9h
LwP4DbGlz6pINhD0nT6/nUdRbKWsmnPZ9U6L82vafLfzTlFR9+zzznfMDI0lqSyigels1sN8aQfF
eBpWDcZ2hUhh8bL7vZCskIqsOO2lm55Y49uk2um1tawZQqiz0qc0b1xKBYqQYsVIYbOkJYQKy2n0
sFPrVMxn/pBAErEdlV0tTsBGXKl5O06iFGd4I5TqDPc/fXDV4J7Lspo3uZCPcgJRohR/5Tksn7Eb
+l0VYIm8SeZqDOB8NmLvBX19pVJPf8MSajxgqjD06D+GosAxF2/CBLK/NQjv+zi0DVXBEgrgPAFH
oaq5nZ26uEWc1SPU7fvkoU2X9queVQXFYR7mbewg+N7k3J/YOKEfFyy8OV233hxON5EL556izph/
xwAXb97Erh7pJG+0kKNzGzWYpCpob1tY+PGZl9X48Ib+fJGviDA3CgEcF417xF4W9sDJAM4A8yzb
lE4RfdcWzbN2YavafCPzrr1B5lwc2OjREiD2DU56pyERbKp2j48xlZimpsyLmesxV6P/XYv4YcrX
/GFFTBoeW7gT6Biq5HVhQI5pH6CoaqS93PcwFOON9lrUu0guoKSO46kfFerYBpF0KEh00QO6pOhZ
zEp8yXXcPINIra8DE3w3Bo176cW5gPLpA5LPbX8Pomtt5FSPF/gvF08rVJCjKClbbGvy0qsUkSNn
2cyOZOdZaHFqF/4JBgAoU7o6PxZy0A8dRsXc/+ieOXYtDrkvOmzr4/YmqlN94ixldF9Vej1Purzd
zwFb7iavq+yq9uz+TA/edFNDRvii8Wn4QcGWzcFtF9L2pWLxwIW4dkQ/nM86mE6zCdeyDXKA+oio
z9ulaPFwIWLPO10tHV/EcapvVzdMH0L27W+owfovHPgJRVkdXK6O1d9w1GeHMorlRYavJa7dVVTu
wnWp0YWQ8h/AxpubogjTm2RuFI6bqrQPesrbb6ofPOpScl0vdOQN5+jGik1iVc0XQDEyxTSpMD0O
ivDEaWbsc9XqXYdjIo4p5PUXK3ZDbV8s0luzCKRtxkxhFwxYxIQXhRQjnGwbvTZCrDJS8cVkqeQm
GpzyykL29lj2+ju/k2y6PnMeKYIMu3wI8qsZ83sfIxsnO4saZIiDFQ/TtkzhOOB9Njxk7ji2x9Q1
GFqUOsE5lu06PEQ2XE2IyqGCMNmhexwhLaP2Watgk699BOtExPVVA3MELYbVojTb+fbU64s2Gqfy
4OApAzHLa6trMXvWLU4Zmdr6s06bfQpv4S5PsrHaa9yl0/MKKDKDU10Dvy2UGKxjMHbdegfqq4f0
aEIPewf3tSmbglFrpqQ4K2To63LrBEQuW1kN8XhZlFQmtmJwki9TsELdbezSv6j7iUrR5BAiQkyS
fv8IVLyGmn1Eq176BE5JjbjoZOz94Ey6s13nX1axxC7ihLm1o+HMZbOzcZ9PxwVOyFJjrjx2criP
cPKjtu4mZaQ32ooTRKtoF+f7TEDkxxjcK2+bxbHW4+RD0gJzbF37YgIJoPMDhb7gkhLbOu2apV3x
uVyzs9yFWo0PbHHWW8vc5dcloHy0UmiskK9VoMBuVYyIn5Urq+u+93ApQlFDtwMXmLRrWA/h2rXb
wVlAzbHLL1NKOyqnrlkrdLZrj2pvI6plvfeDIS9O6syTeBRPcros8FPwYSln6NISZG4gO3Ya4OSa
a+e0SADlN2qAnYqEZV6++L3bX1lom4JtlceYHQcYLGtIBIn/6ChLv4ymBEZjhcU9Nk2MpVcypi5m
2YRwKYzcvrOGDrEEfTHucAiG271tB2ox5ZadFJcKXp4FkvqDTagN/X2qSlReSevMEdo0lAHpXkGw
l/LSwVhseMghCMQnOeWq78k4Pq1rmjwkqXpKIiXzDWlCdT9NQb6Pw1gfbQ4Pm03C1/d4iKzn5eKW
VxDMhsOY6mgLoWaln4AvIGxUlazuUSP7O62xRRsQNLK/jn31A29QJAoNDLM2QaynCs6VrQPojoUt
h413E2Fdfx9IrfUuG0OUli4uqslmxnD5xWlUcasQUIZ70K/kosP1+35ouz7Zg4uN8alfQ97YWBWm
4hXCEBjjbXkoYPXdowZw9lGfNueoHK1Ll2rruav8cdskHWpl5JLNznVjemcNwXBcZxflmB1wCO/s
aGy7vXL8BmJNOPWnShtuGnSnedviO7P1/A4KeORU1GYbuoIMp53PwyGasJx7GohkL7HbldgZWyku
VSzKabMuhUax73L4AxSVuywnvuAW4jtOnewwBJG/BTBMH4H2nCfg+fkAiy06NnZUHQIV5DcWmNt2
rPz0q11XD/TQMFVRrz4Ebpx/aya3bzYSves3Ycf6bHBFDNcKnU+4zcrBgzHo8tAA9QcPjcoWsFZc
4+o9nI2Tk/0oUhE8FXHifC0cMV2MDtx7qdrmVCzJ8tgYxwmzp81qI3K7vfTjWBC3sjmaSej9gIBG
IrZg4cCpPbvdczOGVrYvfTwosHAmZTmtJS7r2w4GTI+KcG1IBIIpp2Beso9QMc9yeVmqzn1O07Qv
Nm7JPWxyGqyE24K/u619nzmRgl+cVj6moTtS+BF1j8XxfVahQ/hDkbWl20KBZz9x8NIbJrLCaTyx
+gK5mcqtE6xm3Ac/99KDs47FsMG5Wl1LOefPwxgqjgcyzwOCIHSDTSzFBYiOPsemwqGCmRDSXMww
cJ8Lt5/xHvU0gW02lvOPHhWAPrIoydMGhdXDC/af/DDKxxHziFGc0WEjoYFINmMXOwZyfKUZ9hgf
qiDtz72F/A09k4z7HUJjS+6ttsK+g74Q8rGnF8m3QI0zGItAH2NbrX01TIFz35PlRYe4J4bb+P2U
lkcUEP0Zu1897ec2TVFdzRGhp6ba3lyJFAXXdohFi9QdSxBq3XTOoQtFp5hEWy+tsNItxkMy+go9
erHNC4I0vTdpLDwcUDWXmBpjmfVrjYqkuHah73UgXF1cmMYx+PAjI3eGpFyO4JB57V37g4jDTeG0
mfhe2kFA85zRCuc8PjS6LmZY0mnjN9GWbHv26CKzplU3IECYbLnsUodzi7J5zym/7OpxiavifAlj
SjrbbiABUzflSBkTe7QuGaLhoAeFKA5hB7SR3cRSCUa2byFqjXCmxTPxkBCr1aeYPVjVv7u2m0cJ
VlFkBmJt8SG6j20XOs5RWZiQ1ztNtxc7v8kpKvIePKsBbsw3w1BPkGwROTXOa2VhcsY4dnm94HlA
b5avUHTc9L6dma1PlvKpH6APp8xguU48q3P6d9lkwpJ9nEyYdbgGLwj0oR8fAwzsWG+tg3Ty26Do
0YFoKJyW1SKzjfPJ54hgO+4fkZCKFmk1ASW82hy3HW87JN3QFsc1s13eFkde3uTwSfEnrnYSl5el
Rp/P4+HK0NSui1JTdjgM34teqsyHl9WmmTizh6Fdmngnsp4Yh9whaQ9KhVjZpxZ61AKv9Es3JWvY
xCpix1zgpHV96B2zPqiWRYH+0gmmzbY10QgIKfb0s5eVCOQmr4moHaDqv4D64IUwMko/Hjf9GEcK
1ZzXRlAmllV4R+3q6lGFQ/lgQcrCSKChIL3xBtbO3vHT6sWuMRHcDNIGzds3fge9ATsS3FqgmrX9
LUXEYdlDS1JnUZaMNxJzqxPRDhlGfbHYFi4s9dxBoIycuOpP+zGyj4Iq8n0ezVNwSlOBNcBASS2A
XPVU1Efd2+62n0MF626EwfuiVkzk2VoRkW18zlHkzGJd7jo8wmYCBKvcE4GSIcZQa+VR+15f7eIq
nJ+tNZ4XWl8lU+vchUVWyB0ip/oHViUB5P58JDWgPQ5EQVvnTronnNAd7iSyGF8SNPRUXIioXYCo
Ik0O1G7HGOri4IQRlhMt8v7Y9ppm7y12d+J0TfCtHEuPgiWci6TZUlDMJBlqsHRXIEv2sHNtOfRf
u3XSRmiq4ipFxRi1wMFgpueeR3HrKiHzrjZeSxyOgG7w5g1+xsE+KPzyzDIMjm4daGGhwvFKVWjT
3WVAsFjLqKVXU5/CoIbyuwZzYqFKCNsTjNNbeJ0UzJ7XfNTMjTi6HSzbuLBgVQDbGG0XL3vnYbNq
Woc006uVm6CAdkTJhcU23D2RXE7pbZBX2kRdWNCcEMH4Zxp5SfbMFimWoxi9/K6ZRHw5V1bykmiH
kQ+ndT7p43igMrKuGQQHNEaQKeRwM+kSSE9R2m4hH1cNu2lQwZYpZHTnUD4MdpD2p1PUSV62m0SS
/TEJfCi3sui8k9rL8y3aWnnfxgkyP7e2v/q6czZRMK+7FAnfvSe6ddl4oVyuwFngf7hDN/ZkKDCG
N1i3RONpgh8/23y9ooRIUDFyuxE6/0mTDcM/CRb34GIvEMDwA2zYJbS6YOs1ntGQD1WA3kIkhumJ
B0x3KQY1XCTQeUP87BPg7bwv1ZdpDnrnsPQwPTeY7gdPnk7hI1YE4NetZSLeLvTCekNMDdjnF3GE
OLpos3THgY4pQkm55AbQ3QWw9pXCaWFc82UnYMbsV1zxqFBI2Z0ms12p3SjUv6eO/hxu3CH67uXy
LWC3GM9Rp2jo2e0Y3nVSY0DTWxL7ccvLqALRdOhSlLF7HqZwM54jmA0VUH0cnVtW6j5j+12cwV3p
bkTVod3PQvd7W/dDva+7IFq2meygrASTly2QTOFQb0qN4S/qgCws2X+1KM9zx13kofcnCXk6VfMV
latCUAxoqmVTqsr5BlkhWTaVcvRVE0ewwAN0dyQFkYtqv8Uvj74hTp5+KeSsJ6T9nM8j8fkuFbrF
cquI/esJAvBK3aWJr8KyEl/bRTv0vRrKb6Krmq/Y6jUbmstTe0RVvKXj1siUL/W3xJrshNhqtrYW
kcelHqDndtRdnupksE51zqLeISwMkLn0zVkvYY2RkRcX1AWCEyu2w0cqxlnANEj8Z7xyxH727O5u
1It7Srus3t3mI+x2ojW7wnKhpsQTdB3UJAH7YreC++oNLR3mYy3dsbwDQct2muLWTjPVsR8QctgT
vjjn9dKkB4gxztc0XuavNHVwNqob7F2yyoK+KiVibKu0d570+oeQcP/oeLHz3CRj8dXmV+TGQsO+
dYX1VaNQuTQCzaMaEcvO4fC9qZr+huYQC5rCvrEd1sF6EyUW7BLt4IvEeYC3xRB2YhcG8pwqmnUx
ta7+I6fYsQtnEpWWZoUrwg2nebTC0rvPU+FhmURV/1SpGvbHJp/KQogfy0D1X2MbQj1IP3NAFdW4
g7gYL8FXMtqmUnfa6xpPXvc0zmCX71A9tMBYLZgo7LF5yXHNwIpSiebaW5YuWo4TbfgAFkRjz316
ag9pla+nIczX/iHO5kn+kDTXK07yJqx6bxt72u4xCRkhvmg2ryLyn4KqsvrTPHIy396NPd0xCBuR
t6B2L3xtz6fDMlPFhOI1ywMi5Sl88uu6Z1NpFa0N6XIYyNSGTjHWdUWVFD+JZN+2XtKMp3NBGJ8f
5gV8lEUD0wSixWK00K92ay0BdqGU9aHkdDBACvwq1ozWev2Oflc0aNsyB1tgkCRPVru9HUXYk8Jk
Yobd9tiEU4ydJK2cQvI+1xfZnF/RkKMb0KhMeAc6e5veJ+jbBrhkDpLOPFHZsp0aj5Bss2Ks344n
sSGGGJ0H/Q6R1fiJjcwkTeYxaP8YrGR15QaZTcHPaOiOWO3c6jsS5vMc3VTpo/KOwmD8Dbb50awS
1BC3UXTuEcCcAyX/swkopbKwt9Okfq0aZQCNMZOKtEdIaJpYXgSpN+gt9ExY4Ns0y4HofnMDAOkf
YUssv31aeELeBiUEFPqIrWZywSQ3yYKX4v0GKuYJ86+iOx8zzmrAxTa/RiQB+/9yRfQPQgjPNLnw
TfcPAPyPV5xT/BZTSLUvWJIaHDJBOwIOSOuDnievdU+cW8Dq7k9/fd2PQ/12XSzaOQiljQG8+Hxd
NSxN0FgifEnwq6EshySk7L6m8P3IWSYwoOy6jlMz19O0cV3/N4/90RrVXN68Y0Mn9iDgwTb4+NiJ
HDPLnlPxQvugAMcbOdm+/A7lgAXZrFlQXmXU+J1LUbTLcF90NPGjEVKalQzKrwfi4yvnTiTdTaCB
hsYX3JXi0wvAht7Ol6KOf8TRWkt9bFpVIXuy4spsMhhTm03m15f8+8NjlW/M+nEQN92hP5leQqqN
y3yx9YvnT/AhDguGH05xkHoCjNpnYQwch4rPJYPpfNbME0xCOrjux6yx1fSbieB84nwwAJHtwScA
5hEQT8JPd5NENJSKVG89p7A/gYPZTQ11oJqbtGtoWJd7q3Hco3KOJh/6GHclMzsd7ivlIzOoLSrR
9xHqSpJzEHDt3sGAq7vnX4+ZWXn/ge29AI909gPboxsfbBd6+X2cMPQIoyLdrvPzDADJJMAaz2aw
bBAXoGmYseSAyi0MXE2ZtTFfMpUM/3SwHJBUj3Ib/Z49JLOfbwMkt0M57DfPdQld0drm8DwAocfF
Jo8+F7GEIUO6jJa7ymUN90QrmofJk9DKYcxj0wIvxXBklpTfqrO1HM9xXgNt+R0B4/Mcw7WZdtX0
K4YpRmeIzzQH1FGgwPUqnlFt+WD9Jl8rBxCFPlP1doICyc1ZQTXyM4q+VbPswmJdrPtJqfi0i4Ch
E9zMyC7Oq5T4j0ajKM5pjkBeaJV3MAMTwibYljOnlWvli1Of2dhY8lcLwAaKIL9+/58YJexUNEeB
U+LbDvbwksn6cQIwM+t2xLz0KQCGBMlWNoh+uyHXIObcIuw1/Afiibfdk3ocPxvethOFixk/mqde
+O1hwD/rtwva+7yLc8hC28LgHYd3s5F8mp0ggh1ZQqOelGYVgZxR1fQuXScVy7nohoXhiCimrY8V
0cAS4DGiJ/yY2PAn/y5p1xjDoArvs0dtStFXMN0NlWr2xqqMkLBL83qajpIW9XZT3rpTOi/Wx7X0
C3AduywNvYe2jJbpXlFHmLpsBJ1Z1scQFQXvTkjCInoqrnYCB1FRm3hzFjTvjm5nGVQstBlcnt5T
1jJtUK3l/IkG7gZ3nlm1YVH1CtL99xmjlFYdENI6IzlXs/YXcA/Bw2lfq10iZaQB80mCXC75Vod1
7D2S0sNv3wc0e8v/PcK+gcz167nxeQtn9APKW4QMGLFL4XyaGkSRdeKAfT2tTtWRP8yuHZD0TU3e
lKdiaCc2il9f8fNuhF2CZ7sAs/D3OLs/X7HTmJ1OlZi+CZJzJuM0eGb7c+EwcXj7YwvnCfCSegmY
zNB3yWXwTtH49W0Y4t+HXRGWO4o1Di7p2jj9/627gAA+AN+pHisPq12x6ZtBWq8Um1p2o5RU19nr
OGiym7EL8WfcqJTO3vSB7N2RTuBBMJWUiNykxR4n9O9noctw2XST44938Jxt2lbLdaYVNZF2usmB
Ug2iH/uOWexEvuNdg2d7SK/tvOjNyh/xsL12Oe9pGCcKLebfmWA7n/a1UHBAEW7w1DytgD35cRso
/DjFjb4LHsahxnZsD6jhQvcbab8yEcXSZ+IkdSaQGioLkanFJv0bB9AieTCrAudbN76P6dfI/bpt
BmfmJFOkSGyR7QqEeGjLURF6r3IpWHXxVBn2obOEFaszcFqW0W9e4keuHDIvXP05NtnVeINYZHwK
Olv4SmuDxOMh7FPB2sIi2NxAb4nBLN23dezCUuLecMowS5y90mwpWrUcNFj0QHh0EAzyraYtuuI7
1n6BdwJmbMYB/+PGvzLNE5fzLBXmEdFz+t2hsAIEJYrWG6Kju3SteNzfPNqnKJNHi0xvE4elYtMi
4nO3hh6AJSiHZnkQ5KQMf69bphYNrLLmR2+HBTjA0jft+ogfnDkfK6txeCGzX5XJsl8r3+mTQySs
YXogStUMB8iZYPaJcWU3qTMrYop5U6nM7jawbZ5kLmkB9UQiEi6Y9bHNv2CjOgwFVBmGou8Dyq2m
/3jOkkgjN+df7+NjtsLi+68H4dMaDQkXiK4CV0Jhx2Plc6jrTCud6PzW+jJWqFiw5XoLb900nMdi
CweXfOc3h7/76Tgyl/RM2z6bYwme2meKqp03hJBqDr50g8MMAcLomVCc/YyPlyuvkft4wn4f9VIp
YL+dlOhwCVnY9BilSc9lfxP4Hck0+IcXshmwIMc7IHI+RbmPhd/PNQfVz9eWtFPNUM5lWLNWWEXm
dSTFbF4ExX6T0EZLDj3PpujAnUjTcvqx8EFef8fO9aJP8SwPbw4BNgnH8YiCPmc2hIMdhBlwYQrp
PibW/VAIRYcBO86vYF55etm3qfZVuIlcN0KbphFjt2d2OYhZbug83lrnGiM575J6bSAoO8KQ+AFZ
yT6Z4sHz8SGum/LFy8tVI5byK/19AsDCNGmkq8y6C/M6kjhNEz92w2GaJJVb3aYxKhCs4ivnAi26
E+0o4UfONp/7QdNKmsrtmm9SfL+hpCVzMbIYxlXjwr3B9zXHHDhyncG79zHE8oCuZge1+VFFU+rE
xG8xyuI+hVZZbgOMx9YVAjBTEWdcZP+DwaBy/zBGQQLoWOFy/WXyGzd7HLwyAY3wetfZ4hQTNVgA
Y48b7aLMnUwjqzI5IU3udxibTFgzRLVtH53JSd1DYnVhau9V0VTewyLHpLAeIkox85cZbmx/aXV9
bd1xYgTDi9S+r1GrjEndQE9qnLS7jea1LI5xBg/8sEJoqpoNFqQCo8wAPK0Nn50KIP0FoXozzjhe
UMN7jYZ+msBYy6lzcsrMdSuNrZ0tS/8YV4CTV3AFraI4ArGBDqevKXq7nlGeHRFq73IVzciUhiXV
qfQWgWvv2/u69pQKTmmZmqXlRS3nAsJuPib9NF5Mks7Z2SGG3jnIu7gGe8FF0kuT8MBc8THPwXja
4E1lF2Z4fyeW51O1SmNN0fZ0SjorzY5TVnHaAIeD0SATV9kgvzbWAEB0yuSYrHg7UWmFiT0ooq5o
0y+0hvevSzcI+NK/f9PKMhp9b3AK9rgcuI3XPq9DG7njWe7j+uieOJjXBcjic1kMwRFmsoPdrfRG
cy7C3s14nERIDpXvc7ygfNvmMkU1eL1MalLBTR5b1OoOQSFwcD0t8EgLx2sfrlyGpXkUmag60L1M
i0ekvMhGQS/KjpHCLpct+5Jdu03luSViHZQXTtbiKXND41iAhT2cXFQ1+z8pwsI1t7SMVC7dPd2b
l6zdYbmUa1pP9hAb669uAtqEu2leRgAvSdjST548mJF1wyHjBNmCU5k/wv0TsmzaNjIxvZd2PP0W
c5xa+Ic8ncyIiRJPwGjTdGlP78QqMFu+N/YJ7q7R1DdMgBW8zj/29AHnc+r9UVPolgxfm5uaFWdJ
F3O1MnVIMmsq4rwXR3mpK/9wytmMc+1FOcU7a7A0r8KqoWR5r7BFIjIOnWVEWtspdBa8obMwlYPF
G/SGdnjs83rIasbLStcG7tXqOfNlmAfmljPetIIcw8ziCoIftc/4IJkJ5mvLvHlQTr5XRlAX+904
0qEJMkAfthP3MNYdl93+fB6tUW09I01I+Z6Ee+zfF9KLI7H1pogC0EYF8Nzt/c/ZE6+dqb4GuWUe
Dgj8bTAGZo3e/oxxsXM2vHNXdLR8EhiXWvc/h9p6//ifg/z+OSoFbnEZuFDIArRUsDaeC2yWMn3E
hHDhoVt3nblW4oL82Pck4EkTbeT7i2pWirNUSnsUUMkpCNpCUdYp4ED518g1G0ZpdKuSj7iKGpum
2C9iuqsXNt6dGLRXEqLzlmKr3QJ3vI1go1hB7Gvvz5S6GTkajdprf3KMpNZk5/b7q32fHjA0S8bH
B0HhiwxK8/CzUVu1h8QB3iOQ8FKfby4NbKr0YbUyyEPwuFNhhvd9Iq1YbXCXPKT5K06mgQbJzQLB
7Or61Nz6+4DiFrLyj6YUjUfjGYw+ML6kJBvM6piYipa9nzKQuxEttyHZq27i/WYj1PRnx09qpg/U
iso8vKaHun/dodIwf9AdzRdvTHDLRs5mm+VQrdLcfz3gHzw9DGVSJtmhThAi3NPkwMFmqOiWwOnP
xftcyfIu6oPjzyGHg6G5nfmdjc8J0HDxXGUF5zzax9W3H4jc8nDcqdaiSevW7hJcuLd0vIelAFNF
UdssKRhQsnnnowcN8BaKDM5Xvlcsg5+Hh4JgcV7OBHaqNJTA3gp7UNomeGU1buIOj6BTiOIDn8f5
tOMLQaMsr7Bf4/8XVBH+k7Qnh1JRi+qpvBrhXlAUoBsqV3dSKvaPPq0hyAJQNpu5D7/EN/V7AeIB
E12nWCbvy4ojttrPVg1mBbTDUTV/g+Wfs9+guWiK4uSn8AYwMNX5YUhL8t0fi9d5QtAeIGU4juJt
zbQN3l28doiZ8foo0hB57AMM0pSuQ9B3zKPPUdIxRAK6XMETFcnUyb2/2obI3wOm8TNnVmbWUK8y
U/y9fhp2mITbG2dwzfP2WebyRTPB+XybUQq18LlaqStHnlvUETZU2eJXlwIwjk/gqmty2FEOHfPq
vciyOrRMjw/IxnXsnib02eRvrO+lt5i0nKphK41fyhEVBakvHsBFg5lSSWFCnoODmvXUY2COXCkp
QgS5O2w1weuu6JsWMczkembwhkyYUoE7hAWqpbwEIwR4Wkqe8ttEeIZB2BR3WmdXkchNkRJ5CNtP
UMTCh5hAGWuJ93Ocw8I/+JOSJU1mIIz5Hvx4EtwnLxEOKTmHoanqr5a38lTw28yxUcnYjDnsCIfJ
9z6SeQ8x60pkNs3BzsBbqji4LdZhsu41wTRVhRUqj//Efsv8sia1MgI53hlmGqka57ID6aWpUpXw
RkwtIKqaST350ZK2zrM3l3555futWuCMuXAxrH9DD87nGBApEqXcdCX1b2sblk6gqc14mKV+sZM2
TxL0HItI57spILZpX6IxG1vkRjECFTQcCIaqaGu5a1c8rt7g4oAxcDrAq+kdpyGmDAIJX3dglld5
5G7pDLDAzNkEExo+jBnen+T9XbYKtreE7Y83IY/1tt38FB1hom12E6J/s3izrjKfgDvKmMX5m3JI
OrbFJ6C4mQ/SqUjyCTJ3g21kZaxYygnRYny19ouj9hDZDNzHXZmf/JyyP8VEWKbwo/d6uNlOrWSr
Z+xIgo3jaju8GVLcgprNZNdUz71ljSP3dKLdC7+UWKspB3Yo6viCqJvdAukN8xsvXW6WuqW58+JN
BxO9X0jqiCMNwJSX/Z6x1Vm+BoYODknjtnjfsOD5mr/cho4pRtO9xhQhO+1rz0OWX7VNvIH2DUlp
eEey+gm943iWuYkJ41Jv5hoBXXf4G8PbgsNngnME4vabWke5RpBJR+7ZzMkgxuop28i0A23cpzkK
9/jwPiDUgc2mV4S+UWF5nWPl56krMEb6TeHrU0JPLYf9gRkMDwKs7m9l5bQHQ6Be7d6nTeNz10GS
zKyGqWGbbS3PrKDyHTMbs9bc+69zaVNH/QsKYC4PPAc3M0IUzvU/1VmRkTTWhNT+/ufWmFMDNuMP
ulP+poXdp0ITq8lGCMG1KFnx/75J6//SQ3PCSwZSjFP/OUfsYm6abatiz7umJ6SZ8ZGfGnhyyHLe
cANdkXXyc3P89WN/LCFIG9sc/gOT9AMhmOfux3uJR+FSvs2Te4Oc+k+ZdEw8DqcAY8+1IXT+3Tj/
/YLG5wdpMs2kKS5GnyqqRaptp6zs+O6daJdgad6fBm9ywp8r+9cP6Jiy3X9erHlCarfGGpaOuw5w
1KcLzmXuJVgD+Hc/d4wJXjxLaYGsLuVh9roQBY6KV307TPDXdxUNSVjmb7JSq1s9zqPf3NHHmc4d
kUqFEYcXahSw+c+w2BLZ1hQsor0r3xfVRFzHGp/pbcC+noVjxisAkF5YmRF+K9xBa6XmRiAptMNK
G0Ey+4NEtSI5ypHYLcgjVcvHKUzGzlW2CPLJ7fSOZ6n3bfbXD/H5NfLiPBsbOBATGtGGn0tPnLtt
T4OL8SrtCrMzrW+BkOpkPdwuVjh4F//8etLmRZr//b1FYYBrKS/YHq5+HntzksJXtht21gYtYZb8
o9KaxBgNngCVRTZulurftgOBnMLBSSTnuDFRMEGyeRtBUbIu6q41B8avH/Dj/kN9NgJ+8liBKPc9
KpqfSrWQRedMQ745CWpL05sLBkkgnnzNgvndEvz7pXh1kBCMq5chRnza6qrYpZECluAn76HIKKmO
MI/c1hDB357qH7k5HF+bq+/Va/c/zW/9aBRV5STt37wE/vOvL03Ff7/8yGX2Qzdd8+/+86c+/F2M
o3/enXFI+/CP/Ztpwu3wqvFf6Iby/R6S18Z88v/2h//1br3wG7c2XFXMVvrf+zlcvU7/dfmKtKP5
q13bz1/7aeeABdS/3s4JEZGVmj3zTzsHy7GjfzE5aWz7fl4azPJP2+2AX2Ivj9jueLuwf/6PpYPA
6sHFexcsAHaza4rm/8DSQX6aR5i0cXk8vz1zYrKVfQJM2pzuAxPQ24V28Zf6jl2xxFMUcSPgOSoQ
4n8xabp0nWSi6SrrtMHZVGraNQX1STNl9hE3oOVFi2QA3LOV3M75Mq7nELCD11aXwS6jHqvX9qTu
E7+ASUJ5bvHurY4dfDB8PNdV3UsZ1KRR5ONQyfZQQ/M0urYzqw9ukd6OSHKU3yPQuYdNDr7hT2Nv
fyvFVGb4nHk4p2xRayHKOEPXN23nMLA27ljBGETUxnKc0wt/BJYM71MXudWEvokdw907ldev2oRs
VfelI8lw9mHuidL+I2uDfsUnVWFhA/sPiZl9njlZMezhW/1IMUBCqq6WG9xnaqxZFoQU+9BfrPVJ
1TgSvTfp/UcL8P9lbX1Ysv/dSv7/cAEytw3a9d8vwNOyhKGZdX9dfj9/6U+3xOBf8MVA3R2gJlQQ
hrL1p2Oig7W9ZB3RVzaiNvIXx0QPoxVyYnrdGD4H/W45/bFu6NP/9T8E9iwUE3GGiLBahNPg/pPl
x/r/GNnAcnIDEZl4AnI0C97EGX+JIzP/f7N3HltyI9mW/SLkghbDBuAq3EMrBidYERTQGjDA8PVv
g8ysJp3s4KvqaU1yZVWSDncIw7V7z9knZVKg9cnF3GoO3OWmtvDdSvvYtI7S4+vTzHAVgt83eQvf
eogsotRU4VpzGPfMxvYdJqgocOvCvlgWx4w2hajX7bSqzrcjektzB+BdKrc5LUjibKhlMSYaeKgk
Oj2c/HovTsVUuuxC2Vbo/kimirkG+tk0jwCrMe/tlsOiLYPpV1ntbQhNN7qNYCOaQNsiLrTvo0Yg
rVZon2XS+eSi5A4HFLUb1InYt3HEDUwQqcUteO6TqZ88HWpb75X25USZ7ZdivOsLXdk6vWbgpyf3
i0GEraX3TZbJ2zlRhysap+VdmQGN2kCCUZIgc1crb2WpMYLfrLkrrEbsVmn/RsNRSUKo7V3oTZce
tcTdzaneKYRvwQq0KotUtD4B8zhMeq6F4MrarTk4+nPhgTFIaRnfa/psE79ifoyFxKFUSwYyi2Hc
jHpG2kUN2ibR9JvERpVrsdLR5k5t8MBKcWMQKXhlVNMd/STsngX5MT6jtuSTDeJrZzq1EXROBSC3
LPGg2XOLMBj5HZKPNL7sEXhdTUkFlGAYl/GkTptWr6GGNF35NaM3txW5Kbe9lbpB3Dn9nW57n6wo
gpMfaVFgKwlUj55/wIR+9kwFQoNTVkFTWLjMEBE56Krvs6437ozZm48GtIubtEdBSlD8W6YbyatV
21O4xPOxUDEBYYnOkLdGps9ATGEtnsv7osvLoMqL/orQoSQYOCNB5OXEPWbYLOd8DAjJ6h/zeYl8
s9fnK8nOP2xmi/XW4psqSD9CVUTxw8I6XYJpbFm/s6r2+NgsA9LeNNrRSFr1Qqrj54I/fx0zibp1
REWMlJwj785hu3zr6li86NBkkd/Ey3JlKsaA4Eoou5wu424havAOU77uO/Y4nPTcNI8S8ylwM3Or
cdtf1rOxvIgOz8JGGdbgtCzRwsbMi9Y3DGGGbZ5POzhk8VZpxyNb5x5Vg30pBKUj8vuKAQDhnIFL
XM7eqNjX0lRtBEF/CObHiKGxvQxPChyMBIewm0p1G2FaFt7s9231QU5jdpMY3bUyrAm8JBt5hXmn
tWqxqdzmU984zqHM6if6OJVfYLoogeBs81Qny65MgRUw1g6q9UrJz6hqwBxpA2jAUX02Rw85vPSi
fTMJ5XJyPW8TjQQLo9B4YTHsr+mzz1teYnVQ5LF1kJhunkx7fXVmKI/LqFNBT+g8VsqFE5EXBafo
BZRruxmdstuhyNQPWQ8KOT0NJXLxdgBgUeGCj/oUkYWHX9ksQyIiYMjAJNzmjHgQ6Wf9HWnvxW3j
WvFB0J8gwS83Duw059tyLpZdNQC8b5qmI+1tti/NTlzQwZkOWMEicONaP91O5vCEZVjZK0hYribw
aWvhwLxrUu+rTDELL2y1Ts9uQKYY5YnGw1VJAFDdMtO27cV7yAx8UqZegbkkquKGYVp6TcvklTEf
ySPgeFBaa692IyykrWjCP/YdP5n45yYEP6IfIVSWWxVPc9iocYEdlOTkAurEjWTZ9ZOZ9a6oO1oB
DsDSZcShBZg/CsTIPZjKWX705EwgSZmq7X3bzfeVSqZGjCf4ui4T0/OFV4zNTWxF2sHAhNbvGsQD
jV9YgsCeJasP2OEiYiHZDYc1mJU78pC/Nsxfg1ifte2UuMXoWy4jNl+xCREm+KSEdGOmJXbdAP0P
NB4sZwoOzGTZAugDWJK0hHdDLEEQMj4R8tNr5l6K6puZMRl5tyjtp1zJGP8Cqxtp5ieTbl+D769H
P2M2vc+hjC4A5zr7duaFDWEu4hHJJ269QzcI60PPMOMiWUrZE5NkWG8Dd38aAMmNk0BTIsf0J0hB
d21BKjioHbW7qHXVvWglBiv4mhXUgxaWYWrE13Tai3v0knT2gEY5uySHLhx4y5S8NK7ZbwR+qb3G
7uXVZW8Io8ntMAfFcjAZcHZaiv27AZ63TGN0EI3L82EIgVVxXghfYGn/ir0NuzCylelywNx/I9lU
qaFjSwJgFo0gNz+zaDb75ryMz1ja2te2U9MX3skx1MRyvOyNpbyOhOV9RcJMJm1SRMYd8hXxrIA7
vypV54Dcq/hSlob92UINQAJAQk+AHp8oNrFnpjBEBW7qmdKT+kGGEg/NSkTlLPpZlrhPo5DWqbD7
4jOm5IycNspo1BpNOt1GrWk/8R7xNswF4u0opY6i1HGaKNByRhkHHMDzpzxNPZPFKI6evLwSNzN4
E+5KmSg3aWb3ZEEZZfcCVDK/MoomplBH6eEEulcuBw+r42dzaPM7LHn3RV9MiAsJ2znkWo7xP094
WPEDt9dLa7Skf089qjEiiCPo+MgkLxtsyy/WJKcvgGHaj65pim2lZJAJFOIzPX9uyTLstEzcVBbr
jQ+YRvlkqrK/ll2FjddQXFx5jmy6vUMv+qMXzxWUpCUixEQbjCnM0qyVeL/K7BnWumn6bm0Md5m5
+s4URjZXNoEpB565NNuNukpauTTJBeCbexvD6dSXyBsic1OlNPVChrrWbizM9A6rpLrD2+YAFBlh
kWI9zHYsz5nrW5ooiVrQnZOchvYCqKsd2g1BG1Jgx2NWb/srQIGtSUcOvYrZys50CEMJ2FRf65tb
beyHsLcs71QoYizBNNdDODtZc+gdMsb9sqi6FyIwB8dP47HXgnHu6w85outqM5iehP2CPu2LTQF1
GalTExq6/WbGiffoJFX5iuO+JjFhtS6xxEcl8/W8VgIiKlkRYVSphxQJ5aW3mM5HYXXFvklgfZJR
b605q4Y03pypS44DdIQnHP0Y3tzSmE2/7QS7xVqnT8/4oMfVN8IMyYxE4q+MWgEaKtFeMdfpGOgs
IAdmNNxa3hqFnCHDfBkXCshNrE4j95Lag6qqHO2z1+otAISSwLMLt86iD6k3VI8SfVK/NapkPo5o
Znciw5AWLh0QCbos+SGL8xtiIMi/qZyrWIqwTohtxge/mUANBxWQsFtz8LBvO6C7YsbiaYiyXb+2
C2pDl57prrUpLHyrE+ab58BuJbqhIY7ZxLO5uuhNQiMUQyNpr2fj6xVxfNUPhKFP+kKAEMawHZ3G
IVwaoyC3TR1PmpJs7LErvySZjjWF4bDzxc6IYIQpRAAfspXuMbac6M0262grapITmIN5Sx/ghBov
E33OyaExcBkSUw/jIe3izEQ5ZWafG9UTld+t/2iUpGBpMabLOmqT5yKai4cUey5B9hbCYS0aT10D
XYUb3HaPecfsh1G3n5RTDLGqVMA1du24d1MP82Klx/kHOsda5yfRJAiUTy3se01DKFYbLcsxV7Tm
YrJNwjXVsYByl6afoiUdoH0Nw75sWjzsnlEd2gI1kZ4vz42cpzFAA9i9xkbr3KC6VL5oSAK+i+//
u0v+Y5sKe/J7u+S1TbV/LRv8L92XH7fKuvHtb/69VXbUv2gDw4KjR7Uqif/eJq/QUQsjEFtxmt3r
jvdfXSrT+oueFjtrz0FqyyAE6erf22R20HST+OM0sWgv6arx72yTz5pUIJ/h8Bu0Ol0mAS5jh583
yaZiz3HrOss+ryw2nYsd+bodP/1wUm6+TxN+JGeedcO/H8RjX8+sEv/NOThzAIONHMZd9iOce392
et7cjkAjk5vD5v1D/Tw8oi/M71m7bg79NsYa5wObuoxmprQG2VwCTluKpfaowwvxga2wIYpTniOt
U3bzYpkEdJDE9P7hfzmdFA1rsxrXDFMj7dwroReLa02M5/ZZNT3oUNBd7MzvH4Kb4seBDeRMDmGR
G4iDySYw76yt2HWKHNVIa/eWNj3MlvHUexpuIbqdvrq0X94/GH3vXw9nUhAyJTEdl6jCVUP9QxfF
iCl6Zq/v9yZCl4s4L7UmqD2lBL4UlReFMB9NTCf46GOyX30oLRlYwMKj+VeyHhJcAzbZd/QYiiav
8/wwTg7bUVELrw3moojpgvSUob7eag2KmARVBINx1vzSeNOzaRfDC/xa0QJJ/RVX8IRsocE+7MHa
z5XKuEpAz4ZGkhuAROX8JLOoO6V2PK1xEU6XhPAXygcbPeVzKmm5eGVn3OJkt66tocrvbIuEBWF2
bCvjIb4aRQUfrfRICHVH3FaUE1sxLsshJ0KcXCWxNcryq+kUd3VqfrIX9xYmYxlMqCgvGnWmp2Gi
jSsze6NYfGZpEOiQN0u7IwsCb2ulhXi4py9d4oHizJLrRtpKmHp1tzH1ctxMJCVfzTOIP08h/FSP
jSeHdKoL4IKgqQkVBcoivhi24j0gAiZoQcuyK0Qz8QP6YiI63Dzg3QU8EyI/tpuIWAtm/ZuMYvkS
hn8wJpGvkg4/Ha2YmOPN1CEZC+JJxt5hcLNx3qa14z20EOXDxCUDTndT59SoWaYeK9w82raau85+
NCtHeU5y0V1XtcbnuPOsP9QaQQ1Fl4571aDRnXbdUHJVVwZ92XaXNW2PDQSjnOx0MGhsB7ObtgbQ
RfiSthGShHCB0vcJ5zDxdaKFbZyk+vgysp3T0N0SOa0sTvyQJu1C/Vhr/v+b7dYsVXdTdv0p8qTx
ne9mjka+Z0yoXWqzYe/LinvhG+RtHCr84KXxQrCPJf08HQGmO8a8N/vUu0UNl+0Uo+kuvxHfRnIT
dCqky3PqW22DovXR1cU+foB093/Rb3Bs7ZvU6bdwhWrCnQcHdoIWf8zGPDnw155nEV/A24Ba3ky3
jcwfM5jtvkINtjPLShwJSEZNn1ACijGebsmh03Y6ypi9hnEU5uLA5rrp26MEAkKjH6jndSl5b3BH
66SIQSRTb42ola+wcgCp89CcRJwpR4YGBH3MMEbsAu1nmJVVvqWydMJWbTkaOcL4+EkONlaydLSN
mkSCJ3AJI88HgBxu7O0QpE7HmXSvwKkhytmekux6oUY8+8SA6SYbH7YGMxKfnGmHXUwXC1XracYM
uY0y23uq6xq6a56ifnKSVyMynj1tkZt4GNS7lOJ5rwvjowOzD5d7fJ/XKjU9ygffSJcLpGhjICLy
mBhUDPhFRB6iByFQYclQQbfNbdZGRVi1y+eUvBDXT1TCW9woFodIiceNpqi3sxy3w1zH+0wBgVN7
zUSDhI+NGTU/dho2PZanSUFB19VbSPvGK6kzqz8LQEQ/b9smNh4sq/Ggi+QdWeSO6G9GpTFeWbfd
Q1pOYBQ1kJIz3LNNkoxcIctslquoyAfdN6JGPtaaW5xYkJaDNnsYhXTrpaunHkkeJEUy2ugkNREg
UTU50czYJbwAaOuqoFTiGExLUWrVVV+6h0Loj3mZoOWLAPrHbndhdq4SLosShVGuuJdxlH+JKFaD
BQKYgzbpdVTN5i0bDXHdmNACfavg2WNJsK9Tmc0nINjFwS71bk8rJw/raZk+fANtUg1xZJWWtAwK
mwfIV8hg/OplSvGsTa36EDmLeUvCJ2SfAhU4igZoFShViCMqEsLhiX7nObHnz+jVlOu8peHX9xVh
O072ZCVWtYe/UxcBUy7KW3M2A7Rd1oZ+JiGwdOJPhZFOtBKbRVyXvavsMcHYQds6nxy63AOdHq47
nLTs4Gau81D0MDQrKwU1qJsycIRM9zQt6ZraXoL0ra6P9Txae2uwrGt4z/k+UQgHci3ikFK5owfF
6RfJ/KixcoX4ed0tJ6l4MNxYCyxVW7Go9NfuzRbe0FSWz4PMTZKg7eTK7uzluYc4xiR+ShEodN3V
qDXDNi8z7jzpZHu6onj4bG4yXp60SEhXj3AXbe046km+gMwiMN74K/rQsY/QsAHVhXrRj9/riv8W
+X8o8jXGwT8URb8Eh/2f4vXttUQf8X2y/S39+dtf+WcOZv5FZxeL1b9K/H8V+K77l4mwhjqdOk3j
n1TX/4yhLcbQjsUYWkXkZH+bTv0zB1P/0oHMezhtbQRX8Eb+fwp8PmVV+Gi6qmNJ+gWskGl0OXvD
VPas5ORhpBkh5qNn9g8/nJP/RYm/HoadxDoHNFS4Amf7iEXrO4bTJP4hCdIecnAzIVgu97qkT17+
QQtyXgFzLPy+0BswOSPPsFYf0g8lKdcCHbQwor3UaobZdicuAeEDHV7U+aaxSzJV3v9xFO5nVTAb
rpX5z8PMWBHP61kVPOe91Wq8h/ap7CLwrm09nAAhU73WoF0tdO+T96SiV9K36gi+CDQZoIGdDbuw
2rVWPAaWWGvDca4AwdCn2Hv1TEkrvU59q5C2nFqv93YwlrzdtHTprrSlHqCLrujTa+VtkWNHLpRu
eNQGu7rABEyMZAQeN5JDSnYNlvfQiKtkJ1vQN2ncY7Ua+vJWR2n7BbD48pTkZvfkNPGlOsp0MzlF
FRCQre4XmiCXpkmpECSZMd5S3pRfF2Oprxdjyh51Nc188naKrdUmFVAiGj9jXU17tWbi1C6tvnOJ
ZvI7zI6kSkJRJLSqPzraUF91jcu0FAzNq1rEyp41Dixmp0z7VmIJoMvrRWRmK3r9qXeJkbCXcgax
vCSjr7YT7CaSY7dqr3cvaa54Ux7OCYO51nfkhB77xWPoKftTUjXZ1qkc+l5TxH0eqOgVyI4yyupt
7JzmJcPH8pwxf7zzIK0kAc0w73PmYszyEXA7NAB1WecQ99N52wmXkgUJQ/KWJ4VrBRCei2u1AKEY
QKWvTw7mr6OElPfkygXbbZR2gDZX4HW2gKgmU826Rkp9R5KOSoZ5Ju8SdMqbnr77CyZEsa1nddi6
wlYsf8bB9rkry2SXVMkn2WVNGCMCPcaeCwdeW6yk3PScnKSKisu2KJdnYBLKrQG84KQuCI593ms5
lFChKkTXZRGjpRplLZ22A0nEJkEPVb8xZJqf1CweP8e9PbzlmsyKzRIzZGM0l3oXnIIe35T9qR2K
YNLIZqoKFQygU3xWjXmC+GQembjNfp7Hj14Px6iNyMRWGnfVcZczAKepokIk4g4jF83YZjhmTKmg
Fw4xwjvVzV7R+EX8YeejEY1GmNS2hPBst3fRVOgnO+lvrHmaNN91HZNbm6eHkaaAQMIrOtPEl7l0
lK3FXuUS2+ryRr0mmfQ21lsDD/yawSvCvmUY7lpMVgF8/TtE3OlmtJYPytgZV/pC7aXLpb9SnIWW
oke+eFV5FHmaJ7ayNG+rqXx2jKjW9ylMVGESeCoS+akiLZiXMQOmOrRHwhIKX7qNnvkLQLswj8uc
yZc+yjyQRWsvJ3cq5HwoPBWyS5DErar6kQLQ5ynvJ+YBSMjGnn3potQEcEnRZw8m9ow1L4iJvyum
B0cOycbTSF8NLdCZgIQjBHy+1aq27w1uVe0mQQbFh1kxMcKhCtUhhrpTr4YpwVjuts/6tKWLWQ64
IvJpie9Ebq2WuSYV8ZXdAlImRY8kvpsY4qhrMMJq++ToRYoAUo4hwnrRGzjUKAeriAYrflRPf8qQ
3VvblgwB57PDgErzkwFP10UuwXx093lJZgYALK/PXxQoHPeeKNkAqRXLcF061l6ojGEdUtxWHboe
SX8abeOC8I9a9adFTAzVlMTbWYMBTVSP2pM2z9ZeLxX0C7gooZ2Vi6eRBFmTxNa36//tRHZ0L+U4
fbL1ChJnxfBoC3vYONQFyQ3+aIKtzBktHJperS6AUnmboRwJxC3bCMIh8NT62JomDW76UNpWs/ua
UO0UXmbjDUHVqy41rUwQXpEN93Hu+LeWdLB7HLYkKcIXGYHAiam8nQ2z+ULvxD3xRdJ4myP5PzaS
YU6Iq6dINh0m8AO0ee+6sFL7tShBzuGNE1jKe6e8VabcgVSPY6gKcMrz3yxlKL9CAS+eDHWYb4o8
s7G2LmV9H5cJFICeMkJj8cjtkee2+G8V+L9SJOL+f1+RuGW2nH7+uQz8/nf+qQPVv/gI1UIwbpt/
i57+bvS6zl+8+W26ufTikTev4bL/1IEadaDmYabmwzAGG+a/Gr26+ZelI3dd27KOjd7E+nfqwLUA
+0HnTSoQMVYGrVGLQsbAR/Bz0RRPs7q4TT3udZ1WF30ADxsX2R/eidaIB+fW6qoT9xRbcS+h//N+
BXVWP+GIhzhF5UQncYVmnJeHMIIXIl/mYTeNutg4srQx4bGPkU5a7v+DQ3kuui9QIb92tDsjE5pW
WsPO1KijCl1j4tyTGYqQrf0PfhWncuX9QCT5RTu/aBgypGmSCz6TnIfmpQ27geCJYXb+xD8662t/
O4GABVST5pluwK34+fLNAjN9YXECvTRCyiD1W0C09lc2mWFcRWv/xUAGz9oWNJBSg/dPKffgj/fO
3wdnF7HexRrl988HH+aE5lUzDHDYTHt9WSWbCrDtv6dh5yiWzn2JANC0kRWea+Z7Xki9aKNxbZ7Z
eGn0CkauNdON3GRNSWLV+z/qrLH97XDsyNgWrcp4+xx5Z7UCVZY2jDssUghS8u4L9o+vbkyTjn7F
0YZx+4dtxK+nEU+MjiByBbBp6nnnPkoImncNImoy1bIo7r2Ci+X9aQRxtjv69rt0ExeJ66B8xIHw
88UigpwElDYfd0YqYMEoygliwLXUdGKA1NL6w2/63Vn88WhntwYTLzJgAHqwC6AwiCgjYlEOjMzX
dDjPG/wuz9/ev3D6utn6YSn79gtXjhvuA2ZJ9vlSJhOGrXCXSShKbPMaXXXxFJMpcwDU7e7JncrD
sb2jy0PKcGH2n214JxeNZezHuKt3YvQEfH198rvJaT7RbVcOksg52mZDe79GRAFmjxF0tMsfFibt
N9cflBqbR/hzDuy79b//uG/t6bjWgP12KdSi3DfXd79PrSM2NFlXGx+BPg1u1JDUX/I7i9n8qMIX
vhk1t7lCNU1eXxN71zhn4j88C+da9fWUsm1nZ8sTDj5BP/tqmQfPagGnvZupQMkjtUJG6SQCuPaw
ATbQP+IyRtuN8hNtVLFUF2AOulMflfRcy3kQUAwrPzd7pBvAV31Da2g6Vi4sOD2Wx3jUuyvdXpTD
kk/sGsWAzddZUR1k1TyNU6o8DaQjBJ6RAhwwFWcL2AV5l9G5G/KqL4a8Ayql0AxEpIuKpQCxZOaP
4+T2V6g2DXQUS77tjBF+sTJc1ygM9m3qIJ0zQcDOURGd1ESqz0rXil1W5cpq4vyaSwPWEox56Bz5
nmy+4ZpPrrbv362/PiD49igMeOp5BzvO2XsXhLs1WtN60fvkSsmRS6SuetDS+WFcomYzjoR9/QdH
tFisGU8xXT6ftnrdLMgzyIddF0UHDedUocXkRJsnsmcJNPfsD+8f79d3u7v2sRxs3qt1TT8bSPYx
SgmuzbDLJPkcOm2OA11LY+Pq3Z+wRr8+QS6TC1tXbcwVjK3PbtMYGVc2iZq3oCusI+I57VBPo/OH
E/jbo5jMVnWgV0AAzi4Z7julHHD87hRYtB1hDp6yR0/n3rx/3s7AetwVOr/GRRhAtQgZ2zo7Tp4q
i2Y3Xr+bSSIMa63PtvZcxqHdQ2shuRuYiMGNrzpGfNG5z50e72ozT/+0LK3tsp+XUxe2Ns2t1egI
uufs+rVtTdiQcEi7mwtnM7VesY2mbNia04AY2gBCedAI8N50av2lqCfnjghR5rKWKi7BFLKTyzHb
vn9q9N9+J9w5dFbpf1rnFUdsKgr8aqPfQYauDmpnbTyVdPClGtqrqG/GICEU6aWweJSx/srrccXs
AhTFEehWdehUxRe86wQZuzMTkOkjs1s9aNOhuZdwP/xmSGn3A124qCTZSerwp+Li9z/gW5eSkp7n
/6xhGGmdV0q25jsTwRaC8gb+oRk/JqxiAf6DLIzoCaGusgfeWF15AZbylWHrAxZm7zA26FoRtIlN
otbebU3c9INLI2+xIgBcbuJtpyaW4ZRnCu+KoYB0Akf9/Utwbgz9dneyYaHP+v0XnN2d00DMQVzL
fieVLL6IFq+CyD0zJ1TUcEg7FvmRMBxGwwejliLoG2D6738F47d3AR3y1UuCfuH8cXcla4m0xn5H
2AwK7JGO3Btl1Y1j9miBPfVzXYj52YH2+KlfGQwiDjJcVGG+CrtF3G91lX19h7JhTf+a0P7pYxMk
HHA3WwwtzSzWvshK01gqnXuUbhsLglfIfP2ZbAhSyYSlnhRLK/ZLXb86Qr23JQciGGkMmsljov7+
D/61dCOcgBYz3hhrxW2enXJLdwEqZCwIbVY8VxEJWFkRKgsEwHqxjM37B/vNsm3z2mfnCSKNWvFs
R9ETOll1LDq7Jq6+erBveWuTSY/21vvDkdZPOltgOBJOIM8EEaaeF/Y0tUcY/hZ3Uhc/5EzoniF4
MQktJbsJYH/EJ6m24l6AN/xT5/43b19bpXmNb5QX0y+20SFOWyKESPIcHfkSDe6qxl3ZWF8LZ3hj
y2uH75/Ub7XnL7/VYjarwcbEu352CQlE6ec05ZZlG17djQZ1j4yMUFaJCEDnfVEjjJ5pgcVINhQ3
ppsGoo+7UKVaef+r/PZmslALOgygYGaeLevpiDocUE+/m1wEr+qqzDYTwiaUtI4DK8m+vn+437w0
yT4mJBvnNv7g8xXbJoA1RgjPRZbdvItRiwQLOJ8/7BF/e341OhncSZxeEI4/19BZr8W1Zjb9jj0y
uCExE5FSQVO3I1c5TD3pY7EgtgQ4VrGZorgkEUArNoTiHhdiHf7wvP66KQfpzq6QTTniqF/EZpOk
x4zBmy+Da3KTxE687buFTD0EvnFJKFHTl0zsHUb9dY66//0zfj6UWlfobwKw1d2Ggu/8XqNJHelG
pXY7CHLJW+N0DBUIPBmu+1SzSnT/NcmSuM1omCKYYtok7LawQjVraGuXrZPkwQTM61IkBnohfRhG
xtmx1X9+/3v+ZqEBtwWxgkefOucc2ZooGHSwcrU7e4667WguYkPjlYYshrs/nJLfHAqFmok0zqEN
x9n5+e5Ikc6g1HDa3bBE6LQQlN8uFXxsDBvqf/CzqEGRGdprS+2XVa2pmmXAFtHuLD3tbj1Ls7e1
dKIjODK6iP9yXt58Xz1+lE/+ZhHjSLRFKBEdmlpn9zwS6DirR46UGmocRkPV3Jcxyca83RafREAT
MTWxse8f9Lenkv01Y23Yrb+AKOJYJSE0sdqd1DURlExomB2Xetip2CHePxSM/1/fEFQaOKaZg+O+
Pq+4XZKtxnjRuEXMTgXjKyVhuGliTgvUxKgqArvr9dCmJkcUYohJ2bJzHOfNQuZ0eVu6Fg8XDpbF
O0S9LJ70RuBnI4nLJaq2IKoNc2ebvJJWr1zmjNj6bZwU6zABpBy6bH6SETh27bqhJ6wJq4+hgo/+
NpVg3ussGxAjhI7FeaI92KO+aGFhMqLaQvrDzGiQj6V/8MiaK5Gg0yyJEfGodnJkXmlEa6BJlzz2
Ra3JQwFCjazWFHs0bLFGuyiXeVZ2/ZiL/soqq9G9NIdRRre4DYpqy/9WJvRyhK7OzDSwk4RVLsz4
0nXwb4TjqrbcjlZb3AtYxNFFVyn1Hu5oFfky7nRS4pL0qexhlvrzaNbZAVBP3ATuCDBrK/NUxpuS
0OLulAm2kyn6LYxKOwRPHsNWYcmZbBwZqUeE7JFK36FsMJGVWCt8kULWfXVIZJUMY4Y5WFyoWPeN
leIbIsk7kzdT5Ih7oiW7YUM2qOfcgSB1iTaUAjg8RSzqKXf20q1JmAts49VoGBA67O2qjlfUpojW
9h+x4x7wdpBqj8SToKMqSmyePSmcGmKaxtqX7nhLn3c7Cqt5Jgiw+IDRSb0b4Mn5UZnNe2Wddxqt
d412b1u1/XZOnOoucmiigpPEEc9AXjfzCTZIXm7jUUC4lVOgN/1rlsOvwrgbhWM2G1sS1z6bhjJt
BClEfIfO2dn9pG5wFdk7rAW1T8W84Hn34mNvNvObM7QTDmPJAN0Rr0trMwvDDOWLWQLyL54geWxs
WFU3FqrUDbG46Q1WgyUY1VQ7umWRXBoT14PdAsO5NHqa8XftLEW7TdOkIS9wjg6RZ+ZYC/ORoqJ3
AsIrrLDvneWWlJRDO5hIoBfSaNIlv87pLs2T2V3kqDXDRc2J2R1w+GWEDQYMocrjZCRhypW9iVzz
rlSSeaNNbrJdlm4JpDKMYaQT5LlQut4Rc9p8rNxePVWJg15zaG3cmUP31VZaBlmDaEKXhvXOqWvr
0CEH9h3EDAdwhfqhl8CRaFJc6BqCU6vRtrklP5Tq2H6o0miPsvseKOAHa46qzaQiievG6EPJwLLj
CUToJkan2gqFjHDQLw+55+KTjow0BFzobtQMKwlQu8U3Mw+ZOfuGOxCJ4qaNOzKZxpn3otGfiDV0
/GJeUGAoJHu3U7N3jSHdY6gt91Xpiq9mT3oTqeqkKYY5WvJFontosSqzNdfVLgb+incGpQvIQl/n
5nkukd/MoQP8hIzHgUWCofv00nDur6D0prRHosp3c+2AQoSYi3qoyQRb3CP/Um9mHohN9F3SgEA3
RuDABHiVO0hMwogfllUIoWjGllk+2ghF5zvvnFU8MTtL3uyNvNDHEEseNDFZa457UnApZn7uuIDZ
Cyks5YL2rIrhpW7Tfddxpvwhr4pwcUvxkNDVv9GLTH+I0IGmhwm46cby0vZKm3R3W6diIm+opRmX
YGt+s9WIepL+brNxFrU4NrxkPw2gzm0smySyZZOVGqcZZv29KfLoq0dzHw1MhTjHbyKhhot050fm
TOXXrulsnFBlr32sZgc5xdhY18z0mzWqagp72KK7gYrlwZVm9iJ6Pkcqxbwh7qm9WFaYeDpX5gFF
Vf+8xoyAAYKAsR3EyJ2QGF77AWps+6nFfrzNZ6X9gMc23ZN6PYCon4d8i324f7bqFm+xU09TaEdW
OYTj0vNwYJ23glw18zC2sfdnFFyHsbXy/2HvPLYkN7It+0XgghbDdjhchdaROcGKyMiAlmaAAfj6
t+FJspPJ12TXvAbFVawKVxCGa/ees8/Wo4UcsSsN+l3BvqnCntPw95JcvucuVskS+U5mQDpOVJyR
Y4sMPawYDR7bOi3Xa1BTpwQG8gP+V1y2Xo/+GdRTqz3jW+Mnem0RpBeJufBV3WJ8Hs1pUEg44+Qm
8zt/i8ZluWoksdB2avOujPj3tp65D6M0nWVDJdKd3DZNb3Il2q+07syIxplzk/TcqlHdVMtuGaZi
B2KZxCmP/NmbsmxXTwb6yxtuoo6birNLE747FVUAeitN2/d+THpyCHvjUWQc7ywvZsIS63nvQ/I8
IPuYyTIzcb07fftOCnjdk266YN0uujzbc2SzgzNVvK02TLdGb3en1siDy2UU7bvEdviKzNKMFs/r
vjVG0mMZJrABNzjBvicSZef9EEjxEYBjvLGXTiP/owmSmylzGIwrFzXpx5JDlyL+zlSWDbxVkVJ+
afBYbrdkLieIyoHaEiCW5jUr1BALnOa68dgaM8Idp4mfWjdFKuEMzVcXqspWkt1Hai/5hsYGcZD4
wKBqok/2O4RZerxNtGG86Ct+PLCM6Qn3LOtiEmcHq+XVra4lN0OAOARPNChglFQ+EwurK49EN6Ch
leia8m1WqPiUVpI/gJ7qI+xVpdzmS4sLeOE+p41Vi5d5pmlN9JP48BLbCeN4Lo9GL9erfEiJmmxz
03nIqnREQy8HuLcNX7J09OIe7mP7ZuWp+6AFC6iLtlbpDeRJzA7CrvvXkniXW98Vw7OOpOY+W0+3
2cf+pZMbkMjskQ8qtHkXeGBzNhQZ6Y0tOGp+ns63OsEVn/rSZHttsh2CpXs/vjer3D52elpfupbi
HZuluKdkn55g5oiPRY22dkLmJtJIq9L500NJgqQcf0Kzod8i+k2NZ74Gu9Ag0EJbVWlhhiXi3k7Z
cm3aQXTzsRpR2PLbuZIWDcP3lgYSVxprVnqDaqIxwgpexa1GrC9BqXPJudZBZ49H12r8OgzwlTS+
xp5p1CsyDivVfWpNbjzbSau2oxLGd3fMByTm5tTdsVosn42JgDdEcoLkp8eq/B0q8oKHf/S49tuW
w+LyJBd7XRWY/FYR4+Niltp9IHVWM89FytT63R38bBr/ndleSxgYX4iN7e4M6Sc3iM5JHwgGf5vB
zAEEkAbE1JKHcyScXL50WVbrdz0eXdb4pqicYzPjqqai9q7YE8e7dohxnaAl8OibSgv8eGz5Xxfh
y+u4apP9CD7yYLsVp4bH5qXV2wXiGy/Jbl1btLu2tsVT346EWy/pp0wa/icBNGAbj6317gQJWWxt
uYStPRMvbRFg7oyWCxkE4w4TTXtbyJ77UFrVfA+WerqlCIFua+fxs1kmdlhqzQPpmFfwDjJmkXrG
Xqbvt2oIchCG/okkOaDaVdvzsYV7o6vKuE49xESutTBeh1p0NbnEGtezEz8A/WiOwYRdg0W3WjZG
zbCxQ8F5dDJ5GucZBgj35pWeqP6yTrz6lKT1vKHUpwQMGP/RQn0LnLQ7QpWf7otmtD7IFD11mW6w
pPn8wxJdVLv4nSZpX0xTbr9Qb5MuCAPjHYQ1c6ZG7lI6y8cubjymZfCbDiNm/hcfEse9XqdqBzf4
4DZltw2UBpwg65oDUZ1v9P+qL2SYL2iZGg4SOk08CC47nNCbZxsGS1GIY6HppL7Hmn5TVHa7E8PA
4MtYpUezUre2X4C0zXPxQBSJy1IXJPcDqDfM7rF3O+hBvaExPROLGttvQRa4z66Q5SHLvOcp16s9
7VJMvjqlHMyEGSVrptKrzKdx0xjmMbYW4z3VY7XD56vvAdWjQsqQ76mRmxGMuyS8l1ZhMkPUobiw
X3LbQWU/NTtuJxbgJmd3mrhdgJ03CD7HYjBfptY2roMqWFAtVPYjucJ5CHXE3jmsXRdVLOB1OJ53
NxOMsXNGMcE+py7cQOoDeQPk7vvCqAnHM0Dt6y7nMshqTH1Yz2tE+G07pxsbq0E4taBTGCBsgoVQ
yMFzKegRyb7l81ScElUfZNGV6Lhs7bLB6XC36OaLzLRqx61I2N+CH42pHgWZN1xXthM/lUVDmYGb
vmAJzDetL7N7X+9xd1WWfyHmbE2oTaMUB8WmsHrnpmodSBWpCgyGFuVynOdmVSlrPHYqXyu44ZDx
tsmU38AlTfEi5QuJCWCA2ZaWaFHbDTO08Yrkyfy1Mm137xg04GmtNTyxFqKtgF9q020AJOFyppnN
rs4bgZAj3itOAfSwewcxZZ970yEeJV5tUVzB9GouRK1IlrUbtIwMeDa1EvKSvi/5AyI/gLIPXgNm
puxz3vqmHsIK3k3YrdHyuVen/mYcpfE6zXYPrsx7Nxb3e9w33Vcq1vJrSfoni5bQnqB0azsicpJI
ekN1N5MlvC0RMjP0DuRCzEKctpRD02E0iSw7aVaj7O3o6cI7eAVRTywabnOjqYRIzBrb3g3tG9SC
pp+juB6AGy9co04O7jiv78zOr+7cjD4yqecsoPDn5UcpTITVIk8/yDQlv9vUeMMOFcDJ6fPmYbZN
X732VDycN8jwuyrFq74ZNdc6lq3PEyWAfMzTkt7ZUhpgdBIakke8jOYj9TE7U6w2NnbISXxURSM/
4AvRRBAz4unCXqWPYpHxV13kBkri1S3T2PN0K8CBfDULEtdDEn20IGyXWHygmkQjby5j4EVL4QB+
6CYWBpFOqtl5CTE6OztQdDSGKeXySKE0T5umLpuHFFmqQ43ZxF8dw+E1QTuVPfj4gABmu9a5jIC8
y2I7Cr5llIPmgvWPSstjEwNze5Nndi0usgXryxal5Ih7SrUKHSPFK++8EGreHG0g3hgCYSFoewI0
KQEkE9IYMXsVXOapbuPe6iuK1jJ2OUsaHGI3BHgSfx37kYDNZCBzdRMnDrrGYeBThw7y/Fbhgfj6
42A6I4YseOyk/4ZILFGmeQbxRxv2E80exlcSWp0ripBeEIcex3T94KAfq/dlltPuQVmAx5Tg9eLQ
GnSBbszOgdhClIBzMfeyeXAUigpOIfNWVOLdqtP0HPohfasX+YVAxTDuK0Tp6VUwyvFzxIzGrWQ6
bXrlagZhuPNo7uuhrl8qI4BE7QXQN9rW1x9V2oqZ2BzbiG/sgR99MEed70hVzrfO6piTB9+k1pj/
YYAKOSfcu/T+03lLX4ajOBLvKVkkTPGRsXsBM6yoiGcxiu9ZLvJyHwx9xwAjWJkaOpSiKSx17p+N
4nQuh5r+30llQgNC3EgqOie12/yIK4ImSs9sJWdxycgi5p5iw81DmOdXWGEhLghhH5BVmQuJIDfp
aOlht5aQEANN0pvRBj4ZOSy/rmz0EzPp/qCqwbqr4FFcomXKnpclVU8KVtSPtvp/nUj/4kTCuk7D
+s/O8N+cSATI1d+/yezbIH92I/142R+oAeO3lSQAXA/pKNOYdYDyB27A+g2RAYhYPPhMhYgd+FOF
ClNgHY4xT7BXMib/5U8Vqq3/BsQPxZIFqwCl3H/oRjo3q38akGHQt6zAXPWg5EnqfxtLOSZAcpd2
wqEhOm5rEiwapUsdhI6Ur7NbvPs6Q8iWdLuoHqYgRP0s0EjNxck3uIV16T/6o1+cNNJFriYoGSNk
IvLY3Wuz661NqWv1xsvHIJwHAt25vpedbVX6tktaiz1YF+xaJiFh4A5B6AXm3bkZQWRzvcmppyKj
86ZNYvCZJBnxzENXHuo6kKK8EK9jGTwOTsb91DZm6Dr5O9Wovi2J9NoUxjKGzej1x3bsXw2f59tC
dbzJ6VFF0Oufyb6+x8f3PtLd5LXta9lknw1VOlJuL6P9bN4ZKZ4OkyIc3NAkI73vXl12xxu5ulSU
xs+rEwKdJpCZW/hMx773j7CbZRQLDg2mR/alFSlQefFpFtq0cdm/bBq/F1u9401JV+PBjouDn8Bh
wJ9aZUJs456/GkFrhmNra1Ea098fUrgzuY3JqCGUYutCbwnHwr4D9yKj9ZUQf/xNFuCZheVSb5BQ
ik1bWnB3pLHcJU15F8AajErBR5aAQmGqdXx9xd556PhC592xviRP8K15NHhseYKm/pxr6uPO6s3Q
iWe4ZFB4kg00mG9xCXEPsdhjoOsyAgnXhgJberhGT0MY9P1No0PCAR0gHmM/LrBTuazQWrns2oVV
UvkcPQsn9VY53tE3tMfzRZJ1M81LuxPb1qMpZcwsbyMj2V4PHomNGUOzWIcfunM3ZnypJC/so6X1
wc7IgQ81STWdvECa0djyal3yt2BBrhHy4URuhBl5Y5ozmnQnDhMX1lBWlD2Oc831/DkFBLMjQfJp
V2bvDBg59wv/lsfOtCG4sd4q6Qv8CQ2vqVa0ndH6W9Oj76N3Igh70b+ezzcLMg35kssKyP3CaINL
hgxnTn0HdWZw/fKkG8knNzlXtcvf+nRyKBe5VAA5kAvRyfmpJB914/r5O9MZzv9EF2Jsi+x64HB5
tvc4L5x51XGfeB7NCoVh4YpGehsGnnj1Ct7QhczODcfF5HM3ng8GI7KRESN/2hbVOwkMZhTrNKZg
7jkR4LkWGbqIT3MdGPdE3lOltSpnhImcxJJtS4aDafIMa/RtxVYVX/rId0hSceELjRmzaxLp1bGX
hJJnRoXHTTkr6zJTlO/10HCVYcmg510XV77JjWrpLAT+mJZRMSclreLiE2tXdjem8O7W2wtcw3LQ
ie8gV74k4KpZ66yBB6hecbrtNGDzkOo1W1GkIqOx3oaF34Tnc6tV/HwtpuFB7AtLCJdATUZFSK5I
G56vcjIMll3T9sFeJHYREf4T7FzIUWgWuZzPF8B6hXOL32X2Uu+tmWWMekRG9hIsh/NploMia7Ln
MpoKKFcj/Zm3dmUROSk/ddH4rHowtAMBQ6xeTvYO65xTYBSfCQm9ZLNw9+gad3NlySA0a+ASej/U
l16mT9fO5Ox9lb9ruJ43GpEUl3FhFhFZBlk4LLp2QMpI53FxjMvZQ4QEfZjRBrm6l5oI+HTmAay9
1VtNGgb+tXrDjmkfpCV9FzZol7GhRhISLDf0JBTSvocS0ZmiPypX+Ei2MB1MWaXjLETrorGtC73E
YHFTnDrNK4J9PJh3NHT9Pay4ed9KFpPWHscQZyIxcyNfQQ0Gd5HXNsyFWMEqj63MeW0yA9qK55t2
zNjLaIn2yHunt1A69G3v2HfmvNo1Yw3gmGzWxw7ktbmb2HS7GecPesUWbmZ9SaU3gbkqPpFec2hm
7oDzsca9wZwAZCNqXc6rXYPFsCcpthq6AYopB98iIbG3bKOrrdtgZPfj7rPz+J+rIY+46dnxkVd2
srUy2xl9/80nkSsi4xm0YOc9V43dRIWW3mpquPYaGvsWFsnTnE3sCDRIcQYWtVmPTAS2qG4nDXcQ
aY9fC2fN6XGpCKCu+oYgPWbpc8gqDfy1Ng+wOOrmo5MU5Vb4qs2v5kQMp4zMPn9j0RuIqdsNe4Ah
Ak8eyqu8TdkJYYGFDZB4u15MI7zbAvnDhJdVRIudtga4/U47tfHwpjHb+MCs+83OdJqZiTUVn35n
aYvLKrFA42L5VweJEGkXVMUUtJteI5Sc7Tv3fG6P2jbhUbQ1DT++ClSzaLsSAiyqX1IcvSOtclEd
SL2S2uucUIemeG9LitPAQnjel1T73Vx02bUzuiZUCSxa2j1D1eKUeu7jT6XY/zKk/0XktNY17AAh
Wbsem6jgV+1WGRD6wgh0OHjZPO/XBlpW8HCxav9x6BuLy4q7zqavt/3nz/1F5vPjc20AB6br656l
/yLzCdjJzswNhoOxDhomJNHAMYqPWmkF2NziX1Q+v6gCfnzamj9i2kRqIs37q8ACnrlmAyQcDuXM
BbJWAgGQyAiHgf7jd/13E/AvmwC8YBz0//cm4P8QHt3Uf/WhnV/y+wYAFcVvuIQc4gh/R4f9uQFA
2/sbzhP3R9rHGbD9pw1tpeLzKv93ENlKKRO/Y7lXKj4+Gd7ujPr+j6D4yM//KvXgmsFKb6x7DJ3v
8zfPFLIjIabCVUTvtaTksg4oCYKRfhu9g4umHVcsfP4DEl+QLVfpL5K7zoiKM0ve/AGWxwPBzrTs
856KgRrpjKDP3LrF4xwOeZ2dFZqTXVP9K/a4+H1nGC9KgbeuHZOu07GnGmOTvVnkUMv2qi5nenMj
428BGKytL504n064+0f9mGfufAUpN4Zx27VEy7mvmmjGvaLgXyNBAQzTgbvMK5LX6H0ObMIdBpap
y62CjAX/LFAoRS8LSW8QKTB9CrfpQi/LLd3pfilG501vzXVHLsV4lbEf6SMzlWoAxDpkC8/tRC/3
9TSW+2nsKU2coMlAsySdd80QliVYzDrObE0D2eO2s9zLvhgHHgyMR9PKpi8S92qXL4hZ2CzVvPHa
lqcPMMbjjYms+ItUs3GvXIJQ0W/kRGkKgWU5aWf6DSKZl40ooHnl2KZeJWO+53gBRxL2SddOx4lC
qdjEvcMPtWN9MF/jMu8I8TRQk5gMkm3YUJGbtB0DJ6OHHdwY7ZayUkVICmllMABzji6K92eYMtOl
KRHX7rPc7uivi14vsYIAayeWedbvOp6sJl7cam/JEjJ346ySijO+U+S5xkyiGr0NO92+2eqDTbCs
y3iWQKh0OyXj4O9MpVSkZN6EVWKOyW42pc6BTpCTgJ8s1SfjCf2NKocukcPdCBQpg50Nq/KN7k9g
7gishFvaTO2DUYPuhDVZvjZ67m5ifTQUu45EkuubJvrW7L0bhpL9djDTOCJJgRzKNsWPEerGZIxR
kpTdDkHMFKVeH9xMTtdir++HcOjs5JQG8eRtGqsqSJ+1VnxmOuDKz7XmSCaReZSVRy0B5PIrd0M/
wpA3gncsOZB4ZyHHYp/Ijnl+mQ1H1VfezixHj5Y4LOkH3x6/6cihmCT4yzb2e4bf3AHZsfFaqyI2
bKL2TFzfuKxchiJF6vhfVrrFfhQpiEBHLAYss5HdmcCobW1F3D06dtlfd76+vJeyQjPTJfPzkLXV
IV5wiIeaBjAIouZisV1aHWnNVF93yLBhRDQ5EhdzhL/vCBBEBnPAJ5d9CbveAKpSkCUvEgICG3oZ
l/eF3ZqhQPSwH2W1l43PdciMg1GWXeh3jHRQCMjJCnYNLS/FygLB/YJuXc5kRLY3dGMDyjq9/A60
aT4C3mjCaY3LQZcTbOpYfsv1zN4SDalCB8jtYU1DDRvbfJvU/EIeH969IgkmxGKm17MtsWB/lZCb
KEMH91YJkFt8LHF8w9z/kMr996n4L09FB+/0Pz0Vw7eSbklfZ395MP541R8PRp5+hoUASsd/7JDL
whv+3hkzsFrz8ENvZWPeDjBn/qUzhliG2oqCJ6DO/L+dMQt8p8Uben/wO/8jTs+vbiAdiSXucHdN
GkNObK5VwM/uQOx9TdsxzL6mSxJEo1pbvI1FIi3iLDXeQQyZT/k01kWk64X8Iht7fMJxB11ZBHX3
8tPR+1+qWeMXzen6bWwdyCR6U53GoMsR+fnbwE9YBSjDSFutNq4TZHL0+73GTUGZsUHajMoevnjc
yGAZK192tI57HnDk13o2NByv/gikZG4ZAD2DVlUaTzTCGKrOrhN/hzKP9Oufv/HZovhTY/H8jfHJ
rzYDmpyUF79848xLObezvCYgOsFERVP7aYTVZe2kNxP9MRL4gdTCo25dPHdmjSx0a1+NPaOIHk/Z
RzoJ6M+Z1jIKkVlDZCM0NaIZe6dg+Njk6W0xBKdKBKnY0mUNnomDuCBzhzkh7Xf3CsfkWO3/+Vf9
/TR4tqXTiKT/Z7C+2n/9UaSLJEprSYSoZQwtL6HfSwuPoCA0HOge1NQHD21slK///LG/lPmop1Fq
s6MJ4Niu/1i/1k9OVUefEjT2SX1d+4txDb17uK4xvmASSZ//+ZN+2TadPymgC7zG5zE6WZNifv4k
JAfz0vFgvPbxrb+R+N6Xe3was7kp2jTSO7JoQ0uf6bLklqOqf7to1ovi54uGX0kv2kEcZrsuq8Mv
H+95VpYm0Mqvva5w3mCyOW8FIIhyTwq1iFzSBhj3c+r3quyUuemKxvsuSyJoCeS1aQZYvU6HJ2+K
dTxaPVl9awK48ef5e6uhgdS1pSL2OUA/fCCuahn+RTn9qwWAw4dPnmUDTARhBZ69Vts/nSjdHQhd
cWLtyhji6i3rJehIQ4PPaG+sea6Tk0qz4j3xg/ZyWjqyWRt7ykIU3d6nBIbThDOuhRBp8Pg96y3v
Y2Tk5Z3++RQT2ffrUbYgE1kepk3W1hWl9ddv6fZ+pveptK6o6No48LcoyxesxuszGp0eGVNTp9+N
YCuHTZqmXtgbNYVj3+7L9VFPbEh1T9IKz3+vVMmLypkzU+FgM6dgemIw6G9jAkcRaK51RCYtaoo4
F/W1WguNbi05EmA/NErOlYg5ptXBoWq7N/PkNplrIgfKweuuUYk/ynM9466ljZGhfd+CC1+Q2Ss/
vyzXMoj61j6la2lEmAtVktJTuyIwmuJJO9dRai2pjLW4WvLpG2hO+TCQdkq6aiU9qC/dcLRj03zs
UkMV+xjCa7ZZyFp4pztHFZfVnfZ1WEu7thXmkTjf9mhgyvzIxhahNOVZ8ZCdK8NxLRL7tVyc18LR
AApw06lqimzVdzvjXGGWDHWScFRIIBEyUYRWeGS2QxvcpEAwaXkbjTzwqDEVo0lKWF965etU6emF
2Qftg2NJSl3AjqgT3QqLogurVugTXXdan8S3TJP+Zq5FszjXz8u5lq7PdfW0ltgomFU0n+vufi3B
oYMhsKXUJsNzrdCpzanWmXNSuXsx0gTvXM/ba2lvnav8nno/QUWt36l1E5Cd9wP5eW9gnfcJk+VN
l9jXEVCQUdnJCgZ/Rmeu/8DuZJrLF6G0yauofGk5Fs03c65yaSGgkMPQ6teykHSeTsjGlv0YDDI+
VgTHt5vcZMCuexo6rNliuD1wDtDVdzqt+CWtMAvUcczzEMAZyUhuoRI97EvJHJhGIelOh2L21Jqq
UwbyEuWNxRWlYgx3imYq8ggihfL4ZuTWcROM9i2iXgMefbWry6wPNmXHw4tMZfqVKFmwXjsbpPgY
uBtc9+ClgkHFO1V6JZCwmKqA9KWkWkIfF/8S1uAtV+1Gr7F1ErT0bgXqlipqksz/RBVFu3erNyam
dNsf/GuHijU+1ZYnPScP60l0y3wQbM36NGoTJFhMmMalY+Mj6mw3l241H3Qh6EIzzivp007OXO4x
oWYakzXbfNHaCv2zZbmkVvAfXUPlopO5BWy3fsmZZlRHqw8kjXjiHO4ZLVjWjm2NaVykBLMw7fJS
tr97RlNt/cDD2DrlCRG8u6HlG6D8ZaQU+QZORSKC5lZdVf7Mpa1xq/RknBjDqWeaWW6TmPC8tbPM
6cw8sYpJkIcu30HSBe7W5wtUlPkVGjCg+fYhybyCAKuCTvmWpCX05UOMCEJTfRvc5nii7RBAQb5s
KiJDtQugeMQdtega+LqB10YGJt7miLtD4SsI7JQtAX+3MdBeAdvrEjJHJ1gHy0ZOmfa1rxHvEQjO
fWRe0y3PEKP76CKtx5nYj+HabQNkdjWR6FfOQBTPPhFewQsCfAjWLs5IyP2y4BJJTyiXy2knlLMQ
ySUT+Wgzxn9DP4+6wGemZe0GlNVWJNyFXkJFwHG1La2uEKGv4ojwve5LqRSVRZ7k44NwXPXe9ql1
GD2FzN0vMKIhFYh5H6ds8olMg9G4XqbWsu+EdIxHQ2r8hSKu0A+lMXtThKwnR2M+maaCictE4wZf
SPBc6916ceY5egavRNl9i5JI+qHerc2RVNV8sUaw6F7wBAueLbBZVVSxSvZb3whQokgRxOZt3g9F
cW/6tH+Pk52r4Uqi46b4xBJxiyXcRRyuKj66aZYFlJ1ZyQXlhLf++PWrK9YnvleLvBDBKr8CRTeH
Ki2aYgmDYuTWacukyEDseKsoC9ndW8L/x5pqyjq96QybuBTws7izjymQtOEKt0QL8xqt2rSbANNb
EQhrVEP8O4wxfhELyBQYa50s6+oZGXlwIsg28xnGOQXXBYHeb6q2+BpTDzXQkpMuLhLK3JyeGPGq
Dz5Pi72odeO6C5LuC4ZP0o1IrM7MUwOKebiI4aONW+xKHT558nP3LRYBgOBeN38rysK5nQahM13V
CSh5QSudiEOFjOdzXoJ1Dck6BEbsA3wrysw5FTtAmsGLhl8VA1KbMKewWebmXqWoeaW4oF2fO1vH
hErAsgeOYgPiOHjugaQnUWnW3CaQh63gaMMI775XLMgzM3wuqUitKzZiJI0jOgENjXjIqO7CQAPv
Mk0pJbF5qUUqk9d3+VeCOIJHbaZMPy2B7I0PKfDfbCrD8MZjppirRlNlpEtoK0JbVyV8qkINzMVu
aVCrXU2zVz7kJIttfA+KfYWx6bAol5NT6IZY9i3avuaqdif7UpOwk6IUtfl4kcyqTUPfEVX6SCUi
PtBTsoywdIpxU6RC0SZUo9/xFJi7hzLpjOzVaBbLJzmNCmx+Yj6lBbwZHim6O1qRnLS4Ve+0hbQx
LD1m0ccMIcfdRL9g2fdDJ7IoI2Rl2RBEllu3E4lGRGy5GNgQHIy6e0Uklz2FM9WNiJgqctaUX6P3
7BdEshtfiDICbj7127GEH7df/I6rv7CnxNvOMSaHMKY92r0oZzYe87MojSdd8My1XonbOqAbshvM
Nsh3Pmo4hWXsC/pmxuCgH0fvyQHerhifJ9K+suPSH++7WKz65IQrOmpRTXY7Ng607zJLFqAy+za1
bs1JL91jPDUBvwuvW3JV9Br66gpHGWzFuhrkVVlCMiVwpcA+m/pFuoVVphOdZnPfz8xbSD6LU++/
yZ//f6A7k0b/TwX831RGpJj2yV/7KMaP1/zeSPH134hoZ07xIyPXtij3/wDdOb+5QKfYznmutULR
+L/+AN39NFHQf4OqQlodXZhzhMl/xLXTf5koMOdAysSb6fhUbehFvzROArPh4dT4JZTy5Isq0mkj
BWJH5nSvdOofeqDE9Wou8yuDaEDsnYNH0CP+M7ka0bAOmEdLVfNRrDa1msKdGC6sa/2s06Ne7Wxy
DPrPOQa11qSY3ZrV9qatBji4Ffq9djbFrfY4q8S81/pZtovhoUdD4t3nq51OLdm28GV1UatM8W5k
ZVmq6yKhmeZ2VljycM6F3VjdzMKkX73a9nL8e/1q5HNE7GwbT3mhQbLbo5kFBZFrWP/S1QRIEOWd
Wm2BQiYvrs1tRHcb291qHpSrjTBfDYX6ai1E1ISja7Ub+pYX2fgPB3yIw2pInFdrYoVHEbIkbVAM
tux6MDBmq5WxWE2N1mpvbKGc7p3V8tiv5ke12iCVjRWrxBkpcyyS9mqWzFbbJJKeNxOZ+uoFPCFH
5SmSsXzkq91ykXUScVY3arViVp3YSbyZS6PdxKtZc9C66dBaGP8mrzHug9XUKdmYvgD/2VWBulsM
Wd0XzLIus9LvCcoDm1HgHimveuJXVWRCJA47oiZeB2wpd9BAUO0IUiMtq0Zr3yZj/8AMOn5gyOlc
2MWMcFarnP6QSLdjetxm131Tqtc4QJMJDS94niqrqDcNGQfM7rHWpWPAI1OhBqJB4d95SjG6KS1q
kNLk8SItv/3iZTkDktwby+eacJ0LpwRyqpslRUd9lhUbJS7cRG/7Sxxp/pYV1ODgBSbjo3TApCTM
tj71IgY4uhDBfGIfixS+I8erI9imYNZiNHQudEbsFzOuagYbXv7VMxExb6c4gWVqYho9b2N8i4S4
qcqaB6NojGvLnZoLe5WZoqnPv7ZtTBuPkF90sVmxGLs1DDZCozHdzs6IBojiqiZOwp4oExhxLaoi
EkCqNcwAxty2J67trdOt8hlYq/7eD5511NgykQ0oJEe1b/ibdJxuOYBaSJedZxw6LuMRQxokMclb
AmaZh61eJ/OtmXBpOgP6r4MjRn58NyfzvYeyL9tUjY5Vwx2QsTeOW4QWoNWo9Uve0IBS2DERhOE6
00nYTrJqv6Tcf/uMOOKVs4Z2JZ4ycrK9FCBtaxCryTMG1S2Pyb0xWO13Z8K0Eg9Ne3P+ZjkIQH83
DgZvX5qmd5csKT4kpyfm1opT/86eVv/dymstVzV47dTDo8htFUI4Br2QrT/87IYBFCGfvInsGJ51
TG6ckUVkCwtwjvRAwCRTdv71fKXljuTTFphaw8aYMUWc2bUE8zQ3qqWZukEBjpESF9czmnDzRdWr
WVpWtnfXO4l9bIp4ujcQjqOvwfpgJoNnH9qRkzoMdn1Ci8VZM9HU7Egmlh/SSwkX1Rv3hvSq+aKL
DfM+1nP/XnVaFaVckcVmCZz4a2BixlMOBFomJFDJtdHnE72ZjWeZpNpDs4BWW1yk9V2C5aMpZRCd
z1alINdmyczeQBRxLUMD1FvY5By52bOdS6MTdozybE02dhPefiCOJvTKiat+4R8Yzb8Q7TeHZtdk
ociXa/Ldrsduvh008Th2DFFHp/laU0onQNPDwL8y5YB5KLlNR73YlDI9VHn/6ajgIrCwPUhk97Xp
3U/CwqKQ7qW7PCe9cLcUL/6li4sYhypR6UhlzHZuQt+sm3vJc2zYmBbwRiMz3Hsk1k/CyI1rGkXQ
pw2fhjOTs9Dw2KFn1XydMRRWU85grDlZtRffskmabozJpLpqEizhynfTvdsUyOWC0Y5ot+PcAl5x
GEfUYNIvunSrUe2SQxuylfje1SPIYgDAF/kyiKg2K2JMTedbb8hD7Tt3PCbhkY+Dhfg9ib9oifkq
NP/bPMCzXGraCiQUSpA7NbTBypq3uHPwqlC+j2Hrus3DYNl2iFxx+ahGB004Jv8VbrJrJUmq+dCe
Aq/AbSTT0HEWTnDmGrupG+JNrub/Ye/MdiNHtu78RPzBeTAMX+TITI2puXRDSCUV5ykYHJ/eH3Xa
RimVltD2rYE+DdRBtUIkg8GIvdf6Vgo4Vru3R3Z0KON36TDmO44uht+zCK9UcObroUjnxJAWz8sE
ur4sf9XU0RZDUarnFOKdvWDiY5G2VdqKwS9Vy+slkrpFq41/yJW9qWLXeY91jHYcQ9RnB2cgeZjp
nYSa9jKOirHmXecEZtQcJ9sClzNu2j0VFLNedNPEemB0mR8mk0FznmbPckJV5AW3dd68RSMxfGrh
jpcQG3pIsSF+b0DiujpSMBAk03d6cU7S0WXGmn9gWtEOtgPt2phGc81ZvaCV3CoJGWpptTIbpaPL
rVfvjYV6Dg3jbszLlONi9dJmpU5GTeOt4Jo/qQHySLXka+9hWIA21/5WTfVXHREaM9bBfa9VADyN
tFtYmCjpQIKvEKZ1H4BYXNq8htg3ivCJEkgDstpYSZgo50h0wzWbBPfNdKzuhghm7T4d63kPQX7D
sjHtcd9LUN+LTg/cAVxOcp84Lc6cxszfm8BJ3iXSKbjwuTPrjYnC6si94pveb9KG/zbMOdxOUr10
gqQ8UL6CZRTV7KyMGT9TCfey6qr+uVDH7Lnn4EskKEBaavfjQiCIILLTgBKayxiLalSQ1xlg6vcW
9pCE5x3neG3fkGAzLIh2RtTt1e3GDetc5ZUIH6Q9KFe2JtxlauDK5CESaRSIUFl3adKeA3QymTEF
8rSytipaJVPPZ3Boy8uSo+fe5Ji/DjjsU8+qiWcFCHeDiS1O1hO50QVu3EK5lKFr7dgppFtNLet1
PFCJpMlTmutIDH8KJKlXWh7K+17EPWGeTv1o1xL2A2vhCu8JBhqnR/ZnVjFnb5LDcnZhWFWVvVqy
gFUa4XAlMKxlJWSCoXwMMNdrLr9WBmvFzF6dJnMXjQj6q9RW1AsRFALRWym2tQ5Dqu1TQurJoxpA
f0DJ24Z6iNnGnX4lQpTVKik6KBl9LZYTmbTkRjXZJjdVuSxFam6ncrqAj44+Dd/8Qm+DuaTTdNdT
yh4v7cqGL1fnXo09SJE6aXrfNVLlF1LRS4TwzXvvkH1c26PceJVNAG5GNrZi1JxAqZiuWkEuOdRG
fTZK3/AFLa8KZ8CX7LXjokFt8GBUw3boh3BFju/taBvO5RDr6Lpdl7TXQtva+FiWmSbWZVeG7/Uw
IvHgk9fVZbbu4qRdD+ow7ONOa9D4NMEOPfJ5HNY3ZmBZKxp7yW6c7OEsSEDk4Z9WolRb4x298VJW
V+3MaVG+zjBhFBjVNs37JDwYdlKveIVnMD8XPGP6CUoJ+SSENfz+9D8wf+eD7D98UP6tD+J/8kH/
HxuCAAZ3zgSw/hMQwHebtIDcnpMDmo8UgSj9iBSwP/IF+Bo+Ytg5oIXoNvlHCIHZ9rfkJU2UD6fm
kiSPcpN0lnmBe+mpnox4PVX2DRlxyjKZpLyJ5riDDL3RVe0QgdDMYQjJHIugNZq86OeohJjMBBGO
OP4tYhTcjkAFZ45WMD9SFojkvsZNpp/j6qpvwjmMQZ9jGUbyGeBpB0SztclLP4c3xB85DpS597lC
tEOYqOoyrQlqQiY1UE0gAqKawyDwx8Zb1UWdrxAUYZEYMRlstPEevTl63y3MOheXtpYus9L8HaH+
xvhL9MQYzikUyUciRYhP61XFkfjmpFZy3s/RFbrbmL4xx1mg679Vu9ZT50rIRNpFJ9Pd9JGBMU3m
eG6C+DhQEJkeM9RCF02U/+YAGlLw1muyNHo5G8EKAktikjbqOXJDKnX+5nRzDkcfSEmFNO42Yo7p
YPtir3XszTe0XKcle6AbY471QBweklo1h32oplevnDkAZJijQOyWUJC6Qgc9fSSF1KPMrtKidiyw
OESJQJ0hVSSYA0YoVPEpUL3Z0cHRsGQfkHnumxvOySRdaGk3GJrdRxwf1a9pjjCZojnNpPtINrE/
Uk5atS/uipkZYs30ENKMy03DwkhBfNrFM2Okmmkj5cwdIdC4/6XNLBL7A0tiFRHmBiQ3JV7KkikU
silJPhAmxUwzwRk4k03kP6ATds8S7snwHwqKMRNRsKJ1f6KZkuLMvBQxk1MGECrpzFJpZqoK1t3z
VLQ55yyIK3audtfhTGExZh4LrRJ2t+AlFlYIrUXM3JZkJrjwi91z8AtWjheVGyWZA80+kC8fpYz/
r5/5QT+D4NKk9/1/lpVevMTF+9+usn/+i39qPrb9XyBiLRTOFFiwgnmUkP6XrUz7LxXlMX1dKq60
oym//FPyMZ3/ohc8wyXp8LvMHfq+/4hKTQPDmYMBDBo2yAedmN3/8d9/D/8tfC//Uac0R3/+G5A2
V3j+6uKjSmbrovJzZlos4uQjlcQI4tKQozLxYV2P3toaL9zk6q+7cUIQ83UIDkDUqxAB8StbH2zv
vxrtQd9mbKmxYfAqksVNruKIZtXmlv7ve/5/Mcr8W/w1igg8cOARozjFc6M8l8O7/Ikx+tOF2J+H
cOKSgnzHEO10cNTDGBPi9Pr9Vcw/4tPjcMmahwDpmTMMEunK5yHsgfJ/Ry/cJxeV3bfiYYStykNO
Sgzm1J8kMl8u6GM0T4NfDjXhC1Wd3uMgLQA6/ljSiVPhbS/inKZAFlb/hKN8mnffzjOGmuPc0DCj
IMMi/vnC1AZfnj5oXFjkhncAISDJJJ12oSK2/EHZcST8MdFHMxQmTqjhBIZ4R/cQ8zX7Z4OhClG0
5yluRx+3zUim1DQs6nDIt2XHF/r7B3fqVrIjB/mLTI4EgaNBrZjjvwJIzB9T7iLEBGuBdoNinsK/
vh/quGg7X5+OZeFDYAbs4OhWpoZSTVWlCD8fI+KZs4Djk1Kzg0t1FTVGJurrauQUQBMkusBXPfww
/rwkHM9RHbQxTHY07/pcEv/7TcMtQvcupQfm5tS67IILtOv+/vuLnC/ieBCEL6Qnq/MSeYw1hOot
R0nlxJey1raoAYiADAmausx0PIkT0moyXT26lQQlb74f+tT8MYic0RHcQ3eaF/+/r8+zzEELdUP4
CSbKdWVYkv0t5v2lo6hZvTDCCD1BxLn3+2E1Mqi/XLSmIYqEPM9HAVbD0Z1tMqVKwo5ChqUU4jci
cbVfxyrWP6dn1bGCNLvBiIfvLGuDvdGo7YZKDI8gGVAHDl2/jSshHvSIk/oyJmmLSBXnoFtUJVbU
EPtzj1PkpgwwCNEk7TZaF0ABUXWirWYn1d0I8hsXmoOt3wZn5ZbVc+5yLnLdZg2DsfNb0CCWVxOU
qniaTYg0rv+s4qSd1i3ieYp2Z7Zok12kZs6Z6k72LyV38NVHRHLhvFTsMyyx4xI/XLOOFKsjSDdv
maiDBKXWpu05Tv3pPpb8MaoinQpw/dvWc2cfxJycXaXuVtT1862pN+dI+eT9UIw4a4NW2yqtk61L
QyQ7M59LV61mbhA30XsdKu3CVdN8Dd1qoKM9dDeoNfgh9BXOnSkZ12Rf6OMC3q92QVgLn8KEZTcs
2+gQJF3/25P5eOgmo23wow5MA6yDWyWe3vvCDp4QLotklXvZdG/3IL9W/aS9CzHgHrAaU/5RanNA
+Zlk8sHTZ1zGwKH+0OEaJniGG2yZ2kU5WmADcsquS3u07FVeBfI8swOsWPG8FQ+swqmW/H6kW1vS
WbZZolwmofkuG8Vc9KNs35JpuDcn/d0rPOvXoANQMFslfpJEr+2oiHBLRMSLVPTm+yRLQaI420k/
qVkxkqziIVjBJB8QW5mLHMrYMhmcdJ97VvMQz1Mfu4lzBjAyuqhyhA+GJbQtB7/owGkowUltAI+C
RrcBeKduS5RD6YIPTkiu3YgMgjRionMzTHcWnit/Rvdz8Jrm3NmEXKPcTf3EQj+RllN7KysyeSbh
NUwMN7YOWQhgR80CbOysvbRtynbdeWC2XMjb0aKeS/854sGVzrbpEllTkuwS3c439Fw4cw91DJan
FYF2Q75LeBjDWL1NCo6cbPZj64quQrKNYLYiAhPBawAxmJgMXQku9d4rg2UaOU67MLWCZkkQmFeg
Bek8haO9HKbQ3ANeq89rxdHANk3wsTjdXweKAZh0buE6lDvOe9N6IMd7OlAxRsE0WJ3qt1Ftwz4S
BNi17ZANyzSOglc50N/yqr4E1KG0yrYcI/ePmaQIj8JALhul6c8EYRKvEd3vddjWJuG2+I/WSiM9
4ITefD8CNbVXIEDeMvrnuFu6AUxAWBF63Wgj5k5PP8/C0LxTh3RaB6OrdQxmaVvXKcTW6s3+ydWD
7rkIrOig5rXqd6RN2cA4UT/GTowxP8dT91tLG7nnvJtf0gfrXwRln4uiJWNl0CbjDuHWmJK35irr
AbLUWa/TnjA6XLwhZa5rUjyLlzGy+oMYEZ4MSSQvUXvY5Nc540VTe9ZZyqFwq9UWNdZR2rfVaKB9
nEbSSXrFxbiq6gxQg5eJaDAE8iBoDBULmEwEwxS2TQoLPYJNF/TqHyCj5KlHWRnd1jj236zJbnwN
3Diu0LwBYK9Zq4Eu6aYaqwZTBHW6VVPFDVmKkbkm6bk+y3qSsTFx1hFYspwiGWZJfqYVRDaHMCdY
6k4x7fltwzsdKcN+pG54BpmJkGcrIJklsZEILqw88XYuh4UNaksbFw/h8VbjlRvOoCVwgFDZCugg
+Elsgznhcm7ecEDAdzwKsVM4n3MZtTtuAhSIayeAWQbJOPOI8ga2Bw2BDY5egOAp2AS8oueTLGNd
eqB24G6jRB2XklXgOY49uLyd4/hSR73qqJAedEp3Z5iayUmEsY62BhrfC71g7VU6RUOyD+FZfxqv
pVHVDP2Vp6np/uOv64Vt3dLCEbtxCHN9MVlOf9Uj37xq3BGbtZvSqWEOQxMYpbsytRCIy8eQ8VSl
bB0azKftqJOjZmRSfU1T2Tw6s/0XBjt/1RSGso5nF1lRhclSb0L9xiyG4FdiRuVDF+fYWLy22FJa
R5A1aSrfajVfUun2sJe16d4u2xdMp3KHHNhNIeqgvQFzoM6f95TFU3SXQOa4fUUEb0IgObuw06G7
0BQZegtycge/VDxU1W6lGTuhG9S5VLfL90lDiBmiS5v+NZy9CS/uDJdSB3vyPTq5t9rQqE+40iZM
6Q2Prspxg1sVSeQOii+Uq1XLsB8Ew2HCO4eKBxCGUyt3VWz3PWguHr1rTNp56Rhi12ZG9ObhVd2n
WWLf5sK2zgJifHHzw6KgddHNb7/ibjmIip1RKelDj35uWxS1fevVtrK2TIHsT8piG6ZYvikhTH7j
4ftWgF1d97ajrAFyYtjxGogfsBeuDTGaLzQUsnVRMcHtwEz3RGmgW1RNuaY6WrxTzmt3eqM2d5Dn
pgcmUnhtkwJ+JZPWo/9B6q1tEtAbi6rYwpKwnyRnUQmESw/OMwRl4xLUu7fVA6BcRMBNh0lRu/cO
w/F97lSw8KVMtNVMRvjPc0rlEPwZkZeCGjD6jWpW2iVMYGzpQcoiY6SYPQC6rhVriH8VbeOSjNsN
G0VtrUdscOYjHBGQa1Y1XvKlsjdRHSmrMY6VlVKZke8EQXkxhYq4KaO8WOsCiY6SGsPlx12X9PEQ
2rnulZ6qG7UgMQVpZ3JmkQcBDzMqgQhMdDGZiJvBwpbpkP27LrxE7vJRGuuqzrXlIFSTl9jxxn2L
CvQqcLVwp0FzJP9unssT9aiDp5gu+wqXiqAbD5dOU6BAJvx3qZmyq7FJFukVzvJ8ByPJfvKCoNvK
QMW058Z8DNXJ5PFP9XSRNlSuaRViSus9DGrqmEYsgRpJu0r8KtJxuGRRGHd6FRRXjpgmBJwWaMCx
qcYHeH2WRSenp87fjs3G0VLvPPNowrWpk1wZaQSdydDTvdnm1lnST6BJnV5ZB6IaqLI2fLqdqJBb
py4VcC1I+lMc6SJAc6VFWHWGrNt5IpwQnYNRvCA5pdCWhVOUd5gEi03LgsMeqHCaMyTakqIbbR/R
giGAQk5aAG2efR3Y/cbQNWXEY1Aod42qlsQb5B07ZsC2i6xj2VDDhldTWiQXT01sJbAsYDpQES22
UivgSbdMpxyk2N7wYu1VDc3xwkResTL7Xn0dPVdvF0OMF10xoW5EDS8mQQH6fhr66SAg2+3t3hzX
rhzFDgdGV+Eh6Kp6kXt2h6imK1np6DNNB9UeeOcVI6P2HPCHO3CxIV2sIOrOW6kky4C/eg3tpkhJ
LqkDn1apuY1VY9olbmBveyht8xXBlB30Jf3lCAFsrFPVj/NbfUhpALhJQeE7Urac7aUADTbqzygI
8fAhQ7s1OmPMFgQonYVBd91WIzZJs6b1kijvbo3KHkLYk9Fm2oIU7uCcy0hXmVqyclphIzauK/o1
ZBt9GwQxvkn2JWf0EBDSZ7XqrNkhRvtqsvKlhG+qV3EJwMPOfzuF8ruZrKtBp3WsD+TJsG+rd27k
0Pec4ru+RIUoXCX0Wa223Ihuqc1wtDDgeEdH7kkpyKdA24erJKYBtXL7MJxxgcRzuFLZFVZFWJdT
cb1FhZsSAhlKGrzIF0MVXFQFsXRph67DjmEH4Q3r2u00JdFz2KI5SQctQ8nTDh0s6am8rQhZRLYQ
qjVaST06ixK7ui5oUD4pIVoWvur5r0ap2t9Af+1bRxPmsMrcKt213TjtZ5nR1syi1qeJYg2gbmrz
2nTFdJ2ENpz3MAaAkiOkWg6DQOM92TaRziKgGRdFW4RUyaarU6pxahbvQ0r8qBlk/eqJKT/TPMXw
J9IsPdifZWigRXBBEaegCV/Z3mu/Bo7jFxpSfAT1ulUeOrxlNONR31wH04gKeERJQ3cH3RCQ8ZWe
55TIU0+J5kYUTxH1i/UKgK3uaWhP45WpyeRQwPXYtOD8f9lwe2EjaJF+OaIB/5VmWF5SMy4eA+B2
9D+K1nhQ5y+kreUkiUdu5A9F0Z5FsWteRHkjHwtpWP4g6x6+btidkaKR/pYYqpFnaDxcjPXBdedU
+VveOOqyQ7j2Atq+1HlFKmevERJ8LiQncOByKul1XWFy1m3AbIBZN+/RC+TrNLDAJcZdF12WyviO
AtN90qHhIhiZ3CWG02ljNRkdRMQuC/Z4E5/CKCc7vVUGVEqjYCVLssRPyELAAu2oPF6+tvuRUwU6
NmNa9Jq7CptqWjVxfgd15GkgXWsBlFoiWVexN3gjh2KteiRS1VilNpiihWo6dUu4vSe3pWcTZZPm
5bmcMn0nRMBWah3mYxAaSzOt3FbxDawXuc9xyVbeaYrMrRhh7bTWdh9owBQLzp3ullPMDECNoWwa
ijzno5hds1VMXgbNKO+TOq2fqrYanG2FBZKWJvy+dEt7MbAQprKlQYBTHExDgxfclPHwnApb7wBh
9sm+09v3sHd7jL/4dYAaFWcGO9vfRaXaS5oVzcpW0kt0wlm5aAwl28oUh3bPozpPaWJjGakreUkh
MLxM2AzBCMuSZu26Vn0hQgBTjUj0G97/N1kQ0tTyTfMWraPT7A/ktPfKpr1GZMy5gyToh0E0Bh8u
R1tr4KwPTWWUr5TBnk36js/QIW+nVm9MqDooYbDoa9ukhgIkK8VY8qplt7gqe7mMolrcWCqszWVg
Nxs7atXN1KEWspjxvuKW5jaKbOdcT+2RxQUx1i7KPc6miR6+WiPMHfLdSxQFSkhjfXDuOOrwPQm9
/DnIHXVFwuSjOZj9GfEU+pafgmBhwMJkxuabg9wOaZQcX8Mp6HAA9S5NH2NMLjxv6redmO3lxGhs
6zAZCF3xuClG4DyCwTLv4q4Um6SNeWGFhxkKkTXuM9vbWIq1lUaErt9zHliQ06uhmux9XdvNQvbS
XldZEbyUHuL8TPQuZUIjuSRLBsDQbFxBw8LudmhQEoRdX9wUUxOyw1WoN+dyh5UwP4DatK+dmvAU
O7ExW0Sd8UcLC2LrE+Qeoo3JNyui9gp6bXROqJx1i77HK8LlOAVK+yspFLwFxPwQd5esOxTmqwl9
/iEIWtvPetLoSgTP27EzslusKSr4LADPntepW5G1dyFBj0gZVXtvzARz2YtnmriOn4QRXyw2gnsW
UsXPDa87Zyvn7HszDy+bsE7Z/wJFayV9OIxT1atRJ9UvaM5tzRGgjtJXqAOJeqbBfT7DypGsqJaQ
OIHf4q7VlWFcKp5ueZdxJkIduGBdD9C5y4ow94Iy8tKNhHdZjCK7K3Jgwbk1emSTNOGqooR1Z+vN
+zDQ8lMntiqiNpCpTv1vRCX53sqAdLCp4pBUEzKL1CABJudpa44TPqrWZM/7bz05uf2Qh+yNzaAM
fXaFGXRu93ejx+2qVEeEDOSE6Ghy/XawXxyOIBjLzi2B1Utms3aSMpHSutpv08v6M3PmQtk1AQxq
WoirMND8zlOCPxFJUdcWSSGHZvD+1IOpPIS8evco9kS0shriDhaeGAIARxpCz8Iqt3i42rUe14BL
SVFauAUVgO8LoV+roDpdJ0wYc3MK28SR5dFogBw6MfVXhyy3vZZ393iTJz+0Od16DoX874c7Vbk3
aLaoJpFY7pfkuFDUqqa4I8PhyLmr9XrLCWBY14Gjbr8fSTuyzH50JkCuEnpFc8+msn1UWZ6mf4ra
2Fn7381HkX4M2jfsnMNCAUR1QV1J3drupL5EwXyi7KnHff9LnKreA/rC7m0akCS/dA/oPYMiUlGh
gsI/AOunpIfD8YdRTt1UHuFcw1ZpfH5Uuv/qxplDYLZmTg/mox3SJQH1SG8cFpoJqu7fXxDsAQ5C
QG5pMc6/yl9DpegIINT3dJaQ3qz0nvQBt3z+fxvjqLsTW1K3eVuJNdTlxWSLrQk3+fshTk4O5p/G
w2F64IL/fB2el7i90BH9EjHARGhVfY88n2p518dPkUKrBR2jSgoFtVa02uoOW9lPrZ2vr56hQjKC
xQXBgPPLUQPCtKrWUEqv9kNtTuQoJcxfLa3PwWqjTay8YvX9RX+djIwHdBU8hKVrzjH5q2Zv5Y6V
Ufs56vIz9HUHJ9KcH9aTr3MRoJELxJn6jo5PXT+6sdDqJmi+tR/LsAW/jpQMVtK5k1DQ/P5yTozE
RUBpIvnLgjp4NE28JiYyCMO9z9KGSEVpzozRuatE8vD9OCcek+aYUKB4Vqxc5hFjwK5yXJgCn+wU
YyjIXhQ3g3oPL6kOfjCgHzOnWLKMT0MdNRs5qNpBPltyW9I14GKb4SLvHSkXA3Ktdd0V0/1o0Zi2
KIKKVY0lcaWKOvhls29dw5aU64QW0FZvOEvnwqAKlptTurfcpNpLY1B2YR9NFzCPqOrVhYFUnpIx
myuJEQ6W0h4PwHDZly1lrLG1syVnbYQ/iCF/uNCZU3LUcKSVSXFf5QXQDLLpPs8SuOgKsZMt97SJ
5KMHKPZS69wbxOjxSz61zh52Ok2ULPglBtxW+Ek5OA32zrbzdWzRntHqKl3q7T2gbXwvuJtJirmp
evcC2TjuyZLQqCYFQVnHhgPwKUHsF/agMgQonL2SKLgczdL0aXD1KyldiKwD+Sac453z1ETLkKQe
ybas1yuCcZaTEw4rkyv0uFu6wuYR+PcrNvDih4/WiblG+KiGgoNvFt/9o7kGE6mmDTtyXxKlOe80
cnh46gN6YGDwBIQbvf/95P7a+UXnSFSfZcI6Nrzjzm8NnKXrq7z0PVdiUo3LfE0AFT5wo8LW7Iby
PKL+cmfGGGy+H/nE60tbW7XhhbjOV/EFur9OiVq78Dnrjk+d3WvPmMu1O/IJk/fvhzpxkXR5WY04
8PC/4x46zRE2nWNb+EBUKI12GpV8ysGIX5NC7MAyEB/d0GUbF71O5e77wU9cJ/sqw6YhhkSCZvPn
qe6kYcvZsyh8FPaQz9DEhRgdZz/4P8ylf6H6wO3G++SgMHLwrB0tiBwEGzJHk8yHkvcIVKNf6S6y
VpEZxr+epmw3EEwhjEKGodpH11Q1GGRAJRA3rOE0mmyqL0Zy1feWjS/Hfvu3N9BUDS5MB3dEK+n4
s4XLBvhKVnNZVm4QXzMSOt6PFHYbjEw/RTx+fQEZjK0NWwOLrtbx56umQUxWQc6VKeZdZCiP9eS+
4Ri7C3v7hz3I/C5/Fl0wFPocm0vj82IdfSlzI4rHQqEba1QE/1Ew8eDuAw7pEB4W3Z5axU+70dMj
EsuFjG1+6Y4/L2bluOU8Yq11+9SrXkoMtoZIcS+QKoGZS/8hBffr3P+gVQEGYtcxE2A+z32r4dwh
Ayf1lbbdw9n2TTO9im31h2G+bmzmYdDIGK7D7uMD5f7XphQVN1HG/Gi/U3TlTsHasqsI4Fl/Pw+/
riKMomHeZGVW7S9I0UHRB4gAWuoLkAQLjnvLLGn/OIV9SGpJV80FAERuyfeD6l+/lIzKwuFYQMJY
LY9etSCfpIf+JfU9a6QUlmGtWhZVijzeo1X3gTJuRi/TF0ppptHSmTyiNBrV2cqhDncZzaRNz7aI
cMX6Brso+XBVxeZg3hbUJbYttDH2vaf3NqbCxvrhtz/5YOB1M+M01zOPHwx9ySijvJn5lKgQUI9e
slcGih3f36OTswxdpQNcRIfMdPwimTWfEVDufgETBvNj56upduc68qddy4kX1iJhAFUlKcGcYY9m
M5BmSNkFC9FQGXSzg2g32OpPfLBTK5DNFoBsAw7l3LvPo0yJqg9hq6QoCBo8rg6fqcGCaY5r/rVL
zH+/i+bMiEyUTwaieYjAn4cjH8juUF2knB2Dt/neidg+5CJ4/P4ZnXp5ZvSvgySXg8HxNB6atCDj
jJcniy33Oh016uyB9UbFtdyI0HJ/9xlhIKhYmh8+VafWPBSxJvtq78Shh/qJGhlml/phqF/JQnmZ
knBTJQ8QT25Zrn8Y7dSE59hD+oTJyfKLWjDjGh2bUDC/Cqt0m8O8PPR6oqy+v5kfSdTHnw5uIikZ
JkQtNAyfH5rX6kNrUXfzwR6oDzF4j42C4hjpPuYxCvROf59ooMjaUnZXNd7HSytzjG3kIuyaxoow
+zCpVlodtOsMf9+GbLrkp9PtMZmPwwyFAocTNm+mYbH/+fxLiqBRMVPlfG0Gk1qhrF806QHyMtxm
FzvuYztQnXCIfjzPCiN+SPuuISa2fI5o6xKBLvdVTwAcVSQ8V6NSkRHMdXx/I0+8azS22ILCT4Me
d/xBzBx+h3hgu90X01s1aXKjViiqAlIhyvHl+7FOTETtQ2hozYpVdt2fb4eujfAOXMnWPtDeVAoO
q9xSX0iBLnzHKxICLG35ww7jxEunaZTt2dHwxfqibwbAOw4iLLm8xHqK4lBZ6rTuKWYKjPL6WN/X
oq9x4xWd/++vVdOQc1KRYoN4vFKaiofmyG1Kn7PaZW33ZAyK7IAsGXhOGj6MrhUuvh/x1JNky0YZ
QNc4/ZpHyxjvSi8bk1AORQ3h2GgdrcnCkIe+9og8tTlIfz/eiW8OF8geyuDDxmbx6A3MAwHRpuTW
DjMUNzNFv1Lrsia6wXL+b4aCYW64kC4R3R19ECrHjGVecETTSB65tjKMKcKR9lncatoPy9epOUrq
KNMTmNdcD/48Rzt0McVEZcBv8vaujcp3y6rv8JKKBe61AyE18l8fjljAMF3olqajIz9+AbWBgrve
TIU/6RNCH6e/Ea1YVbMp/fvndWJhRlsMbdyg8oyNY36ef20RqwkCpRpwBMxC6xGYwNad6rvvhzgO
h58XvE9jHM0JT0nSxDQZA1WvtjBhs+0bq7Fu9BYScZAB4olDtV9YvahWjZ2E92UvHBQDNGxaV6QU
/1okUQURfcAPkcEYmgY4ZyQJ0ZBiP5lmdNA9XNbFiPE4qMj3yBsUGpxuR2DSIaQNy0WtjfXw2tIE
gr2EHt7N5OUoLgqtSTdl3oit2tUBRAv0Y1dJprI7LGOs8mksrqLBibaaaIh/t9BpdUaUX3SK6Hw3
9e7iEgwXdzjd5NSKxCJCLeSjUMoXZT9VayJRLRSDaX9emgb5FpggN9/f3lNzk6+4ozFPwKgfr592
3RD/YjM30Qq+1IN8IbqIhFri+/JyHSg4xb4f79Qbzp6bzR7le5TxR++CFZHxY4QjEYx1NNecLns9
3fWy+GHz+tVfALsD+wSFP2oE0DE/T0xzSCNDDF7hoyQ9VFUsEA65v+v0nk7UBV3pZWvpz6Eofjgy
GafHpUrLHeVwfbwh86q8zqveoiZSjtNTNKi4hISpHFC7q9maxjlnnJk2tpZpV6+yAqWQAt0N84He
kVyKJCrplZ2htspGkyapkqjDmHDVFuMHbSwvebW0joP6gB4odaZw5UnNpvbiTKtQg2iSmlDdJqte
pDIx04WcqnBNGHexkln1jvBbu07cDOgVFuENji7+/3yyllEjk7WjOPpDbVg/PYpTT9w2mGMefgQe
yHzL/lojYrWxSPnrCl+VLyO+kMXYq9sUDMQPM+vUWvTXOMcbIzKY8qz0CPd0rUxdFtQbICBG6++n
76kPIsZkTqsg2jTbPfpqqKT2lrUpCp+mkwt3s1hwGH8s0whhbTP+YDo7ORj1Ss4sHu6240OELViM
oLIXiHDsnJMogEpiYJGBIaiU8Q+379RCYFP252uBZe/L5jcbR7zQSCl8QhUOeuPYS6KzH8tMvAND
PkAE++FOHrNrP9Z1h1MSB1i8VM5xn2Zqqoz7yz4tGbIIq4eu7d1J9DudWvyqNJTIN6takuXqGTcx
iYf+GKJsDsu4uHBDN91A1R3vHXwBaLQDsh1/uB+npi3P2aCMRP32S6BLPwSNkkZsc/q6eje88CHS
u1uwiT/d95PjkL+D2h332pfNQdMpY1QhyvE5iVZUc+RLMSr9qmzFDx/SU9tWilO41zg/ePzz+T00
eg8ZNwIsXyIch7K5dvviIEprn7jaVVbWdwRS/VCoODWB/xryeMOaTGaGUEfNfaUnr6st3z0zQ+Fq
70XZ/XDm+GBSHx3eNE6kNMnYPnIWPjoXyd41q2lwcpYZfXyWUfWnJ/N42WUauBltjn4HVr7MWZHX
pDAjOFa0WZ4lUP54XfNoUlR5DGBz+K2ObBlrC2aDSIpbmA7lyi2yjPTRxt0MTu8+uBar5sIuGlQT
SjOspnQubZb6H7XX0bSXJFlV6nNStpd4Equ1ZMsXu10PfgU/f5uP+m2F8pKPPbiv79enU2+xNzt1
KXEwb48bsFlWNSR1Vuz8qmk34fxewDR8tCrrjJopGcdj/8OApx7xbM/AMehQbD2+7VWihWPNZsiP
aw8MR9USGjhx+l0ZYQA8s5mFqf/6Evmuz25jDyPOl9OlZ49uLnUj81Pvf7J3XsuVG9m2/ZX7A1DA
m4gb9wHbG7pNU2S9ICiyCG8TJhNffwaoUreq1C11P96I86KIUhXNBpCJlWvNOWa8QDmUe0Uy8bxX
WS2+ZJ0x79Eh/frXP/NTr/HT04X2xuSiskQ52v70dJFxXzCZLco9FORglUyDe28n5P0Rr0smd10A
lDJLf50twW2fOmV/gUyVAzmWPVqinTZNSGb/5pf6F01MVAl0fZZdm1xN88cVHUtnJr+SFS3mCD2b
FdtbVGnWFuSk2AUg+kKeFORTTrEJ4i5ZKWYyyK9tY/3Xv4j1L/awxReOHMPgmGP/3CrUkUa4EF2A
AlQZsfOf4ubUKuY7BJagz7hd3qHPkCTisxBhjLN/Y2hk+4QLM/92siZ9q6AbPyc2hbfZz/ozZXG1
Iz770zaRg+sLyKYbkm8KRSZb9rix3SwBPKfZ606r+n3itt5GJoO39uOTWefWfQ7s7YZlixMFXM38
JfGh9xe696IPoMX++gL8q8/PBAwPOhyoBX34442g3ZYVEJ75/EUu7xP8uUQCy/RLamjJ9r//Uagv
0RrgRue18VMBwtCpbcvltRTUVrJuWn+x9BD0dSRoL/7y1z/r8779/NQv3V+L0yuvwZ+P/+ATi2Eq
Uw4Ho0NuQs/AGMfHbBu7qKnHdeUVxsmo9ei2l+Z0bZpafEc0T7CyraLZNZXeHT5/of8K33CVvnW1
qD/6/7t82VvdqC4FIPGJC/jnnx5qxKflX/4TQJfXryCNfv5HP3xbMATff7sFlPnDHzZVn/bqbvjW
qcs3gYb/d2LB8i//07/8P98+v8vf4BtMWljs9P9ACfwJ2nn12qnitXr/I8Hh+xd9Jzh4DrFg3jIY
hiHFSFrnGf2d4BD8QvWB7ojR3NLn5+n+HdoZEBlMMciaXkr3PxIcLO8XagmOVzRbIYGCNP5vCA7L
Avnjgwbuz6VNTsqYjozmTyZ++JxZVyY54IOYHPMwGu0KNmGsHktD4pOInb/DICzL5Kcf6JGDzBuL
3/zPHWUyHJKeFEKiuyXlLkheDD7gh3Z/uAm3v32/PwIDfj4N8rFQ5S4mfoet8U8vx55J3dg6idyr
HsvDBLLqLq+7EQui3Wx0bSpCQ9DisttMu4jJk49//eMdwpl//pi0KU2sSGS4cI9/PgYPg/IhNHr9
vi5cGOESncqWmHP8kAglztJMuqNEqit2iKFLA5qPFYmwa1IqJcGU9b5GkgRMK/IxNBIlQUalgS/B
n6d8q8ycf4sFBBq9VWgLaLvBIYidUCgHWpdSH3QWcrgvfr6e8STsExsjZAR16EgHv33GUqh20Qha
CFSMQQBV3bK3hTRcCWFtpfGAJq+57iaGTvidsVVZGMYnVzSvflmmOmLvUYGi4RONVTE+FQOhoCL7
DBrFt4w9xzdWUw25LYl02t+pal6MWOcLJ5kGZ9EuiaCuG12C0Sv79SgaaN5cKqKqYkBqxipi87V2
ZjzyMXVvSfPFo/IAtJ2wUlknNw7ybNoyASIzrCSI7L20u6uL0YoZL6HUznoPkJeLMggaUkojopzW
FlFix3ww2ztR9tERSY7cua1RHD4jbA2rH58yvRyfoMy799wdEzIZQXeVSXT84Mr2TdWEqMYelUc6
VeoRB3/9Mugzd6Zlv927i8femzosQBDUz66hpXtSgNXHhEnmUYc5/6j0TnxxUWmfI1JeDhh3jAdS
ViidehJfZV0H57KkwloHWWtnoV0i4Q9d8l9hMRTNRjRRsZqq0dzUrZlfGjdB8m7EqHXNunsD1ByE
cY5AkLBkeo97TeIJrOyhfZOkyD36Wk/MajoUh9rn5ioPFLQcMtDjwoJ0AVZPFIcGZxqdCwJVPZuc
Xw0I5SVGwrd1/aS9thFArYogHr/luiLqFLcdvTNYXdFo1F9T2Y5PjDvmq6Ad+VYWsLOm5N1lSD5x
QJjOdZQvi11rnZvPjG+bGK+Nay8520FSrkY8BSUs82r8ZuSp2qnUtG9imztBwqwf2lWj1iSe2SD0
m4HrmsfNqwePayURYGfrXmpphb8iii6uHrVvDJ/nq2pK1KPJi3RX4UEi+q/Nt1pe9WS5ucZDaiPa
ThZDh6FxbYndwdY5LJd6eUQLUv++qY5PP2N2iMN25k7YLkJy2+D5J+aveSGJNToWIn+ZNDEck7Qr
b2L/Q4eXRZyIVroJB2QwhIlwvuI4bp9NlOtPscmzie8iT3cm1qi1bRdf7cgbv/W211w3mcNDKaFD
yoQbhauy30at3dw0pWXfBP3k3AwqMh6qVDQvA9mNX3Gu8LQuGcedGdVfLeTk0Ic15176yocTl/nY
Nqupfo3hsCPzs5YsA6DfIOv5cODti4OohXaRqql6koCz+YourfjScAy/qLo3SKTmSLEyiNg4yiIr
V+6kp/u+Nj3MiJBdd1gluzeaCjq3qczBC+I8b5+NFLcftmECEFzTIuTFxd1pfqH5auTuy1hXU/+W
doP9kmLLyOP9aM2Vjcxy1qoNQjvSBVQ7RQ7gQ2uwLxgzsejZUj0aOIPB5Q2AMg3Aseu2nd0tz6Gj
hz1NeXDBsmdrGqrroQ7MEHtQcLS1/LbXhXZX68VFc4Zru2xKPrvn3M0dvSTHk9Z158T3kRNdlxgd
1iAE430MjvNQmvmjYHC5Abs3bAZb/Zr65bCxx+E9T8zyoFUxtE87OSQz86DKGJpzXY7TpnBGEhyj
uH83MJ1t4lSccC5F8F874yjnPFgbqgOO4DkxIoY4vbYhql1pQTOqFUS/o5v5Ry1v2nVatNUcNkHU
HtDdoFLWpL3CVOGEZQo7MCyL4iNu5p7gYFAPkBWAtgZ2dVGVl25I1QlOGRb+K1r0E7YVFiy+T+ME
sQxUduDHh5m2+hJNpB/0ShvhUeMuBKLvE+agmavG8lmW1cI50BEqmlqpnyYnDfZDbNyTm0CWNhHq
Z6MKrGJjcu3fRDNN7srhWIpyceYecvDoxz1+Pm/rGhAqgYicB2EW4GD1AQ1nYNAlDVxMgpHbgswX
b1Y9DbsYri464jaFBZzwmktMhJ1ZBTyP8ayBry0XW1RbCcjKXMtgGcivPqjqcLJyearInAz9Is9f
sCrU3sqVrtoF6QgInIk2qfeOj7pktEn9QEJ8R3Xmb+3BsbwDfUZTXys2ERzReWOKkITQ+souRHOa
5gjzO8lWBzQT5JwnCatKEHKE5qii4RKq3nCOjdvJx3myMpBvmG0YQu2nYm2NWn00Ond+bQrdodtW
zg9N1tR4ckWwl7MTHEroy7dpbs3rMRraY1429so1CywfLjBSIpjyjbAt+84TtJjraFEdxB12SB1c
cquNzFggiYSTA2bWDqzs2XNjvLK6mrZ2pLBmBaO2bUEZIJQt7wpD410OIeaQppa0QpST61iLgydQ
G8auSHniXatODv4oo00wRfZVTecvDQFgX8pe+tcGaTVHRbRqEdpOAOygdbvymx2319gPvHMg0b0T
DjF10LnRjSHSSfKrhgTLQ8O0pSWg1e1OxRxZL0PmKTv0HDjaoTkV4pSoOPdXmZHp3xrsRMXaRpck
13qmj4e5Jd29KbVuR+K38zIVAwzMOU+zs93H4q20Mle/MoQ9MoEzKiN2XjAE6aCjcoGPrq5QoZCK
nm+9xBl/rTOjJkloWuqCpr3Dd1OA7BureoNJPz1pctHtYk/MPB6/Mjmgn+/OQStqG4UtjcNwqp0U
l6IfiVWG9flGmVG6B+Lb/Go2viZWXaPy5d7o4WeJlGUW7yF0FTBLRHUOzMhhc276dz+NpoZZCUfo
rZ4LXjiof9UH52gI5UqLLg1TB9ZATpngRXoTrWMHsDYY6XJF/qVzM+NBv2h10/BxUyvZDnlKPFfM
JGhVUuQla9uVza+yGZhuJYgtcP7ydkYW3R5/K75akKAPOEbFewPFx1+bACupk8ulmyQVVEvKUPde
5qRP4L9tW9zto52vs8QsDjTuqzPJuvPe1gUhE/XEZtwRa0Nkj4nhNnEEL/egrIkBJzPlKTWt+CYu
qTQqx22u4VEuv0XQPlvawjaI2nbZlOdSffQAhMI0AM56CNrWuGUbrN6txuUUrMX4o2B9slXGS4BL
2fHrLMbzXWJow1OS6tw7o9X8aqWXndrFYKpP+pjx+QdI+/FiCqsptl7QmZYE+S7lL+6hF6+XBUwC
PgKNHYRXpVQfGA3SnZyjelNlaUBC2QTWQjlLlkbdWAX0rKD9G7XDz8GUn41pA1EM5yXm8n/SgXVm
kNdxrPX7WDPbY0QLdymHvYrIx7YDy7GU92CX1yM35qtQHc5RuM8EwPbO3x1ojJ972EuTfPlNLA99
O9S/nxotQ23VhC+1/d6GbJussCA5N57bm5sYHP1R2RSEScCV7WNd3noxsutMOLiN+/prHFU8mJXV
HoU1KrIYmvYZJrp9AxpGPk5U3H/TqflTz3D5ZRcvFjN/1Fl/wqnRvcm9UbPEXkstnRyuyr1XoMXJ
/s2SG23gqeNVxANmjDzxEENwHfCeOuaVrF+zhrrZg8jxW+zJvxUzf/Zjfzz4kr2BZ2r5pRCo/zxT
ivEOmuTpin1ZWq21QrOwGOOG9jxP2rjruiFZszXPG0WjKQmjgQoqazi8esmyTFF8XYDVt0csFSAE
I6d+b9LCu/PdGMdjD40p0roaSHBP/N3fHGb/xYOIucanecGhmnQR/ScxijNoSHoVJimJA3SlvLTJ
Nm0ZqG2t5JKfgDI7SCzvYzTVuIecQzydYb5i0oCSHxNr5FAuac4UrweU+VdjZ9ovY4O7Pp2t/KTr
pfXVROspsZI11XjCyO4fIqi1a53I+20qWdAlW8k+DiAu6UaCc1SW1KtFGZwpIOdtJS11Qr9CekaL
frtedhgTgtVljDv3XnM89VFCeoWsV9kQUC3BHgsaj7p3qovDMLCBEXxMzc5heVzZcc4/mqF4V2EH
lAaj61Kry2pu7yp02+wpeG3XNpCe56CkrWrrKU1pK282poya6xyJzTkbWmpQg5YDYJXxKZ61GJeF
YxZfO2vI3WNfzN54bqMp5iKlZAlpUvRy48R5oq+GxooKTNxWNsAtgO6lCXvNB6rMpzqC2iRaC16A
585FfMgpadbRvPyPiII+WuuCYc0qAhNPIpJDxX1iwimwEFuy4W1MTd/pCYnrUZTwieMqqGHEO5xI
YP3xtEkYOJqiyOc4reNq5CAifFt80eEPrDCaOyvhaCAyyqBBs9txcPMTu/lVZUO+7VJQ8sNIdaXn
E08keSPkmVfu8NSnxVevW7i80mhe/KkAP9updORQybULFj/zcSYzDEFXol0wd1sHgxcHESLkSETo
OSsSofri0Dt+/SqVVr/ayqA2NImHCFm2+dbq/e6WkyjpBi255XRPMeMXlfhSlZxlJJb2gy7Zjfrl
bFclwRLP3o/Typ4LOYZYAIetMcflARwLp5bKs0JqJ++utLrhSTcGc2NWZv3qiA7gss0JqzE4Pa87
EkU4YhAu+MXMaCi1bdFc9x6RuCBJ2E36qGIg4/ecjCLbxlVbOzNrREDKNyAh8Je9PrdvdSW5KuVc
gK6m3nRSe94zR2+PbdPSlTMZqIUyWF6hScl26SiPBlBpts9Iof2zMdFmgRhGqojRdMdUedXZBaW/
Y+aodhUxrKvar8YnRqEc7yeV7vylA8Sksrkuc/pDHmTyR4aS84fPKp03qT83L7lb3o7Sa37th57j
tu7EN0Zlw7SYEibUNt+0AkF+9/lbSzugieUjIOsI5FzugTUVB2NZqnLZ3/U8n9YNzZKvTivhDnYl
iZcZM7vNMKZ0RpbDayp1DvCJtNs7naA7KDjg9d8/38VNFZOCTK9HnXJUZclS9NLXsfCp01jl08GA
P80xlCcyxvzz52MILpRCIq5AkMlBg8cS0/GwhGrvPjs+lcXjgxetWLmgZEBvcwqGHpPuC5uCqmDO
eR4iF4HG0h7QYo3LgCybxFabBf/ZyJtTUFp5Q0NoSpKPzp/V1cxyq5ZIOYqRaWH4+THdK72R+aVt
kECFFMDBwlxzULLCTGoHMDMAbrjF8aQXBwlaLGRub9LEmVmCiCpowZF1Sfsv151VM2j1Jsh4BKFZ
GdOmAhq3AkkKhy6Ho0XBo3c0vhiqMvOhIwjFp32eLZtGmdNP7RvMVHMDfUY9VvAvwsjsioO2NFdw
tLGtcaKPjp+dGhzNOrlmMN1W1ZzynUqTZk9L8juIJ378Z//m8yUpc3q3VU3Qj6Zr33R9ybYgWZXb
V5QUSwC4mSF9PpoprcvGpjVELF100QlQPDe1SYq7Y/tnvxftc23QQzNETE8N+W51nrCU3Iw2J61V
rPds7hqxQHjW6q8SwvW609sAljr7bD0lXMLEabs3HZgg3v58MPDLlbRyXMrzPmNNL89z2y3bMMYl
cSpEQUcySD1q3rzjy3mJqlOKnOYhWbre1CXLW4AD2lfD55Gw50G8D21UvyZGFN94Q0PbiJjClQvB
BCQJfcjC5eNES/frs7z1ydrdgnzJL+U00kWyeU26yMEePt8NRk8LePDj5MZjy6fvRBN11Bz7xos1
h1fFFPjnNqAMaVVuPkydGldBCezMramEbY7Dq8TNjIfGBVKUDtzIgAbxQRU6MHRrqM6OSRFbLvcg
oTx8EYgem2031xTnk8FuZsfjk5ook5uc/pxeF+aDVoIvj9jHnkFUkeHjFtGR/oW7+mwJjj1NSx/O
0zGuEgKlJOWnYDdpVhxzyFPyJU9ILSlOeg47JQsbuIRFF7QuWBRKH+uvhanRoJ7oGVtpxFGhp3C2
oL+uTZrLJGN9BqMs26z0uBp0jtSpq+34C6d61YTKLJfzhJB0oToikjqaNo+NR9WuzRMti1GMXEyd
7S0ZWUd5YPHWcseGMx6E+IZExYuc6JeZBYFMh8p22uPUFDQRl60Sw5a56XIrvwHnCQEU+D1dLyB/
VhvwfkhombAmO7rTmDLUFdYNnEatN3zziAPZER1UhESusHDTgENIU9TNrzCjKDla4l4OWcUiS5s0
uYH093UcHa7avCTcmn7CUhlzrkFf6JyGxql9pirJiNOQCqwNyJCAumVw0usJMp0RTi3lRF1HVJCK
CKhx4IYrH/9MbtJS//zj58Ika5dXjGYM3Zsz8U5teKkcqrmXt+Ap1bZMMlD1U82CTqkqY89hk2HW
GN9gqkJiMTvpfNW4MyeyidQ2/A4fgz3X7iYRHGA/G8WeAKEC6vIyLVWAki1Hssachx2NBD7xdPCK
DMCEb7/MXZxA7qCY7WmobAbH44fl9eAf+4gEj89y9fsw8Pvs5zdI+T+mjj/98f/9B0PI/2ya+f/R
qBIBgI8O4d+PKg/Ve/pavf5xUvn9a37PF7R/wWbp4zvTmZxx0vvHoNL3Qc3js3c5//lMMP8wqbSN
XzwE6hjxORnaWNMZ+H1nzTOpZO7JXNG1gmVu7vn/zaTS/jSm//EExZEOcToHOgfA8qLO+3HYD6Qn
SecE1zfkQbm22qJ4daCqxsAAdbMJ2RPBDymh5pUYljdQHpvG2U26EugC1djKAIu2ifR0fPcGo7yZ
idP6GugZlLmYCEyAOoNWrmUd9QSEzBVw3YiakRD4GwJnXJIBx866IvgXX1yelYB1RVCgAHX9ew9A
wKWTw3ijj69l3aEmFkn+xD7YvdQU6BoYhqKadzmlwKsA/SnBkGnY3zQrJrcPtSwsBqv3aO81bpv/
mkAMjCHGLPudMruIjiMh57lsJfFKRTAA+sA6vR3IMbLXTmf60Mtq37NWnRVkBrF8mbVrefsA9SSJ
+2xl3uhvgAmkC4WlcK1VrhHH3Qh6RTX15/UgFIcOi75bHIjpDfpd9WL3KaOv0Y95KU55e6eaLH41
E8rtlIFTWBIPNA4LcngwdYIq/Ol6dmR961iqRo3ty7YLFfXVrpBpfu1bpbyzC+sT40mLpj543gQl
sM2H1VgNqHBtxZQ29W4XCQ95yFbJ2AqKnCVL/xa7V3OI8PPfW4qEn1QIsbEnZXHAaKjiKiY6RzDb
3jpT83DyiXqODrMw2uM4FwmhH7ETxGHqtN7Z10uzWnVoip6sshnuB5JOw2wwphki4Wg8k0MdPfda
Iw9IidtNVQXaeZoJmekrYljqWdnMMKOZAHpj+FJg4m8hWpfdeYq69pT4/vjBYAVdSKx6jbdjYS/1
S1XAbcQRQ3cmAL2FvGq8KjTZQd91h/y1XaIXYyEJoorTktAwM5vEVxBiCN8mGmHslOi2bysEPQbT
ZJVekia3vphxmd4Fs8NPw6/U3XNcyrZDm9gnAywr3ZihTnAx0xENFfFEZj+2+0kZ4yVOSoqWMpMv
DC66o6WXwbepm7xu6+plbIeGxWFsQ0xmcAkyFxolCZe19pzFlnubAGvLw9EnZjMMxJy/wRDApjUk
5G3F+lzSVe+NFcV09cB9zB8nQyS3nszElTBUcvQIPQs2Rj21jIYre61ByiohhGf1g2+1C52krzGx
t/y9Ucf2FUnsA/ULnadrTmTw8cOpZJXDSwNrmHEgAOS8cBToXRCTNlL+Nseaju9vgAmVuRdRB+Tg
nitdh7EWmmRRzvtyGgBGjsB+L2qCZ3hMnCQDDOzeGn7Gu832ML5aHMmV3QX3DLy8cSNgK79EUaBC
o4jGYu0NdiBWDAcgdpbCuR8GB8aaSo1+1duqJV8r1a/tppTnnqP1Dp2BEzJkIyguV0RwRmOOknjg
UWS9XCIhyUmEOFc8ymiyyrM79Hp2S+DxXARgGuZBv7dnQfgjdmq3cq5Nmpr7aeieAAVOd1ruM8yj
JJrIdh+PgArdK9rA3a7scxKL5KI6H4CQt0x+Dxxa2xBxQQxoUhR3U2d1l2LKJOC4jPhUKyg2XsON
tNwgRHaZ0j9NrjlzhkPZJ6Hep+cxw8iW8p0sDdaiF7WbIDVf3AiqnpNpR3Bn4dDWeohmlAGJq8Gs
boX9lDC3OESiq1cGlwUwsS9uUt1+CYYmhnpuBUybRu0qm41oHy+7tRr0L5XRN2EUk3aVq/dOgHyf
uYZRr5+y1OzVyggWjKpIHqXFNLDI6iffU94B7vwb4WPFhpSri666gNij4im2uht3yrLbvq2eoU5C
O1Ynj+DMbanX9/TMoYtIr19NOudsfcrHtYm8IacQa/w9ZJkcGV9FZ2EUrRfOiXsFG1wcO0ucemR4
WzCf4w6+r702hGIchPJaJ1QnT45djOWJj9fMLwkzg6tATvYWPkRo8hidXO72WY87M9QxJFx06qid
5lTazkY9t+pVPV+rLspQdNbAtmGaN3etUsHFAkuTrOO0L+5yyIM3btC9e3WiH/M0Nk5zGbSAvSe/
XDWONJZtlmDJ0Ofxe/DIGlpjFKnXrXQYHaeiXMdurK4LGtxAEY3ucYbysOI0IgiCS++cTmtZEtix
u3EU12WXl6sOFeH9WETRnWNGgNXh2IcObDHO2OMpiPRpTTWcvBYyegW40d6ZjTfdmjKQp7QT1sVN
g+p+mGpQn5Z7FF7JuXng0QG//MURCXYMjf8kmYxWOJiJDMy9t0mO4uJrgbeaKY63FgHq24Ej/Icr
oup6njZimIfz1COCQwkp7Gv2GO2c9SmY0DYp2wtJsMW69ar8ZHm1tXIis9kFUiRvNrkXsNNrIVZe
Plx4CIvrgFHxbbbADt3K9TapO4u1Yei3nk0zDvR1dyhny7ot8KmutUE1Nw7ED2fs3E1LDPk96D+T
U7eH9hdC6lbgtjF4MpKcrhWZ4nRQvGqLxgHApmO5Oxo3TJtGNzg6YlIES6byABo6DuGsuwetMNzv
2tH/rZP/RtKHNfyvJX2HevqpSP78gu9FcqD/gtLUo3L+oUIO3F9cG9wcIikD4Rnm1n9o+WzrF4cy
0V9wDtjfP5Wjv6cxEcjtLjU3IjxATMtX/a5l/OGg8890pj+K3rBk/6g6w1NJpwZhssXsaBnWWD9W
yKrs+5Ghv3/U21KetEw06yk384vElPdeVuN8IHPNJjsCeiqMShXl15ZVdi/w5AUbrSe0WyP2yExL
GjXeku0UPeUzy/vUplK+JX2axYdFLAZuFlartmpJMdgORhRsIll4T4ou0x06dFoSnSrpHiR4nt7H
UTnnsR38p4TsxC6ciw5FQc+8S62rWi47wHRIAjs9jM5YbLLEagfWXOBg4yst9512dvGt0r1DDGbp
OuM4jpy+tS85iMh5Tbs5+uitGeWNNl7lxSILUVWavTBXbl/tKB6/yLgtV6YSyQfhyA05g7GD3K2T
3m3jkie9lsoSrPRYXs1eZ0yIY2z14ZUaapEqI0XPG8FCguKIDi6HY+L46LCnDH4t+2wmeCQxIM8G
DVqE5q/YvvBkupHYkKaavBhow+UKBYW/E+CjPEagbnGvjCS5oWI4OPUAnzGdiniH28E/wlQbd3oN
jmE9lyWU9iSeiX2uksILlUL/ENaGOdDqgj4Qryu7Dt6VodMfYwoP7zYpxuHEe6BfmVHeHocozxYw
pEsHua4Jq2xlcOpmXmkOea8VaXiNf21Tr/Pih8twQY4Hu00l9T7XdMEpJPJ7OmSYu+h+uc19W0z9
0fB8bVWbkosTFOC1taYqbgwP3mHo07SEhqLqYRU73viM804hYIPqdSJ9j5Y4TGBQhVHsBZSdbtSv
Y6IgNwW+iRsooN0qlfSlkc6jebEnmcCbTImJ6DP6gKGbyPjW75sPdIdqwGsyt+kaSED9gSqisEPi
1ouJwJO5f6s6yo59FPnFU4Qh/jBaVbuZwY5bh6Zyx9eGCLZbTNzjum4qZwsVGdtqxlBua9QBBy+Z
GtPN3Is4eyL6JJLj3azR2y42xqz10MiNMb3QeE9uSzNgCvHO3TUnm3lCl3JtpV0lsK70GewVIeGu
V0bXsWiDdWnAITZA1b5MzuRSfxnmY+zzMyLRrrNivreFjDcTnWmaZIaBby+qjCWyNyLSgRW6GqGF
HFVv01Et85LlzXBI0XFv4nwKScoh7iCwaxq8DZIAxFrbLMlVqHlMaUlFxh3AlHxd5MbJ7APjqtaB
csravuh2AExVd85zY0c06jp9g1dH7VE9ct0HKRv0P7aK1pXf8QTatNSvNadW7lqIwVpZhKdtEY31
R7PsoJllFGCWDKbzYM3pemrLfNc6w9CHNTPWkyva4WhmQ3lRTBOqMK1dZ+dmVX/RAnE3JyzMvM4+
iG98ZIYfuoWfv/s0AdeZS9+/TjPxoDGvuy4msnRExaQ0lY5xz+SfXcsvqc8CYQc00Slpo9xMSEmO
/dVokvU7DvmtZVdPAf1wenksbK229lkfX1y3SgjNNuCnk0aLjkMfnZDzp7/vZrdcSVrHXO16egBM
kKz1UQUHr7bnDckm4843oc+5DVgTtqd8w6HBOXiOXQJACKgxY1sMVw516qZF8HtWpTN/sQrbhtEK
SD7JqTskzIijN/TeAz2W4dRMKIbZpAR7CmUKe2XqRNqbPsuaJkcezzdktHDlqji7nUf2RpSQ/r7G
T70fABWcJ0Mj2ioWsdxGtONWIJJJtBCE+gAPb68/O7NeV/qnvDNfmTYo1EBkcErQPCH5TAQziJHE
H4uLQkBPQstktiqOjHHB1TaZScLH14LgLU0VLxGfCV3LTejliliR6pyiGrnJhD+9jzqJGGOVzxxE
TH2jw1PHpuMN20745TOnEf826eNGIVit+ufMd7Ymk+ZrJ5fVjTEO6VqB9H0gzaz4EMruXzwjtu+9
VlZ3CGvjjTJafVs09nA1In07ZAw56dvS2djAOyL/BBzVcJ/aVn306Vm+WoJHmtH6hPi6xchoNIL8
TMe4EcLJVwjzBlbVpO5jo3R9zGVGeg1Umsqcw9pZOEW01xMnW42ZyNcEorBlFgzEApHt00hLbzVk
jz5Jvr63itnz1wR20yqJ+mQmb6tJtiUto2uicKLHhDyEBFmMI75S/qXEvGtjejbHXOzJXwYaPxvy
17If8hVD3fkB4j4avCjzOsLZYFCGXiseW3RC5zmJJsQDxNHRrtYX4EabXBx3MO6RTpvbuQaJoiak
4CuCg5MvTdsIgrOJ5UhETdOMjand80aXr0neFg9WgoovHFxDbiYEdCuwVDMg4KE/Ol1/1xPfkC30
UKPvn/XWXYpbxREm15+VFmMlrYHQp18It1uS5nvUmbyJcp00yLlORka01lBuBmNR91kjLIBGl/O7
34/uhtQNjsFdyhYM14YTTtctgsFEDbtJLx8mKdsdISfxhoc0AvkvivWAN/fOIhBmjdzxODCcW6M8
+w4S+t/6+G/qY/xkJnXjv+8j336ryOwpxtcq/aFO/v6Fv9te7F8YVPrYVBbPK0Zq45/dZP0XZ2Gp
4DcBEOBYi/vp9+RS8xf+1+JIMS1gkMCV/tlNxhKD+ZsJGX3gzzr6v6mVfyM0/dBNRoRDO3uB1Xnw
Tn42lBelJeay0dXe4UCo1oNBGjiA/cm6NiNZB5vAzBDTY3joyi0w9DagfUSOku3XhLPMkGYy6i0d
z1Ur+oKIvMBxtVBwbl53AdkOfXQzuejNSgq0tZ0O0gjnElPH4lsVS/ayDWewoG2tWcLAugrGiAZV
Ei1jqCyZEd+b9RPsiu6oMlowcFx1QAHz/BiZmpWGNjPoTRfoKHHoj7X3cd5JjP5tgB7MoJ0EFooN
fJUbNQb5GuPchEiUNhGJeQjEkmqfYqr4phlG/DbNWnol+ZpnR9XZsA60wD7TJIyy0PBQKoSwhhAC
AmjCeqBNzi2a4eI00mq+Seukvxonoe2MKPsf9s5sOW4j69ZPBAcSQwK4rZnFeRBF8QZB2yJmIDEl
hqc/Hyi7D1W0pV993TfdjJBJVAGJzL3XXsNMJEkIRw2PJjKRhzDbpR4TZ4Lssoi0iqFfGQ1zubwo
Ao43FcLMyl37k99wm4Xh0Rj3FvBFKaN+W6J4PFikEm3h1QUrPPDFcUDsetMZtiTwai5uGTVXNylG
I9cQpByyzzEnP8LAIhzOn0leG2Jvx+FBAjvtxmXJ6WFuJ0+y9zaZmtN16ZqfsefoLvrKeeJ07O4x
KCt9QobCYOFYp5Fiiuln+7Lp7ccxzyxM9G1/XxAkNa71HIaXDuA+G5qZrTHEnC9dF3zCQ+HBXiwh
rtsG8WGtQdQ2ZtZ3nr4h56/ckHVe753IvHH6noCTtrLsK4F8gF5BRZ+awh6vdZu6THslAA4VuFtk
xsqLCR1EWJkfg7wJLwKVlreu2TmXmWN9TgaHPMWK+eEk+2lX1lF4P/UA2NJwkdFz/JsVyGSWpekd
vGLzujdabxMSNnAWyWqfpXC9C4i6azINKshEVYHjha7CQxqE7q6XRfYaDMMf9HnGrnKwuFmhsRV3
LPJo1bJBn8HpLejrAnsrYJBsMrzDNwCVtxWrbY2c+BypImeeX8sN6SFPc8F0Fcm4sYtpqVcuuuLD
0MbuOuqjcCV6kRxzHRtPyOqiM5XHC3Kj1OUEy/jo+Uu1bMTTtlkUajgVxVe2rlk3LNthBcvb2qsp
Dlc9ydYbqoIwWyvZu1sfsQCAb7fMdROnivbSKaZIfPJDRhS7NhCDrVaumB3Zb9IhjmL/biBRl7DB
yQj8/t6yMne4d1tEwc7KrbNYPAqHtbA13TQhudL0bjufccvn0ZkLAqowLrV3sKtgoTBNnri+Tq4C
4n0+B6QLmKCVCzuMFK242TqiMtwnHBDL9AzlFNPRvJpTvk1KElO5bypca0AoE2e477Kkd+GDRJT/
UM2gs34h9KyZyw2NXektNIjWWuOJRui3bq2RnY2YhehLIZIIn+cY5irRm1XB8mRoTqk/zQJOhEhG
vr5PWxNt8rT0fQh+docqg9g150v/Jtbwvik3uEdBDxu976pj0pU2RW4ZZtgxEzwXZhRiFQGkq9gk
i+WhzHo5rc2agR7yYvQpvFhUGP+b+P7fxKmAPT86qS8Jt3n5I+7br13Xvp/74s66/OZfR7UMfuOk
lgyeXCAIYb7PGH/Drmws3nwXcShn9fujetGhOhzxLipZTvj/HNXMhC2wLiwYYbvCO0Hy+guwFmNn
9d1BzRXQd2M8ABOIT3citg/siawYZaiDn+SvMeTOPWEr4SrxzZ9ZKvzTlSxc6xiYSdv6YMmU05A6
C0Hx4FsznhGmelYAVKshjPv1u+fwF3T3Hqr7pytxjcBGGoy/q7/8+ztrnqgzwrlRmSKjgRFo2JvX
rS5SzIjmx1++ENRxchRcLmdyre8vpBGKB1Uzq8MEgyPLs1ealdeU//9vLuNiGObxxD88IwzLMT53
RwULeaB08mnjW/hD62xM/otbx1pFEg9uimj61KkuUmbhkPelCIRn8jqaPYSzyoL1V6Y/+VJAtqcL
z5coxiyeE46bpxUisB+qyWBQh3gYMoCs6W6Kxkei4h6V1v5PWNanBHvfx5fLxocV73Ao66dm1wbj
GN7NSh0QlyDrgDx0SP06XHF+vJg++oTEaeyVmEhy/fVHJ9/SL978NU5fL9lU4CnoVQ6Qzav7nrwZ
UADSHwltsL9Rc/6VA78stpM3meASTI4WEjnw0omXx9yn/YQju8I+uSaAvFfTNrXM8P6/+ELvrsKW
9f7dWjT12kDGeQAGIZW0GR91MZTHsvnvbt27K53sTENWxBUSaBZI3k8bOaYvcwXr8//wepkfNwzs
V32fleEFDkb6y1p9t2GAAbp+UakCQwir2ihTG9mKjmG8maliGChTt4mgETvCb92D2YwViCIzVbt2
yiNKePwHBxinWx8r3nXDaf7Hm3DIS6G4QO4Ru97LXidGHmfRLPSl8toQNfrcypUVoCqoFP8JRVWx
hdhtIYgmhc0b6+KW2ar1OfOs6sxlRPmsCyhpQzG6h9AjxLmaSOYcAIM2mTeS59xOMGxWyCzQrNSw
CbsOF+U+y8stPiXlPQGGzpGUteGPOmSXF53ksxMFdzulTnU++K2m5fL8uAJky83fU+Ij8Ybl8xg4
aLwUdG2bTHdqVwWRuka6WW06F38AmOzh0sv0OX1HbXfBXhIwuatN9I8pY4mN0ShjXZh8u7lg4yqI
P1ojR7eQzLO5xFFC8h9xXyRLjmKHv1HVAcUK++gUEAfxHq3OhdlhVVRAcPODwmC8Ylqfo1i752Mk
0ufIr/JHOaAhqFtbfallYX0O+e5q5Q1CfVGF0898Jh1iWe6poGPUOvGuj9KhdjRAKx+Z47rn0CyL
W8NIuueQW0OuYK2uZZ++moJn2pOv9ZmE2NexHcJ7GqTqbFi2xrhtq/MpX1RlDQTDiHc7yGMilOV4
R4SJc8aO3q0xA0j2OsrtFWVAsmQi9+UxiUh6YbCLMjWyVXCdyqh8lWS3Xwkyzveyz3G3s4wBfdbb
ss9bEq1hVfgXseSWZQk3ARtF4rideFoXtYoe/Jm4uVXkJdlzQPglLKKBfgP6Bbg0MZczyaeNzPcJ
ulB1KRjtBBsZh/opDpURbC2hW59gjCyZVxKO+IVRJfNnn2CpB/R8xavlxdWR7zjhEcLOaZp+fXBS
ETxWdBkPdlmxfsi4cgnswxAhw4A31kQTjshIGkYumPxZPIIuHDPQX0tF1YrERoPpjgwe27rhtXPM
2VhrhyNuZtwPv1Ut+W/5oOJHrJgjve/9Mn0JBsvYwdbRl0Sf4OKQBDrftzocYUoG+mlu5mxPVk6H
V6XRWMkuVbY7b2fsGphKtRGNshwz8TvO5+2f1sy75RhIPTf54LaftNepL1HquOfelLOHIn1wGXYb
9hH7kQTZ55AYa5HxJNw4yp7ryCqPY0h2JWpFa5016SuU0+AiFNI+8kHEjkTlaWNMLQzUGMH6Fdm+
yIKjfAl65An1Nkcfoz7kEj6cazcOwnuIcKQ/xmqMv5YqcA9lJuHdyVjOF47on1Q76T0mlkSmBj0L
YR78kmi15LXFeGJVG6RLtiLfE9z6tesbbxO3431ZWwjK9e99PCXHopQIA0IlzzkKvdu456VEXjxu
IY3rS901wTbKeM9xHw5X8Aqyz6C58znZYrtihpEdzaPq1sWQAQgjC02g1uUsanZFsM8cG4GyT4Nr
m6ISYSZvfdbnEGmZI67sNp22c8PuVgyd3ovl3FUO39sq0hcoe/61j/UwpAZigW3dCVzGBvjjTmgf
Yf9xNTbU5z5ALG/mU7XReJ9u3ZZhxtL7Bth19wR3GU3eMENkz4mdzL8VsoEsYsJldNkom4b9gwBk
73ZOyIe2mmbahF6N/MG1e/+WfNcGvUfPTvZWafVBU+9zs6BlnVI2MauvNnLg0g1SjEOywAfEbA1/
xJhLMqgrYTq25GJCAN02SX5tK7I548H2eQiFum7rpa6urOo8F4rFBNe4T1aFcHC85O4kYQB7HIB5
+7brYkvypct88dWERbTSyxpxzVlcZWGXXKXuGO30BPjkDVQSK8Po3Ks0cnct0ro1iYTW2mU+tK+7
agFTZPUJA4ngevbCcgMU1awdyCvrnicMz8tsGtz8ZfmgVRSufVmWx3Dui9u2Z+8xInaPIeClz3TB
PQ+qfmenGHFGJQ23HVrm74Hou3PI9dSjVX/tZ21+oI3X+zTGjq4IIuOya5JrO7H1k5Gm7fU0AmsB
aH0mOXfAsADjEZ9h3t6ZhXuYg2RGQFQX18powps8++LVJLEiuX2toiWprEs+8T4/NtqMDhb5FNs4
Kup1Z9rYu06o3jkWoz2b++8M0Xo4QBx6i6HamZHE+SMZqOWxKdlxzMIXD4kp1OIeDs3+2yZLGDY2
bzyDHb3XsMokYzDO7XJNitnYH/C1c5o98qaVhfhmWHVtkDIPz3M2s5Qmr2aJpEGxBgzLzsqhNgNi
br3FL7cpms2k65kxg7KTAulr3ZkI8hngET1ufWoLqzgOtV0cK68zFYoiBOpQRnuQU3z1coQPY+XJ
82mwxgKegZk37H+FN4R3Nfol7KSzlFRhJ9FFfBzSgDHAyipC7R8xUqjKVSh7GwYrtTgmZquZgCqm
PmlMlrzOiq/KxVoBBMM7G31PYS8zBc3CzXcZq7Uj+/rkLxZZ667puhvoOgTSpg75z2jXQGg6FTfA
rXYvNDpf0T77mZnhITHm90NqjzjICAnVluIaebvyJn0sc5iAiTJ/d/z+oNIUyfgEP8yBlbSzmHBv
2Dj0rQvh7VLYpYH9iAep13Csac97atmrKm2Zq+V+d7Bqwg7GOnzJYjfbevCAtpaJfpCodvHEZGyE
fgu1a4WmxWSkb/XGOoApe8XrGv0R5R4a/0y0BqKjMaC0NIwzJp6mv/Oigv3NkWzfTkR1QrcE/jWQ
2OhuFF/4kKGBQ503ufon5kof3ckWeyWfEn5hYtviLQ3rXTHaznPk9K2ZH9AisN9Yg74kHA0Oo99Q
J3SUllcTNqJMC0H69lnQVOe88O55ZxfQrEXws0YNR67v+4pvdk9L1hhJN/TT3xfHXmRFvAN8nqYQ
j72JaiRjTx086PB5fxeCcO1+3GJ86AyDxWLY4kqQfcA5TpjoeAu4RYR45KDh516XYQ9qWXIcl2Vc
nRtQKr7Zr/1r4/TRsnW5IDx7/B6ZinwwoC8B9zNHZkR1+PVgrNglKnjQpVabtCleOlL3tlkbUw+6
/nDzduwMhMjLfWwNYofDi8EwPHdfyATX+7HlXP/x/fjoQ8jnw/Ic3w0Y/yBJJ+2JGhNyeJw+O8RF
4RyhSBavlU0Y7WrohtYsmIJTbMNo5kWKU9FdMbammc34xEpQaDNjeaGUKY++xfxisug820RhCJUD
Y587FrZRZZM2aLjaYAuTGYVYhwYaoii7sj3SuG4deBb3BBM6L7bEzHAV8D973xDeLW45HMDhNGIb
niTp89upWJZm4K+HeaEI/PheiKWL/a7LXe4FFSXOasuI/9QDPurxI+L0yg4dnujwGNtq1Y3YoA62
81QnngErW0HkxDdh5zb4F8F6/tVgl4ABmW9hccQjYZmeLE9sxQeJz2lyCOi3964RVefKGX62DXxA
LLgKQAVZYKQJwog7eeZ90utQllVygBW1qGXZuEolu3WNbwHj5Yy8+ymleUDzqJ9+fI+tj/eYEgU9
vb/MET9mJU4ic3STDzgVt0MUItrEFcOAn/1c9JTGbTW403VguMFj6UyPWTDVr4Zyh203aWgQXcVo
YNlvm25V571vY2KgKCcRAxyov5H/YhLyZx2KsDszQkIeviEu/5ss/2SyvKRBvnvOH7wUN1/zl+Gl
+foeqf72O3/PlBcrxQB4Fq4kdhQogf4zU8Zl0fMhUIKQLHjzO4GSHfwG3oT6iBAIF8/B5TT7W6Dk
/8YOLmBnSmqfN5fFX8CpmU+fvPl4ObL3cdIsGRrIpE7wrSzVbG5zUB8mOcVPCFZKtZHKpqEb56Ja
Q5Eoup2qp5u8AmBe57Fem6RArUv8XHZkTZfkgduzwKCvL2LyPjKJnNAcvo6dNDY+f3xNaiskl4ga
xzcM+j6cwwzaE7tP1A5jFewEbTOi18Ord8VNRCRduO79N4M5XLGu8hSK5srvTUTfdRs66zAtmiN7
Wbbpq5AKxsvjFcrUesUO05yj4gGULuBTG6Ob7gc+nIUuSaozpsfhGWOp7q6kdj02bfKcerXxlOSF
8RDVpVw5MHX2fWBFW2wd7BW2Gup6pnHaFGN7i67oTxeXbyZHfFMRW7eUTjiLQ5ffTK5trNKo7PZm
lL2qxk6YXQcALKWJqa+r8ISwato/atXuDnLJrbRHc5V43WVXcXD0lnWbCP8h1P0lE0smUWN5P9Qz
MfSDopnISr2yfNhfll9cYKJ44fjqKaQQW5OXMx4hyD8HEqoncsYVpq+32UQbvdhKeVV1P6bG/AXA
irh2vJ82ma96ZFhocxNSLliCD6MdbkMPdXsWyuUjYKvo8qeDerT33uyZ13ZmGLtOZ9V9hH7sscI5
7FGMdslwN1drJrc2Hlk+s7Sug/9uFq/trG5MjrRD6BjHRVzyUjmieQAnQpaahEhOMecgV8NSNyAE
h9CfqZndrr6edNw80WE+yDap9tWIbhtlQnTBkM7DLy4QQM3SJwHW/5TPyqAJtYdPHNQRwFbVQhKO
wJusIOz/MMy6Kddebdq36JztqyKpY7EZrHj0V1Vcz1vw43t7GezZTUn0t1XZd8jcgl3r087BmcOP
YnHsShevijg39FoXdHt7sGZsKyIlxCpKkOGlwsWgwNeyQuIy9ueL+U2/GxrD/URtm5w7hTSfHb74
pp06LMVRoiUbkJyq2gnG9g1ysQlzsql2u7MqRXxLgY53AQDRbDDXRzX7OgXecJlbDczGqHSybb5k
hSPqiXCUSsU3JPp/G/1PNnoghYBq4N8pRIhviWd6Kd/v9H/90l9bvW/9hm8rxTWuuBhmw0n6z1YP
A9/BBjQg4tVdhu3LKfA3fcj/ja0X31WJT43JxJBP8TfVXsBHWkIVlxkV1RHq1l/Z609aDk4LYS8a
WcZCBPCYp8bT9WhAGcxbcV4qR3f1WiPHGw+NCyKMr0pJakQVT0V1kWbCGMA2iHDExyZW+DMEyn3x
El1aApM5As5G6NhyJj2VVFAnPY+s2oDFGpYUUXXZYhH77k7ffCtE348el7LsXXmKGJQP7C8W9VSI
LvXh982S3/ZDThpBc46/y3gn4tJYu/TjF5P2TDTmExDojy9IB/bhkhyJS3PGAFfyNE/6MyPJbWXA
dEfrFFxUnWek61zTROyJF4pqE4GjUR9EY2JdNsBgGte9oz3ngDxShzs3ikV1FnpY465mTfzsQjMA
MLc6qIx+mWAvWZU9yN5i3ZBbopv3TlhW5xDficUFvKcZEFnYyFXd1MW8RhiG+Vs0lNxrQ+rxLp/p
OSwxuy+c11W7SmufSwXgzpykHgfkZnChZa0GCR1nLXkioChd2/c7giqmy0liTguHiUUw2PRYjU3P
OzlGQCZvp8RV4wNYs5nClt3i4wKTEfR+vDFjJ8e7Mo6sByEMEO3Egye1ahv8yGC3jDeRHPgYo5X4
bKuupb5Yeshm/B+sOr4e44JPFHBUntHdxuOnBrdjcmpqw8IxBJZHixc7o+crEoyg2UhvkurJQnEY
H7umZf1FbT4zN/FcfTc3pfVg2Lk1fla+GI1n2+q4c0lLUjV+htVYnTUK59+1RuYMyUtCTQMk0vyr
6jM+HXpTWrVxrk0o1WaaxosPD6OjqikX2znYpMkSMO6+wMUOH/sJcEv3Db+OvQnIWU1AI5kx/Gmz
rblJyeTwFKQDp+EpxvBWHZzZLIot99Hu125ic1sSIwewHjnm5vsJvhKQ4pIRf46KIo+P8/JIvOXm
BHWS8fyUXZ0HtQGInuSdgX5M6+Eyjob51vBN/COZhIyHxezNx8EHEee2bSZewhynUpAk6Q3eptJW
vsWmFXqMW4vFpnCcHjBA6+DCB4BwRRpijjOTTvMSpZ17OU2RfDS0J64GrfIb1HPIp0HBD0wIHX+d
WKX3UkaZ/qxsMx3xHmLJxgPmaXrQnb+O0wW8gYSXTUdrlC7WUJUXPBoStuGtlcyG5ODzWDa68bi9
Q1LI5trsRpcQAjdC5b0u+toWMyJWP55t4GHHsP5gNMezS2y6wdcpnXr1hR+L9JVUovEuKUywbAnL
eF1FrJHWKq1+DUQqHrCc5vFArq7lyggHni3+TjnzMq9CQq4tXi4vLXkpM1UN4a41DdU+tUgs73y2
+GZrzB43OLGUJfcZlhbnLsaqCI7GFmBXpwyn0tAaERy59aFfVCIXdtlz672q5ypMQxCgCt62YItr
OPeFWh+Lnd4FWCrjzGoesnk2jEej9+b6okNT19xMSBDwWgWHGj7NELuDT4ljFtldqFN8zHCPrJl6
2fbZrBe0YJ4K7iXgIfdyNAfwhSCIuBGQDZpDmPtYeMN74+1RNa7j67eFnI0GD67CcrPZSL28FF2D
hwk6INy72Mwr6yHpDciNTP5j+TTmfm9dpyE+M/gCCQT4nj2Iq1j6oAR+XnBNI4NaePDCqEmfG9Hg
DbZye/xjbYQ42eeGHULEOO7ObnNdFWUJT32MDMRXXh4ZzRaBIX/JZDkdUajyzLu8EVdpN9vjZ78P
6+wrTFc4lStqyCjcFqa2rOuC82euMRjB3ussLKmJMTSspGmexRYKUwhxyyDXIOgNh+cZq5kk8q9K
8hieXN2HzOvEvUdi4LAWRdV/wqPb2GKoF29YGO3a7qP4zM6DcMMEFqZ7kRDFImwxQZdF/nAA4pdL
wFpaGwnzUjDFnQPSSxtE+ECIoFdVZ0r55mPrKmttF+azAaaPGB+TIWjj3SqJh9E/iMyKfs/b0Ps6
RnaIA29TXne5vOiHpp62Wd6Mt7LyomfX1uWWfoiQoxIJKuyK8lk4cbGzSpO5gjcXLgpnr7kJoikj
yRPdPQhmll8mKso/WWmLfMtsux0qIDolPZJc1+CWBbtAXet8Li5coOztoki9ZVtXz2nQx/fayW8G
zxxTqt3W2dVTPa5MAIa9TqqEHkDmn4gFbaNd05X4gXKAIdGp52NuBJgz2wDSuh7KxXMKmD7RdvXA
oaOeSrdQ8Sad23LnJ2b1OZYwfAVHD4C+dFGWS68fr5QcbUprjb4Xcd8rJPtmk2O9eLCW1NgB87Qr
N2o9ZxObbjnh8kk5sGlR6TN5K6q9n9fTQmew8WuIR2sXueI2DSu1Nwn82DR8xye8kxgzYFctz0qA
Nr2dCq+/qjsnvA9ULPcGLgE71yAPyKB18kkbkfLKiLv6nA17OhCzNZ0NhgiIzMmG7QTDet1ZTr+u
+ynFGquVDzrR85+mmafn9NzzOQ0G9NwfVygfijmIpAwXFuUmtouArN+XRHVV2H6a42w0dgrcvFzm
d4PNIfTWXOM5W53DCW4OP77qCRuGQgw5j4sYRVLpLmm+31/VCefYiwcorTVuQV8wI2djUJ1FjfHj
65xQR96uI5GkUi5bYBzmSfWl40r2bRCFR4eBKHuq2bBnL4Zz7hiyYfz6xRZuD7dTQAE8DS4RvMNG
RBF49HOm5NViDPZGBDOSPtj++FIfC1nAcDzrqMUBXLxTxlQdBZ4yRlMebTmJq3IxnHKJ2mLk01Xn
7ZIF9cvXE/QhgmVCv41m9/vnJfyK1zaHODvjqvL47QgqY5MTwy2X8XmbTNzeH1/zBGPl2fHlfGLD
kPTy8E6L9QlDjg49JwCLLKmuPEzWoBMHgJK4HjI+Y/7Db62NQvOzyfBy/OVFCuPD5T7j72NZrnny
pavSqU247/IIi7g5DAOeVaMYfpYK//FV4CqoOwIpgc7pTL6/tXloDWWYtPIYgT0dpgQfMs//aWLW
P12FhtJ33YVg9wGYl51t1YBO8vhGsZMJVAG85f6LZeIuGKXt0+3Qbp7csayGBqRwgj5aIYgLOUss
Cj2RMbKFuyeuOjXq+Sct3cf9iz2d3YSvhfqby35/+8pEh9OQS+eIVlQ+CVzl4OFoSpGeXMZtiZmf
tZKoXcKfrM6POwu2TnAjBd8Wf6fTrxow1zVn5VoEa/B2hxX7ZCdhRs4p9ok/fhH+4SuyOOCwUoMT
A3a6WXqY5nOpwsL6LcZsDC3t+dxChcFihx176eDGZdX8+KL/9P0QBvkgyi4QsX2yQ2sMKe04kOKY
S/iKZQE9Ljf9eE+j89M3/W1c8n1fHoBOuKT5eoHnf3zTFn6NyX4CLafFLS4VhUu2rmfmd0rPzVVF
VgdT8okyeRyo6yB5TO2VrjFn3zFtcmguKpgp2If+ScagTdU5lxC9/Eyqn4XCf9x4cYy1vYUYC1VV
nHKKy8QdEhzJWeEFs8p1EuIvmI4G56VOGdus0oCy/sdPQnx8d2GT81YtMycIzaf8xygHLwk5444G
wHezHX2b/qHDrh11sODIjFW4rPc0EVd1n9df8NibxcZOgvGubq0639dRP9c7qiRM6BBtx798ODAF
hiIPIdnm2b0NrN6NxM0aWbr2eeuL2afoRhPyLCJYWW1ul3gF1ObPYJwPaxP2+PI2AOWwRJ3TC9ZJ
uxT903zUTui8tNjz4hVWlyzTcRmc/vj2/9PFwI0Q5cuAreb0FIC2FxBDHkzHMYJDlZYEe5hgu9iK
moou6ccX+/Co+Wb+kj2NmpoT7zSoGLWTUG1oTkc0VDSWONywsngR6RJ/fCFrYQJ/98rBe4YVz4nA
l5PgYt/vmzkS4VHiS0MF0cTtjUkPh+uN33akFRP62p6rVIOEOBEOpfEQw/DIlWc3DA2XY7Cqx7s4
ycAJjIFmCWIJrrmzB1fJNCRQFqiXvTPzBf0YMDqb9wM0hZuuJEWh+NWNWOK9R2qwxbkGy/+0FEpK
gl68om2P1gxXaYAdcI5Nb7KPzOmXqy4uxRpwmPkC6X1gIuDvbnV6xLu0MaWNH2jK96+rOtga1lid
O+X4U/xwOb3ePSWHYw1OPK8+016UJqdPqZwLW9SN6xxlPTpfpbT0sXHC4PENEJFeC6pTz7n7qRpH
6ycHgHW6RJyFjQ8rH8+FZd7MGfD9EnFyyGyMHtKjIM6mmDdm6kvyzScM8NFlYwbn/45TeeZsdAWx
6CqIoN2VdhMlB/ypYO1ZVjrdmX0BijhnC15TN97SWPQNP79ZgDaFbFOiLERy43WTUfKXhsQ9BHBP
oSRlOFzcumkLn2xZXrnBYbCfukaoo24m1a4s2Y437jACjbUhRKHzDOAIrl6tMcTzI+hGl65pZM3G
FFlxO4A2XDWyM/ajk8ibahLGvK8QwJL+0REyY3pkn1wAS5vlGsOSPljFTqMuuoyBLLRmYuc3Famj
NNBzcsQnTqxx9HV7pJsixuMO56/E7cC+TU3ekD2ni3wmRwk342kucvHn0PgZoLiR8r4Eo1rAUJI+
4hs9jfzsGTW8ZVkBUUIPDUgeljqjKyrrmX+da++v4lNnIchLkC91Ta141+Iyd0k9K1vSXTIRMVda
TQxBmS35xninmL7GNzBS8+oii2rd3bYQPYsN1FHe7koUKrurZqiLm6bvRL2D+jPeZSaakkjKKrvz
lGj/HOE7zSC8qTt/RVnbO5dNLRYoash5zHhX84t8dffFJYNhvsdjxIGTY6XOhV5SS0A0CJfZJVmX
jTupMFjfgIOAXHVzDBDuF5O0txDV+Ys9lGfYv4NdnmEZ0Rv3Y5Vw6TrDzXATmFDEGAzmdmtdl4N2
uzuRoKncZCyX+IZhMIYgYvLIEoEq7pxp3bQew91uMaFUJR7Y0mILd3EwVMey1DQSljck3oWjQ4EN
D67VIefqolWsmhxMiwlnO+/HnB52BQ8HlBGm19g8iNJtcozEXRYYKbDSujKShrPhrQ4As2f14cgN
1BBL6BZHxvl49OMSM/o1aFs1vgbdHN74s0bC8AbBuXnPh7HjUTw4qeW+JGEch1h6tQhwvr1WcqFn
m4tt7uDZqf9SugnQG1QP8SBGEUN34VSs0RlCols30mUV1b5ciM25y3212gUzt9O2/x0VyoDjBST4
m2+jGYb6L6FrL4VE5FDb+ZWHokCkCxLbAM+vVEr7MzInxxRhOf482QMyxmBX3oXrMY9YZWYypjtC
Ocz2HE4pr2mhDCYN+eRwYx2SFe1dyjg8uW3Lmg8iTLCTncqt9q6cRT0+96NnG8ycPTfL7nyMC/EN
GXPxINO0dNY9uXrTV99gkrFFGGQ5t5NQoMDxRG3M1FsMXsF5zBgA35wYuIK14jDNQQLgdLb3mcI8
Q66LmQN5Jas80YrIpDCEoLdmC3fTY960oPVTDii5A0GbfSAJmM3HwnzzTgQh73wAsrnX6fDtxP/f
nPRnc1L6Jkqtf5+TXn3VL3++fDcl/fYrf01JhXB+Mwm5JFX0L+LLf6akYqkI/x6LWr/BI7FpEC3H
5dQW71wVoNTQ3GC4gEYekSdtya+MRReniPeHNdw/b7kMXSHlKeOjk+li3DmjLnEAu/TCFkOwwXHP
JlsYAMlzTqgWLnz1ZlQVlJOgFrhZ1XprzlG75WDK973V1hdk6vTWE9Os7Kry8iY+r0dtO2tLYVa4
6Rv4XLZ29FOXQVjuognBs6IpWgfaxwhFQbrZjJIQwX2P2+ldb7fVl1KH+nrmPBkxrilh42Rzg1C6
DpthlxROdvAa3L2ZSCHm8LAV2UuOpmqlcB/MiEDlHUcggeG4M+EfsIP0MESHwBFzv2EwgQ6pz+H6
5lOW/Vlzgl0nkauL1cCs5TrEaZ4pLul55obAuSlbJk2Zd1ZNjTPvZoG15L6FPG3imgjEfaRzn25q
jOynM2Y4+AMVxTQaR58PSG0Vzqinqpr8mFvLV9Vt4KTR3Zxm+hpnLnYoL+82VKl+tA6J6NynQ+Md
FsuBeo1+ijS7xaTnpvH7rNygKgLrvLQz6xPUt86bMYpDQ9bVh1C4Sb8vQiuyvb3vMoXe4exizuaG
yUtTmuus9McrG7C8FGv4dMaZ04oKpZGKangeKS0SxCUiJHIjHz+3KneA2lGmZ6vGlgKJuZuEerzK
8HYNGELkSROsyEDDZEP5ysfLmak7jDuI1ml4HYrJ2OmQeI1h7ZLzvMQw9khgLpgwacwva+y1qoPZ
DiJE6Bfn4aZ2Wr0sHFzh55GzemeMKQqWrJDYzh+7ru+VeUUcVtrZDWKbVg8zirTBGlrxFIXYG89f
xiSfyubPbqi7oli5jJby8PbtLf7fhveTDQ+XyqXC/vcN7/ylbF/a9xveX7/y14YXOL+5jAxRnIOu
Af0uO9lfYcoYufwGG8TCSnFBbGCC///9j63wb8qf/G3hawtStQliEkDvv7TfOSdYyIJH0HDBBqE1
oFU4pfzVYefnaTTK88JieL5e7GsoscSA8dIaKFxB4vKsOcRxOCvsKryqygl7t4aSHFfauaPBv8+r
2jSKY9tKuxkZlY50Nwc/7Enx6W1N3IhXw8+6ymIypbxd0WisOq46cGcG1xPFm7N2MBnpol3X5oW8
0E7d/pFFw23nJB7uGxbzbieW3i53AiKb2jpaXPqn+//H3nn0yK6cW/avNHpOgd4MepJMps8sbyfE
qWPoTQQZdL/+LZakbknAQz8BPWngaSAN7tUxVZVkxPftvZbmL2Tilh47RCgCo9bZAsK8IVhhyE6/
1BNyvTDvdAClHvG+7lAKKh/3uRYXT1LEwQcJAgsibCeUEUqJVu3sEv4CVj4H71Ba7IbfgntSNLHU
yvYtwfF6Y811FVlN5t8VZAQ/BBjwrRY042c22NDMnN7bNWp2CISnhHPzwZzgxlmpRiys0dp9sVTI
FFSZfrqdg061s0CRA+4JfjaB/7Oc5puvSwpfVEbmI/8VXwe6qneZk+kHmrVG1OdWEE4wr/l3rEA8
qByXRajPs77tRzwQGwCPAQ9Z1dCDsWNSlKPhDIdaW6p7ZajuleBFfDTlPO6XxZsfgs6cT0DXVtp5
BhSRExXi37TMs1/8PDgPPJwHzvWNqd2lFXCZyXHloWsmA2R4Xz+n7MX3i6+ae/BtXjhMSQpr0e/N
q+0M5pvWlJ0NFMC07tBgQObBKxFWvICPQ2Ys57J35mGbKVtFhlmj2FpJW6MWTzuLpCah6HxqwjkW
y6c2Vy17wlLbi0ws6EPM5ScodA8zrdE+Lfoc35QmmkujJaqi5qTNd5NaXDI6u2mwe9MFa/i3/4Up
bQ/pVXPMtlVhplfeWuob8I3KU97SXqxPcKPHstl6fSzyYMc2Hmiv4aPTG1A7jkukc7/Rf/73E/W/
xAChfcNY+j9/ol6zuv7dNf0/nyL/+v/6e9YODb2/mv1I1K2gA3Adf3+oBt43yYNn6nec7juG9/dD
ZfAX/O1k8IG6rdN/7A5/f8hCvOVZAryLxQAGPn7lf+shi6/9X06VAVRRgLaswfgD6uZ35eIfpqsW
FYKqt2v9XOsagVMVYqLQtvizYnzBxtRGBazaZgNbrpW7SWM1Gbltb/2eoNJirFqymqjS3F1RqthB
s8Fit7xNCxTGVyNgQLfl7f+V+GbyUk04nrLEdd4GdF1XJLv9/TIGWrzLGgixhPo075qM/MNwcKeg
3WswNg+yz+uzl+O+ofr+UMre+tJGjKtnAk1EZG3X7MGm8xF5sYpYeZduEQvChdIdFZ2yylK/8u/8
n9kBrXRhA2FS3C0zIs2l6CBqS92i+G6pD8qnI099hbv9WlgZ1iIhK6/dFXxvnzhlVm5omRSko7aM
sxcjnWlBEqFaQpnlbOht18GoJRvx5NrKPHZen+7NKf9VMtqNMi9b3fMiyzcDyZA92drnGSHOvZsT
gjvwr1hXPKhxhWobrQ/gn54TFK/hqDe0H1NhTxtfz6sRg5rHrAEdcCTYHtHuxHGzZdctnGhhU/Fo
6KVzHQIiTUavPOOogkCwOFqC+BVCmvfUek78LPvZ9I8gGyxtm3etUyJssrnce6DQ3weMM5FmmV5Y
0Efia9AOnAun+uQGTXnuW1iJtarGbB2OgRnDHD2ee9UDAtWSNo08WN6Pok7sTN/HCQGfwuAB1/NQ
35j9eJjzEZoS+8chDW0eYTt/juOD3VTme7tYsOGXTlueg9KDOtsnIyF7W9P98jXjaF1DdOX5rEeK
Mc2kRSNe467bE6+Z9e6IWKoGMp+XTmb8SDq0OHznsFw4ThlA3eSSI1obj0Y8QmCNoQ5QIj8Sf3j0
09iNMOyu/oAG8Fzm4NS1uQqEqRv09AD6zt+UywqG6xwT9fQSg5aa/BY5hvdccHGqHPOYKHmFtUXJ
AN+FlzU3WyycUpxij5ssPnlFvasZbr5oWvowUbbbSH6bXbLwDobr8GHo47IjhRJDC56fCGR0R4Gr
McLdml9EpenH1oFNy1PfPAUa6ZyCiWjUcZDfVPaUnWy2kbvRb+Ccl/Ny1AUfTRME3kswm581mKlQ
AJ/e5GmvhXafD7um9nrwk2gQjwz2viQDqZPM7OQsCLdsl6XSI+y6exJYYWcTxLeXlq+PhjC70uow
EVqg0ezM0zBJ09/OIt7hN6CJJsDCO1XH+GVLJMO67aOvVATja2eq6Z3N7R5n3VOfad16tjA2JFXi
0Ja5cc+fPj/nzsx9Nub+dCQjrH7jkJq3forcxOPDdhDtAO6CGUudLP2hEYKerfMkrPKx8LMLegNG
m0oPc3N5ztx+3+gdULNkfOwCpFRLZW59fY4SfMMycdPQH+yXToi9P0/X3NQA5zlq2sm27KMhXroN
qoRXlyL1ZsRDsTWq8ndp6xLR5ehCAEkhoGrAToVhhEEPfA89KA/BzL/ipsB8Uk2EkfwAEwGtygcd
LmBUTWvUPxhGfrbazqj5frh7RmddqKWBOviy/MnBh6SpqQcnl8flSUlCV/ho8lsa9DnCJxi5fCqM
hyQVD/BSI83nL7U09W3y7fxHuT7NChV73AXzTju3rWk/ZqZwT03bpyHfMKZiUxtQq07fda1jImZO
f9K+Mg6J1zHlzkS5oSIxc0eMgxMNNyuiyRI89NYIF21xg2ORe4+xKx9IUuo7HhP+ucm1EV5w4fZv
PFfU1hy8eNi0Vp/fclMN4JIL6iZ8o3Z6IxShKCd9tKYpuMpJJyCr9Vs7rz66xDRDUl0UxCsoe+Bw
p7zFBVF3j51b83Sh8grLKd8heUYvoDX2D4wpUNpS3g5A06E6BPss759Lqj07s1rip7EYr3QvZDgZ
ff5CMvrFQXO6oSPxo1uCdzfBNK4cl59j1e4QveM6N8ddN8pj4+Z7zusxX0Vh05dIxH705c/amZ3I
kUt30HvzuY29gh/ggjBMBR387IhRv6WG9aiC9lJ26atbmNDB0c7qjT1veNLCDAzoWIyk92wHwwnP
0lbz7/3O2nfAYh8nvnU0wocEf7e7+J9FnBjvJb2srbQ8PmqazdIDww0t6mgQBbw+s985gzDPEqE9
J8U2I3kZNGlYzKWPHkgtx7TpD32bn4YsLvZ40LIwCbSWtJu242VWhksc0C2m2szJ3Fb2T1vj+7Xe
CPzbvOj2Q1qtqj5PiisucC3E6tJEbe6kX+3kYuwx1QWwOO+EsXwxbE7z2NyDYeHFmgdQRWT/NLBK
p5pZ/RyAaMLoe8/BUUYDfx+yp00RUizLzsOMlJSG8c4GOGmCOHeW24Q4EctqLNqtYpB/djIHE4hm
zZtOJdZH3Kj2kQVkUW+oStVt5Bc8mYbKqu+h1VPfbiQzk573WpuN9WFuGPkYBtDvWrXqYmK9JChs
Mv9WOlJsS3tJtXF9PaPSbRC0aL5zG4F+vZL3re/0pB2mrT2XNiXrecnVY51r/jHoiuXECO3FnvT2
C5CgltAKI167c7zR6jZWaYyQw+0GLynvWTMa+uBnpQ33RupRqLfH/rFz6vux1uD9F9pDNafqDq7X
W4c7ZqcmtzmJxX3zO7t8Zrh1AvDXR+y+v/Up4pPHq30Yqdb/AJIvI6L0Ejy4ZkZ5M6R7FzTixvdb
CJoF8PGsGz6ChHFgrfvaNSHw/krPCSL/0Pl/gDhiEGZMtnFSq/yB8Gp+8kaNLLLyP6zCacPKr7xX
Rj+A4WNXD+HB5M+oQ3UiuezfA68Ea2BBCZq4AI07vmG4kyYLbSERSj7X/PEShuBRlf9qZfE165r3
GAT18GZ1TCkJc94g6DhQEnhle3lrUK7PpJ2yV5H2ptVleaYZ36ByVDZnhDq5GmZ56AsAlCiI0d6p
oHkkXysQCvupetCE5R8WzxVv2hIcmn6engcQOjsjyIIsDDDaXyiB/RKF/5OncwnayQ0YgMbqJcsN
7tpWsG8D8CAOPYEIWgovCPYzqEkwYKaOyQZPa3KTsK5FoNt0xCU3umVT9t18YYIQHMbGmPDHi59l
UhmhmsrMuG/bwXjiAdnROUAI5m/cfkzLvV0nRHMZlfLy6rSae3tgnRN3dnYlZ8FXfZTWDBGi9FcG
wmzhLbCML3Zy7hfCqHQjlj4JNjFCF43kRcTqtADNysNyIaTFAXiAfr5oaCwBIFjmXcxFhYnvCHgV
hQRpz4qTB/yZbEjSsIoNVttnqUZvV1RD8gS+n3XolYNWiOHiFf/WESLBL5JQ7l7gMtxWRK7AySRr
vrkx4Y46AXd7fc937eTkgOEDliHbsmly2P3qc+htoClLqzZ1G1sQgWGiSLjcIc60Q2rXaJ5iUL1M
e8qDRVZ1k8ocYIQ+RrG0bnmaWyTNXbkvW9c/Z2lFE6UnslR4AU2FdFcOQj7KdLD3uvHFJIMDE5Ha
KK/iFxaX1aYU5jbWbAvwUdtuO0cCwMhj8n9zHTEIOiw1P3eVxARHNssIG61uQcMNWyLqgscJYFU6
OMOmE1TMlyL9HGGYuxzwd7rPlxhr8ws9+yaCuEi4PKvOI2zSbW749DAmjobUI0D4Jl7LO7Fsjg1+
gIB88t5NrJ9lrV4IZjt3mrs89BX3FJMJxG6iShPKtt+29pxurNaRV01OA7JRzXwlt9Vtepi/L1Pf
sYPDm4MgV7PJNzFYspoVSUomD+lZw3K2Wl7gRBGqJ+ofZk2c/Sok1pzJW8Dh8FMOjnUz63YFIMmP
XzyjvECosW+STmCoRP2Hwy/iz7SLjHxpQjR6Jt/SgbZMl+6WUlUv0s6zbQnTagcYLYhsm8OOKXxn
M2t5eQWkD9YcrNuOpq+4uX78pXe4koJiAqUwFtODmGnTBJ1rhHPpceox4F3AYL7V06xups50phFj
uHRyXbvp8w3YyonZhw7CBeGQNwxkOGkgXggO/mq4b5SG9mH6y4+kdfFKdOrCNXfmi1EQzl6OsV8M
EcWGfYm6xBdqY7hM5owubw+ikPcis871lPJ4TIUfkn/Vd23L9ZY+hrW3emxUDbxpK8/PELV5geY6
dCz/BfumtbGy5cfkqZ+xSr6aBteV31gPqr96TfzSDAv82qlOPjUN/bfCK4vgdAnZCFywlLyze4Bx
HQAO5uW4MRO/vcVoY3EL6sbFttuHfOR0pnW5HvZqwSFWIF8HC9SMHM+0e+WKAVR+NS28EvKYvy5v
AkF6FUz+7PvdUfIT/DnL9LdVwLqw4nEGDW92cjPaUMIA3FYfZZNXTZRlRnXjlWVTumiskgNeA0/K
TGX9MNLMOQzaJFZ8V7HPMy1BlGGiPg8b2FEf5mjQ9GB/ziWnFS+j8kt25elw5FRdgMRL670d1Pau
nZfkDEnN3claPc9yYQPRBHcAgfP7OtOMP07WqfOSZu6ptXx5MNkDnahSzztntOWzXcOKQZvxgzt8
fi1qvGZxot8BUKED2zXJxWLpGypKkFdSB3YklmnaWw2AvHzgtjR4NmVhgjFbmSUcAGpqA7VlbxOq
J8DTiHwhSGGeq2aNhBQCPVvRUGtzKzJZhty5NM0OXjl/+RVJDuZ99L5KvmIcaq+1gtov8/noyIHm
yzjcaHBwrOhSukxFgBhTz7bC96gOVSm9rtapOQbJBaEQv3wXAGfis5O4E8c9bv0728Qp309mSAwn
36XIs46cG4+IvSj7ldWwWw2hEU/zmW+9U0clOLwc/geXKf9R5Zq95yrMxMWa8o+hCAJO0rZeXHlV
8xYauS3c5i441xC6N22R21sz9hykjVWokZpgkWgKiGidDoeizA5dYa8zaerelFH0c1+I/tQ11h+x
qOtMkp+RevpuLtnN4OkeITGq7nPJt7Ep0JLjNoiMshxDjWLCxm2yfltQCTyPTKgzk35M0VTXxPVe
G5/CPedrEU7IFzeQsHe1oe+TkXkHs1nuMk4671RBKEWj+0N3pv+9NC1llP46EwHZSKQqS2JRK8ML
SSSmDisczJuxp0IdY3nG7RxST+Op7OjxIW1KKoVF66w159PIJzVUMWkNQMs8Ix1DbjkAfg1e/pV5
ztG3xf1Eee+YsWDccoU884h+beOh3tlqirhq8ZNMUCTshw5skIGvkH2kuUefyRhl4aVLbIDin/EI
WOzo5ypaBrcIhYDExkVnqd+ErTE2GcfR35nEFHh2PppzMvM3GvqocEduXv4I3YTrYK/pm2VB681E
YGvE2XhK0T9tHLv+qvsmeMgTjW+k7+zFKNItpZXlhRXPvbcEbHNbw2Q9qrPecLyNLSUmHA7K2tbF
+r7hgpM/V3H62zfErVvMc+G7P2BAEKz40RvVXvX+HznMLddcGNy1Afi9q4KtyOvQyNt8CxDnT9vL
Iiy14jMVWhqJNT2y0tkKs2kYqvjMSpY8QLdUMwtIDayqPLU+8ya/lykP6LBT0p1oitneHW4V86Rx
pm9pZpUM4wcu5YOYJf8Sb3I6kxUVohazaDfVcpv2HtFQ99xWxhkuYYi0hj30hMRqxxSHEHepHJbV
hgfx3JiFAni4yL0NQwwzjGvLY1YKMjQ81diSdIZ0WFemAmbWxIm8f9aAQ3W7yqcwtJNaMcrQIqXV
nF3uCDOPD1PBHrQDQ+Dn4GvkoFmUUFxm/aJoUX91xeQVPajAoGNi8dfE4v/rDej/R/7llYPFnvE/
n8Q/NapP/0f4QzZl9s8a5r/9X/82jvf8vzj8Uh4sYEBCrklC5G8rTt/6y5pBJFhJKPKv/+Rvw3jL
+YupO+ARTIvN2j8N4y3WopTUHUbAa7mCtMi/M4x3vpP2/xjHDFi+EsP0+DWJRVr6v/QbVGYWsJiy
5jBRbh2ZShbWGPLZCPZpLdqdW6/1LdxE/kOQWVQrTXL5t9Hl2jWUKHIZEyhqpnFmvbldOt83rlk/
EUOLP4lUTPdMWMf24I2Lc4D8QZBxhS2dMw3OGPNJWIHjhI2JBwpSWU4F3EMuJA3SG6ILTpEl4+gT
Oe9SMHvOEt5rjH4Npk3Yw7bLkHNCrEClcAab7V1Bav4uNfLpvkghoWjNNGiRLghty5g1JZ8wB2mv
ZqVmehwm/HgDzqurCfSvpaMGOFcRfz+N0B2PwZTpNadTMXzoFX+oraji/je/i4HPhoOmAeKbyuHG
bwUgSs8tQfau9eQprl3JELtnZJ+h1jhkTOO8yKLv/CfjG35APzndY1JYg5IQV34trgMMszDG7q1d
NDKZZCm6N0qT3Vs96sUjnqnpPp4QzY8qrp/bzm/u+o4PNyiXKXG2jP113qwpFgVEHKURh7qxylpp
4/oPPHjmSLgtX8jciJny6FYGE4Y1osfxe2lJtONsiku08QBtpG5smcvY9TYoxwYcYdUR8gHQ10KS
5KUY3OPxzNILTxjn0PH12w3EhC9c+MV+SdPxkgKH2U3pQDQvc+rmyTCE/6DZ/LRA9q3Q2/tgOMGT
cuWTxjPkS/tI7cA6aSW5RgaPzV0hxaA9LTYEZNfLjZPd4bAQZaHsLblEpzsQmGFypwxrRwpffJH1
EB9SNeYb3hebBOoiwAMz7KMzoVWgUPq0dxk0zcHD1CJFmGc7eDI5ejEOX3CzBZPkXuIM1ieKmI4b
WMkadNszlPnBXcsPGXgHl7a1PKSIsw5HZcprEDye6JejUrM577NYaRczXu3ko+mxCicPyQW5Q6bS
H+EDUvlIxlY9EuFyikuKR+2+ZXkKK0267kuNNeaadpo+JiEOMV6qfp43Cy8OQy7WPoF+EsQbWmBj
i/eNL4Q8zE7W+B9iAGajwTLHTNy6Vsz3R4OAwzpQiTHyPd/fJeSLTXWIG4adpx6fmX4shZizN7Pt
Aqbw/Gfdqpj6O/1k7WnmXheaRXz1qmo4Z0PfvaWiusX48y5ctNjI547G/h5hWNUArkkq3WOpQtTp
hQR7tssW7or60i/cmgH/6ACTNr3FoVEsyfia9YBdtCBtrl2eiqhr+8dcGSnt/dZcq+amwQWCn6FX
PCuJe+DjrTHoseI97nVKyyRtMZOTAmm3IGLE1i2AkWpUK4EO1fwZDjNZTYUQzlTbmRLJGQpAfmyU
znAnqMkC+5c+7+JjDsYgDPxmOpEAV5FHMiiye+YWopn2o2Zrv9gqRAKcRihiQrK+ke+JARibmUjV
rZunJ3zFyZbp/t7vc+fVkJIZq1KKBKxq7kZff2SDgLpG4t3VuoBEk810CKsus/HWTXZx3YVd7tRn
vW673/ns3fTFjD+ELMbDNIryCZ2hf5eTPQ/ngluQXXbM7RQMIQFmYDNm6by33eWWCX/eM/PowxSB
1g58GrxJCjuQgmk6Z1JiCC/85aPhUL3ebO8YaV1RE8RcmYBUFVYj97Sl5S53Nf0qZYxuGD0et4/m
K+Bpu+do5EdZPMe7hmUoQCunC9cz+WFpmgzYx4AYusoMSNTzsFF0sZvM7LYJoV0GIzMY6UBx1uob
+TbmYjwgIu9fEM31/GCM2j6R0x8OWeUenuwc9RLm7mCY8SdDPxJxU0zJ1M3hGDAQNfWjcpuxOFgV
ILiaKh5QKbkGeBNQgfAq7BP28jKcNBC7qk2Zx+PV447T0Qty7IqfCnfxuGsgAmRuvmR55Iusfww6
Eb8GwuEj61TEkhumgdyFxRcD6gaHG5PP95YB485QA8uhzPR3VQdqvFkGCN9k697gHWtRP1DNbtjI
3mofzO4sRhjOVrXShFV97dxJu4NY+uolotJDIpJqx5rQvSFOMVj7Tn1hnBxYgpegqPwAgpEjwrLP
2FkXJqmajXCzZWuP1bxxeruBiWFYEHBR7xCAnySXuLVY2cT+3oOazEE1KbeyTdRGaEp77Vu9e+Mn
rmaBpsb2rKMGd+O8eZiWXr9ZEDy2fs9XWpX8GNjjTp/MjrVFSpvclPFm6GyNha2X/7Y6u/qtkEEy
w7JWNEcfj9yzbXc+1R5v7DCfhbN1WYK+NKkaHtOg8H9NvoIUhr7qImLzUwvUH5BayTsGMWaKM7nD
znZeatuB1bt0RWhaxbAZDJ5zyyzil0Ta+8nKP2NXMSwVzn5pGOwt8TKEVja/zygbwSE05tbz5A9R
wQ8YLP1YpFOBRshsf1OPHzZFriGa9q38MJiqbhgCzjbbzdi4LztXAtgci4facG910teXapEqghqG
4hTdXtaHYyrHNuqMarklcx9HbdX9Unn6zABgZQiFMF4sYzNaQ3nwGE9tybkS5Ods3Z8KB+1fajHE
6W3GZczHrCilEPvDLIpnzXSbrUWD7DM12TWTnfJ+S0M+qsH4E1cC5ioLlUDzPuoS0xjoq2w/Fbp3
CuZ4ubQ6s2jPEh9NshApCNRprIuYZ2fbomYUBQ2RAQfmNFdHshNHZ21U5K7xko1zwX4IinqduWse
vAv2JnNMrjmADIayPTX9hJQ+7SCXrOr1wQlBvS+/SLTZYW+p5in20TOtCnv8HJU1bwlVDpHD3Rc9
b1ftJkULSmr+zzgx3w0ish+6cKw7iyk9c3znQRg9P1fOT7DD7MAX1UUtSbVzW1MyVcL87VVjyLng
Vwc1PcUCDDzNqLvx4ONK3LAOtiMgZexKfDfdc2LxHvF2JDQBxnync3q8g78S38u4OUm+6dys91nK
ZmxmCc+snh9R2N/ElSdzK43cuFlt/jIVrfsYQz7YtxR0iAqTtHhUqWpIyZGRw2UIpLgB5T35F010
6FHd5bXPs/162OTafAc4GTz0GJzNtmFulByESWQ/1fQ7kCp3S8naL+07EnUswdvqU5YUapZueh47
dd8a/V3PKpfTGikNcFF87skzzzOeSDBzSTjnfMwdH6bg1rEyh9kkwZ1Lnfv+xa1ETVCArfDsESfU
GLPemxIL+n9HsP5rESzn/xbBAuBMoesfY60mAxlSTv8ngQVLObChNPzThS+AaukRkvnGlf3vNL/+
F5cloLsGolZm5frr8Ov36f/6n5ZLmp8IrMe/oCOeR1nzb6T5HetfWtdU7jxzLT+zhgHoQOj2n9tv
0nARZIgEopKjs14AI+4OPReC2GTy4trcdpLKA4DkNI9ZO9e3NSq1ET4gobAOVB4ZXqZDnywWbG3m
VNylHIMw6WgQXgJP7iduiCeg+EgRhwzps+PT6900cWBzRwFchXLESc8D14uLnpAR2zRmeQFtXdx7
jYWJTw/SfezF3t7GAN2HSaXF204V7n7JUnkkE+ZeVbfO2JATadBo6M1tqtE3z95E5JRM+FxsJ46z
ocVrCN/BOjKum/ixETYobS5k01HpX0WxND/YB/vXpbBia0OupmdzwJVsJAO2QxDt3o3x5HNFc4MS
C3fc6MeVJX5AsKv9HBsp/nhtFtxZeNWOmFzk72TC9BqmVWvcZ2mrEEnwrrU7ezzlhadTXivyuQqt
3Pyd6w2rSQf+ETETiwUaWKlbotfJueMC+BNZIjlZGPHUrxZRH+dMvA/BJB7zcUUtpf7wkrZ9/xQE
/cRuSVvk18qwemccVAREf1g2uKDPOZDWAfVpv6bgTk1xY+qZ5D4SFB4rG4NXJv08FZr2+MYLmXGi
qssvbLT9IViyfmfYWfZz0VV5yXR5py2Jcypk33KPXpZzG5cDskWv23mT3/E8ZeHE0X9WpuT7mRTv
rDtJUvBVUvxq2DF3xHrL84xTHFNN5fIXnQIe6UasLkbmaIfc0dM9QPXyGTpF+lb0WVqwLGw5SM9T
00SV6+QGG2C6yYQlrAJoET97ZJVsdVV2sHShanQwqlzO412K/BKgKumscOzqdEumGWMHRK/xD1cH
VMctbE74+CUluDZP6/sMFtfGZg90SWTDW5yTPJYGv7q26GsuuDmNOSyqkUACgQoGlE7TJq/YcLi3
BCqxv8Q02u2GKS4Ln5IVGGqd6rC0C305pv0M4P3auEEiCh6SeE7D0dd48VVsdIn6utK5ZWUw/Kw9
qzjqRK/DMSettR06xUG/TqfzshDzoWfW1y9Bk8fvWuUm2olIlsijAAnmLwIgnQIsOuJ7Rx4cR8Nc
GB99UMZM82uhHgxVi0/JQSAM2tH4UbDlZ1cx9/NjB9nIP9hsZbqN9IMGoNfcYbS3Jns1HcNUVrFh
Uc/RKe3At/ti00Pm26CGloSeXMpDm9Q+nFjduxYOl9UjFc3gGW9hQ2iDlCFhSEIq5bZNumbnp3X1
gyJh8ELm64s778rSlRZaGHf+7bSSbGNnGE0dxUBG3/OE2XJYypyRKmEI+dF77PY2BBbbox83/ZZE
A2HL3nGCS0qqfMvQ9wFwQGBvRMbnmfGrQCIg7cin5RqyK0FCMCD1nuw229pEn6Jl7MWpaAzv5Ojg
UQm/k2eRRJr2jVI80diBe6EWtPp+KO3s0Rw0Z99kejFxk+1jG0K51D/MIkUeY/MwHUwd93VQQzHd
I3Upj3ijxY0UBG3aoLH6R+lnNl9Yr8rfsJiImXE9ESceZrE6xslE3sjXxvZz8GagRTa19QM6B/yZ
jj53d3YntZ+N45Hy6ox8uJ/FzBWsWDBDNFoeoGax7WGn+an4RC4x/hZlOn7Mdm1crS7DidKPnT9v
LGeWcRjElrhL5yDmuGi266l+jMGDaZiXDL1FPdu1W78IRhI+WJg5XHPjRsxsr4bmYXU1B6u1Gesm
N+rV5NwYGFAnvXrm/qL2ncT3nFGEYGn9rYHWViM0kFc3Aj2z/FoglFXRYOCOblaLtP4tlIbDkd9N
OkIYdbZL4WKdtjl/Z2/Lt456Zi5V6O/+XBBwYkNvGX3/zggGiXU8xRpNh9y9M3IIcYtRcs2pSv3R
NbzknsfiBHumWI4DcwgWFPWjgFbwqIwuNjd6lsevIyyed4umLQkBr2aVQYP51cdZw0Nq5GPlQ66/
19VU3cPgFLsuqZywzwqbcjgpOparZF8IVvLY5m0XTtWc3RT3X1IonsjZdFTVLQ90/rhuoe2MjhPd
pqP3zUc9IG3AUdy9ACB0gSnTE3CcOmbMufTxk+1L95jjyn5miO/TER5Yi1hrlh81EbH+fk34z2vW
P2haUv/8jB8T/uI/SWQh7Jils596bpzT2hgovssDi9CWQ2KUM3uCmV06gd1I9LGC8bZWD9TaQjB7
hn4M+th9j/m9KBVdv7WxEH+XFxg1xI/jAivazU3SdE3ShPXadZjX1kOy9h/Wr+ezXDsRQb7IA48L
b58Lqd0V3+UJ0xzJVAdL+ium0UKJjbXcRoqp5ffR+/k0rz0Ms5Aj5+wgOA5rS4NzfXU/rM0NPk+U
OAAiAAf+rnZ03zWP5bvx8V3+UGsPZPyuhHRrO4QBrBGla2MkF6V9x4oxvkJLno4dL0bmCOZ4qymb
6GvrxPguoDhrFyVbWyk61uNjtzZV4FVQWsm+CyypXMssdmk5IeN0b5cNeXFPBG78pBSDjbU33A9z
7cSYjJ2jPl0fmoCsKM0s44gZSkrTbJ5qajVQIyH3DamfthDa1uKNzhwhJVE2Bh/Z2swB3tCJe/e7
sMMgWpCLc93CAU9pCP1iuizySQ19t32QwlP94cXPVx4e+fwkqQbhoPXnHcRmb9cGrhemYAbjMKdO
tCCkzs+9LLvqoHotfXday+GK6vIRD2ez0J1IjkSayWO56/7pahjTNBBwTTCBqRM/sqYkDjjUYFR/
MC774Ng7vZHXrX/mw2S+BoTBn7kIticQnM+i9uaoskR1hFPe/gd7Z7Ycx5Ft2V+5PxAyD4/ZrJ9y
RgJIAmAKAvUSBoFCzPPo8fW9PClWEaCK7Lrd/dBtda+ZqooiEDlEuB8/Z++1195AcotXzQ9uvnxi
AXy1k/g57d1P3jANf4Bqo4KwWwT6nTN88gIjPbien981JmRsuzBu+HKwspO4eVUCFHi1FmcsV33d
ZAwwkWFB1hsS4kMq1d9bzpSpNRouNAl1ixrt7LtDuy0WudzHC/UOwsPJKYz/OwMxyMlt1VWv/f/Q
o7YX5Da0n+P+UuX/83/9PzY241jxs7HZ5jl752HRQzN+8Ksx0AXlj58PdyBptTjh+Ff/MAZiksZ2
il71rxPWP42Bzi8QsyREIX1W0j6VrycpW+KJcbDrAaPhqMUc7t85SUEree9g4VfA3uPYZgZ6UqdP
Wt84WALRlX0YNsY1gQTjPeZG4KncsFdFvhAKBGNhI5ZRPli5S2pJZS9bk5bVFT5GesJI/nFiuMU1
zAeim5reP/BIIV0JIQOQh2ema88tYxbl6CGqrYOdoZIJyQ1c23b5OA3Z3STphrH1IlHOCDzhWIcO
pbMDircyp1uSCcQAdi4/9iUPEopsXd5Excmexu6M0JAJhdfbGzW0+WdhDCvlW78yAH+1au1vDId7
FSha9JWrJ/hsmoiOhuIhSZcBUbffXCsv5tw4N0W2HxGro0wv5xs1ud5VEbG5p+nSH21y15nxD/Re
smpxNxEfJ6gSsDLofjjEwdusGcrNDeh2JUp1WEQrtqJGNlqDPbgRrX/Ic/lQCw6KVh+Yt0UGnjuc
i006B8Mqwla3zeKMOqrxw10v6mLNDVNtKbhB+kQZJz7mI1FmMa0v++J66XEzeI7hHYsUzUHIyW01
2LhtZkn1dZhLoDFrp2MuBBz3Y+PQN51U/MjQT4L0dNyr2fbGT6WJ5jDummAjlDaAUrhKsc2rGOPz
Gr2BKa7HMrSWj2VrZdmwTabKN16yfAa8uqrywVh2A4AYhhpl1YFIdiqbUY7dNz3FLGyZxip9KotA
YDbxUc8w8hybaV9IGFz48ylmIMWWq8REnjAXZf9gEN9FDy4xirhHIthZIy6WxLnxspaTpkkje2tk
CzPAfgxoT6WDnZ0MRPa1sTHwC0TwYmqGLO0tRDLIIzlyGLKiHGZYY0eWRY2EeimP5Lj1bvupkqHz
0C40zIhb7KrE4PgPgaJNp/sQB/++bJDxRh+wkyNq3kF8EXCS8HGQ7BCgW1Hur2ivOvHRGJXLARun
ZV4EaxkVAzhSQduCkQz7TUV74nYCg1Q3O2ItSgxiuTB/q/x6vp/YjAqSaIgY3MnETKt1ZkTzJoFG
GK6NoSNRKMHG/hhnTpJt5OLRPe/dYr7NTCH8VRk0THkizbxpZPgAU41SjJWkqVdpRu5jiEW+OBmp
QoxZ1Apt1zi54y43SD5DkxgTbWZCdj2q1IwP8CONbbJ4FmlA/sCOyyQ2WlFLshFysMuonFzr9ya2
5QZRbvShwcH1weWAwuCgrskFNMtpzwsQt4vonG2BAX47l/lySFRZ37ldWz5y+Ge0RbaYHgeptMtX
ROi0VzJNqdl9gi382jMAy3W9l60igNEbE8E25B+z9PjKFxQqqWP1amWOsdzG8G7pNHvlXePX0d5r
kLuao/MhSMfoHOb1fE1bQjoMEKLl03/aif9L7USEH4DI/vWG+BBXn//8r6sufy4/v2kpfvnBryoS
8xdTYpWEXgWIQ6fR/GND9MxfONfago7Zu84iUhGoXsgrtTNeXKQnf3UWiXQ3bUcwdqbf+G/ZOb8o
RL5VkAB38y0BtIQdWzMP6V9+uxc2iIzaAv3owfA6dG8qrj6iueuTbUR67jaRztNUjOMtZ56E5ad+
yiPHuBKTd5LgwHEKLHG2qZkx3QdjUd7lg3hkloLnoc4x61X2BICSQNSr1mSUYCvD26V0r1Z+553q
nJBOOZtgiqb2GYj4LViIWxDh+7Cvw03fOjTFWLuZZww+Y9nkdRBDcir4HNeNV8O3KklDFljnVzMK
rRVcjOsqEHcuB4FV0E7PFSB1kBEtCcXAPtqe0FOdJFhYhNJCpD15FoPjxKvXdEJeg6y8ncyRmYJD
9ZpgYJPZ7aCWOztV1wIN9rpNjdUcJ8/MkxlSNMuL02dHohNeSFp8alS3q3JYxS1y+9/Cxj7gQHRX
9HcA73acCkv8MbQMnrIxf/bAW+0ENjPRZrf6E+gLko/pm76mNQkQXdSnO0tnllrkpq6GyItxa4/n
yJoe/HJ217APoismEi+ccIK9HvpFkbrOBtJpF02MN6aOD0YINKLJUcaDxOw0n91YPUy1/RRb2TGa
8+e2Scmgc04okFt3RZYl4/TsCBX/FfvDnc2iuVNWj9OhptNpZ8fFJllvRj6/KiViV/TMZArGDBsh
A6LbR8uyTTKt/UYfhO8ThV9k6M8yLp4HE3m1UMDL+6lSa32tmoDcLYixu6kTd72c9qDmr5nzaA2p
uK49ulBjFr9aOX/NMZPbLJuvEXo4B78K0IUmvEN6eo9LSOxs3rv5Jglwp+LQnVZj4qebmMy5mxaU
UqXAtdkMz2JnPheoCmZVopHiFLghsO65HEEjY2p78avleoQIhQa+xSbWeE/JLP5gF/8QTKDVXEhM
ip40oQLtoZnHM3KVQ5KgtO9b60DnPSZuwccT2lNcDcNy7VYq3k4T3yc2ausYeNwJDG9JOYPUuao7
8VhG5ktgTRg6sfmx7+dH0xvPTTuc7Tl/LUSq1oIR3WYo5rMVmjH5uSQtER9N08o14jWUOqwp+nM3
S/cEjvapasp0By75hPnT2/X65/RpN55poE2W+5R4rTqgEl7wfsynWhpw0UNUNF4aq02rUzTBN1eb
fIbArhosZ4rWz6HRIZxN5YxXXeH6V/No0A6IVY5Aui7oZ9RqJ2gVHosYY4Y0cuulN7vf1di6N6af
kRKLIDxp7E3LpDPdBEVjIR9bpufQQ9+yQqqa6/CRpnwE9v1YzIaLn9TGgYlIGll4HJ5oH/1OQw/t
w5xv59hVFMQJTUPVIhCdST9Cj+Miv57b6OhXPSlZXnNCiHZXVpSUaEMeK8Mk8XxwnO04OM9zqfDm
EajAU5nGW4CyK/xL6apeAndXJAT4SlWFd2bv9Iz1uf2XVL5UZlWvuqagjz0KrGjS3FkeBQWvgvQD
ej4wjJj5ztL2P9jCG/az5KZTmffkGS5NpWa6Csf21Zjaa8IjfxIy+I58Qhh9ID1NguTR9xzvwrP9
5kSToAEYQOtUB1tn0SMkIkYcMlDiNLcL8dJfjsf/MgHzHYH0cjVQs8JyAECa0Aje7hmBPQ2lq7zy
gLGMJDATnxn4zpVrsaB/s5nefdmHvs3H0TOtt7sT7CrH97gYQUKwzN9eafI8hARhXQFwzJ6DkNVQ
L8cpSJc1brmuuuK/id2Prwm15vtr+vSULXKN9H++vWZklUHsU7ceFLLxrdONZywA+dqwsM7p2GL9
fvMc+H3H6vbjS1vviF36k+X0i6qUCEfOpe/h0TWomCVVfnnoihaxf1X4dyp0OQUinOeMlx3I1X6Z
CNndZdM4HtMRIkEblMzBYvUSuyG363I9RBr7TG52EJBfjXJni/YbbxHLt+9KbNm4QpsqvUXuuCvI
nJmL6FE4Mb3k2T4N6OjWTG6CPYPE+lOEkHVt+ywPP36nf3ML0UUW0uEMLhz5npgr8yQoKmmXh1hi
ZqvEnQiWO2QczU8+0QsT9P0dZJvghTy4stxK+g775skIJvLb+Jfcq0EO/h7cojITeytyFmGSndMN
mgUCc83iPh/VHcexgrwI9lB7iV6bkXVZlyopyqyVKefryOhQwU7DmRCFE7OYPUO9fkUMXgGbDG92
M8v5KXIQFxaRrLdzopLrgdnQQ5nNj7OOeB9kYh/7xC+grIHGR2H5GiZ4isuMEFammdUeO8lrWC2P
fjTslp6g+Jk2QqycQxyXmHExKtM9na8zD+WUHJY7TzVEY0h+d+Abv7cODTPP/Gmq7N+sMAiddb9V
A/C/w4tDR2UQa1jlYUHDq8uJmZUN/ycZNJN1+PHNoVG/778zhNVg/eEzBM57pnUrFTh4W5UHJxuZ
xBJCX/1swbw8Se+uwWBeAvjmnwFs/7f3RRI3WZ8LUR6qYKx3XYJZBqbbi17p0Qapfd+Gx0zaoF/l
aQoDQBVlfjTm8LcuTf/w6bOuZIG4DOCUdQDCyCYbsDrVqqDVGr0u7mRtPWJWDrnlLvoQN63Ieexu
8sTdjn79q9/zxy7ysitbJehHHOoWaNYEtgbotmVLY4hWuNwDpetXQiavRIJkTMey23HO0ChFiuj1
lALVJPDDMWtE38j3RtE/VKWMt7a1fBGU/Ms13/6bJ5bvghAJhAiElr0nQZey7mcSGsuDmXNQGGNY
lUkPak4iYbk1Yz6BhHILZZF/ot9S09JqkTKbxYc+5V4Os3JrQGrdTeFCErprVpshFk9TWlsbX9Bd
yUb3BI4FzFbowC6Q6QakqbEmwgixeaoehZxeFixFkFE+zhbVIXPqZN0aM4N18agoxLCfxPXeypk9
1NND5LjDKm25P+2aha9zR6x5BvTAIsyRTznLY1ATiv7jG/dvHhL2DP1/JhRIqcUg3y42U9Rgm5rG
8jD55YYSZ155Ey/HFsMqrKOffCPITL5/TtBQwuCDIwku0n+3Oza2pSwE/ljHZFcieOiwt4XpMWSn
Cky+nwXtJZI8DkijZJmicfaURPmtm1EAYosjFKwMMKwWY7MNXPoySd71K/DVuE3MGwMxax4wJIsD
qv25rKyNVXcvRbo8zLm6Ljy9GXObRVb2HE66SmUEmS7ithlKmnyVXFOu4l9PfSgkzulyvGTWaqEG
5y8GjB9cVMDrtAb+WodDj7unj0mUB1urD0FhiRJ06rPqWA7TOek5SPpZNKyXhqOes0xAaSJBoBZt
U2s8y8y8I7foaFlUayZAkqTM1Eb/F6PgT8JR35D1MKKOIKpeP0bd7EAmnM5upA8QTmbwPOEzyhuq
JRGmtzNW741X87dJvHxqUhztNI2bG1A5L20P2xFdNWk8yW1CbxZ8MqU4iYFPaTw+kC0N+qdy0K8U
R2NMjyjdG9w8PMB9nx85FIN0ZGdJopEbk6fDnfrb3HR+jzuAXZnpnMZu3FiyVVgbpj3qfuZyTVtd
+1T2eW8/oYL/2X7s/s3jTa3DxF04OFpARb29dcnmShuApcWh89RL2Y0PnWDfGzlm4QBPN7r+uhy1
K5q5uCCp9C7PfBn3OzVhWmtSfqwpLCZoJeqGLCAjFwgF3jvgFFL6JYL9QR1yE3neCL0bGJKdbJsy
j16IWAxume7EuNXYF4EwkzDOWr6mN3eSBmtM2qvH0aLcEq1F500kw3qOoE7kPpV1xMGQ/TBGc8ts
jDLbS4dzP7KCtlIP7jmSBkMOfG54sJ0h2Ve5O2+TNrM2zbRcF/GEAaYAyQF9G4GIeiGcowbq0j94
nA5o7runkU2EQ+ZwtmAU62q+977ur/+nPVj/342cpAUD95tV9rsg6tOf038d/2y7P9Wb/tqXH/va
X7N+Ybl1PZpYHBcujLOvAyeyqLmpLWoWgVhLt8v+Id0zfwFy6sE8wVfledqL9XXgZPm/BPw6YLwc
nylT/z0QL/S2dws1DxVBAPo4wTPGiendQi0bwhctTIeHYDQSi6Qyq9+qqGqza4ItnetZ4J35iPMl
PFYiiQeIgmV/H9fGWOwzzIYZ9tkRXkacwaJgwmMBtmnpwNRzRNkZ2gnNt07gfuUgEAVNul6Yy5+i
zIytDdq38DzL0nlyy/E5RxAV8avOYxM6H1ldl/uuDc7IojAGl3Vmryo3D/EOmfCgWshst8NkOxTB
qW8+dC4p8n3di6eAdDsKPyORD2U5ZUdMTf2Ww0qC35kfZJZkbMG0zKdirvCYGqb5EC7SAKtlBK+d
bDE51ZXFMzRS8l8ROogyxkbS+2yN8EqWqQvWdABSnJB8UJdAmdaL/+D7p7dldPw0nbr2itbe4u99
yjtUv8VwtWBFXkNm4wc7Z0LdJktt7HWLoAh+G9OlidZl7uOZKfrl1q1H3EMyABOHsOWAxKa9Go2B
q5v+NK2gtYDnTPqANEeULquY5CdoDgmGu9XUAXRsU3/Q1PrI+DQMlvMRMSWAWnewzJvW7wKxnxwz
f1RZjl98jAbzqS10kmk2C35bjgPgg1/nxusST5qB2VBsxnP82cg7+jLUxfvL6+v0q+LO1k4V/nkl
cTKXq7JASe+5yF12oh3I9R5ojTBeWeDi8SGjFeq3BK0OmNv6RN5EPiqteDX0WTbdgG2PY0IUzWw5
uB2tq13seLi/rcXCYJtCNaYnQrW92NXV2No9OYrpOOz6BGF4TYPL3SHz9+F14HBBeVBwLwCMOaaM
bjZcnX5U1zkJ8ioYeCSB5o8tYaYfYwZtT00ddzc+A8xzSjrLDopA6+LNa6wjyqPomp5p/Fuqanjo
2PGujZovmxIXEzj6FkpbkDiUF46xdRaqnb0jUIuh1QdIA3XN1fAnxAjlpPY+vaM9w0frdXLxLyJM
LwrApJjGGN9KNDm7IBU9LsW84nexNeCTxPhIUWIDs0ZVMraVl257pFQPYRGo22SZMvbzLIERK8Lb
wiVdmIzhyd+bejNs89h6zAc/2xc+Ph4mYBqTMvdJ4e8ZW3Uf+8p+cvocnoQjfgPYrNK1HgvG9NMX
g8hCQg2LKFz6dWe67i7xFwBnHuf0QWTlMQphhaOI8FtABXl1h9y8uO9Auu4mpYo7J7HN4xCVAcfT
JtoWOJE1xqbfSvqfx9huMkZycrLWU+5Yv85M11dOoUDDkMHLg4qQdGUTRLcuJcFVa8Zk2a7sR2Jk
qx70CIUQYRFTB6q0trpb1DnovHwruy7xR971TgSgiGGyDgLoqHERMKH3943AvsnB/w+baRbe04iq
8zbkVPSi2jT9E4/5Vav46pc6yDYlI5MJh2OFPUCllluuBT/zvHAM8jdG2jLbjaqi+dgEkD3Q+Jrx
dohH0HpGVi6/zngktkvaxKfRqtvjIuqKVFZH7WXjCbm1lIHDoY1q5rEl0by4RimfYFKUHUSdEh7H
xEJhroZ8EpvRddX1RK/pPiZb87eA92+RFAC4+qouKq/buEvUHocQhJ2hXJ0xMPkZvVsdfLASzUBp
GnsVwRxl3a7bXMZn14vEsp5zDO2yLdJramHO5gwyqGNSCWvJcmscBsE472MRletJFTTkRbOlvJNo
kxvvRCK9cc4ymA2rQcbLLpjmFHRJmfeIhfylvSPCAx1PScOHg9JyjwCIVamj1fPpsrJwyA1fg7mg
Y1XxhBKsbDJX1k8RzkPn44zg7rGdqH6wkrGsjpr+sfIUO0xbueWeAXN7VZdAPXgcJvmAiIsL9XE7
b0qJQAszWbbcTmIa6YpORlCe2LbVCeJKpTZVtZDdO5TLbetjG77UAP8pl34C7aaDZf8Q2v3bM0Ze
TE/Vmzz3v37sr3IJ4csvnFB1jNoXhQ71yld9jrR/8SwXGsSbUinAykCvhAGh42qaNy/h6yyS+ooc
A8jbOjfTRgf072hz3p5CEPkwA2UEzrjTZOLJ8PPtKWSplmYwusG9LyhSlnWJM/QekZte36em+/2b
OvKnzeXLxTio665yYNMEet/RiJzZzr24t+9jQlw/XTKCFTqLR86teiCGJPhTJIgeCXRK8X/j0gxj
he9rVROCpjeNgsTITHggpn2/kG7wqcQUGaD9nsgl9AbXPFv+DJED3LdOsmJPTn7SFX3bp9Dv3JNE
RgmflFa+uPeXl1bCjkGU7H1eGCRi+cZIsI+AD1Qfk0pfbi6wKv34Lb9Lb/rrotwqtsl8wvTeB/iV
dQnfqA7kvUOWNUImrPqycMmBAzQcPNa949/Yic4Th+3ddvsYSOxnFshknxsun0MD/GVfezqUucMs
GW6XZbGfXV8ivA+dUZjXYx3qUPFFu207iHDxZs4Brq1//D7e1vJf3oaLpkR7g0hFs9/V8v7kW8Ps
xfLeHAzulYGu8pwPBAn53WyeGVdW13OGif3HV307lPjrqrTfUEpqKUDw7oZheQZp7LRE/pqjeQaB
nuwbr4xfiStvCJ9Z5gfHJt/e8YKYmPGYY+6Pr//9g+lZ5iXrD6UCHOl3na0R9F7WZLN57xrkMSX6
gVHBMN9FY2Oefnypd22ty3u1iHXVUAvObd+17EPl9aUQg3lv68RASFQE98BYJ28otCzCnzLbfh6F
q59OoujXtTfxsBipR+cow1r041fzd28cfQSrpenhyXp/10rbqIJGhAIeV8NDYnsgF24khe+4oscU
/DceEo9lj+eS//e+a32bdSoSwxrlfdv1/qZUMWFTdkSY2+CR1F60qY03tKuukeVylwf5Yp4KPEba
cghFYKVRa9eGO84PUeNoMZwgOKvPxgC8M72LOKbu5LemPGUOUoLpGCDyync//sgu08Z/9tYvX6A+
btsClQoe0ffH3TSPwsFXgXkfhimi+8Ujhu9y38x9UX9qW6ZSuT+x7ik+wMJnAB8lOC7XnQqaAy10
Mp+Q6JMTCRuZUCkzFN1nvxXzw49f59+sgvrU7zPE5MV+F6RozHIY3dA27yFl8IFcPmazbutPpgjN
c6MD2398Qd1s+GawgZQH8stlxocAVfhI1t4u+0XP+UNkqrufaqu6viSUhcHsPENqIPx5EOTatJbb
uXjWQ6KlxIjJaTWBwPiYQK6qV1apCKCvRu50wQogdLQhbg0WTn1PXD6ijl3DXZkJPbRu9HC1m5Z/
c0kfkx5vSLMOftKH/jKV/Pb7ZrMWfM8Wd66kFfZ+lrLgN/GaREX3le7aBWDa2k0KPvcDoGXVH0rO
CNM69UbigKRj5O6aEPQw3gVxlIDT4neLtQIyvJaphO1ZkDsxLpHRk1bWoaovTcw4KyxkIYl/1hJE
K0Gt+WttwCXYCK/CTTBFmBPXNqQ4pLtS8GSk3UQQQxEDf8rSHCOwX5f3Q9nH135XYA0r/OoEyhGY
ExltHF0QIRhPpvKyD2al8heRdUS/UwcgcVHAsnh9Y/xZ0R50j70ilz3p2b+P+EgZI0Kwr+/wWFUF
aoWAIaxddWID2Q/fx+h5Rv2IQy+dNlboeZj/mljQLY042LZyhAxZOFEL/9oNIFO5vfT/oB/a+msQ
0n1Gbs7CGZzTBYApCQHEgENo2tBoByJX6zE8CnKIAYDgtFh79hi194zjTIiOTl8666bD4rQu4qiu
7zxOZ+AesXOGGz+dgscI5stjnXGPUPDzyCFYCbYN/dBoS2kQbD2UiLy6ynGeu8CmTCh9VhtKQBbi
EcLpw5eMbeXhitmAw6OD3oVg2OF6596Nn3nZwM5sxqavjQ2D8OqjFSFquXWtqrkx5sA3d5Gqipix
WTL7V5ByOcehIHrxITJXq0jGYo/Jp92gDYtOrbTbXYsqpGqYS09CLE9YxtA3jf68QUQn/1B9Va2d
pIEDF8hwJ2lp/F4EnfNUWQaqSLeOP3OjzH9GHOLgEcRRuREDXw8m0b7cc0yEzI4CZ82NVQgLxF85
ExigDEMRQdd/thvhrmes4vXZcPwkQyrsdyAsMFUFxdkjGUnQyonRbXmbwqPbQ7tfMVKFy4YYnrxc
PUKeJIOEzAZWGK8A6CjwST4g6vqJvBDUpkWQpbDIMIgV/s4QuvhZnPmhyjK+oFILq0QEdorV3rCf
G3/yoP/lE+AFGgj5r7PR8Y1dkq0LpQihHL2AdSWoWCsSxV25gvTGZmojvwW4Y3oEo7Yd36xrLnyp
ScpYTSDd3kzBxO0FZ5avPhtZsgG938Mho0exKFen89EiixJBvdrDmb1LiwlVTbgEj5Mk87hbNARk
cFl4bNYhzy4g6reog1YNT6i/JjSLXw93ghfHiaNC7hWFjwP4lE2mYLQSUCXPDZIE/lKVBzc9gYnA
9MGEM6oBPB3BZe75kwhaCDnHCYUP+hH+YPHgf+x8hw+nlezUwE6xoyCOMNMTTkqWmMDhVQH0CG4C
7WCRjsumDtFqvruskdRw/k3osIl6uJ4A8PjdZx22MDCwss1zhyJ+oODg1RbDwFjMQn90B2CSAmRw
EnXXXGqRLIcH96EsQP5E0WieUAeZDBGoDJW84FIWSNcSvfiQcNyw8lQygpBszz0pnBulq0cl+ezN
QvGmeCS5UhaP3WeSzOcHRkzd57FV5I1GKdWnyEbn2c/ZRdGWdJ/rnN22CaLmU5rBxFrPMAcfLoXC
QswPqcFp7j7LmfoePTJfbcOLmaWffraBdvJZeJZ1VTWGOImYR9qtQsF5PicolNuI707qV4vwko0H
wOehC3lFZGpShFc6eNYxs/oTrkl2c5WB59qGNKKev+SdjxXisquma3nlf+VwVpOabxqD9vj6UuAM
ulTJlrT//OXwY+nSR6UBCZ2MyIlcsI2sSVde7Q727UR+wk1cOIDdPYv8S7YdXmAtZwzaOlsuBfth
hn8gBANdVl4eITN0CCsd51aXQew8/aad7n176j4TDcF3VIc+xR3/M4hMNmAQJ6xt2Nst8CRFsjeV
SWEgyNp1+aZPUMS8K95OdW2NhvuQqEGBeiJwqNiMAxGV08SO2+vb04EHchKRzufNkFGSGjlSrtp+
qoZbgleN+FDECPGY4ZbctUghfWurlbvgqRxuYMwPfGa96QeP85h45zTzm3zbN4LGrQy4R3JSNZ/j
YqIqxZjB+78sAkhK5geVlHwqED6DGxjR1lWD8Oa6dvXli4lITaBVlGO9SWy4WVXXl3RPyv3m0IQW
32oiO3+Ts5HzOUyUoEGZhI9GrOa7Gff7c+sjYslQ0xRbmSxEYALrD27atuOVXO5EsFvk4E4JS4Bj
UqNvTXpjFjVtE3V3wRzK6cqv9BeUNsj8dpK216FozQDs1DIH2LsWo0Pu2FMUgcKmBpJTVHwkFNd5
BqZrnqXhcwYg9ImtCebTebJaPmRLatob63yQ464I6k9uhDtm3ZjTfHd5h+xE1MidywrUAmreXw68
y2QQGm1aEI0ijqgJSzejBo6056HhDysUeASs6Cpt8Se+p0vFeNk2FW27aUND37qy/Jj3vjg1Q0zp
GzR5ZbFph4GTjP7UWjwZwSadzHyBZsLLiV3eRZaQG14PoAdQpkaA2bKSx2pRVrjxaM3vhi6HsuV0
EctRkvFwoTJkdYy71rHIXJS4DEDJzERgh0TXTqPXHFTi5MXWob/tPMwt/O51Odkkphq4q59tsDbJ
ir8dPJYYd895PthXGZyqakvk+5Qfi9Hlp/Mhls1HZFwTt0iY8UGjtzVP8Lf02jeTN42j0GSRpxRh
EIWLque8EhfcE5cP4MtapA/uYypZF/TC2kbMG9aXexfjNNva3GOZnr1E/QH1LLy/3J9gP8M9lLEB
xG5jZ7fe4HOL+ALtrY0o6BhHqvX/uiEK+pevtTdC/ySPrT0YKTDpXNXOc+TSS7ncFS7hkHRsITed
XCRXe7PB2I8qhw8h64ykWrtlSbwG0xVWInTKxtprJE0IFC1EQyf6DRlTwd2HxgWNtz3x7xSFEIm3
hOydTJu3wC1nnh0SdqeNmUc8WV7YsMN4UCJ3xLzOd0NasdpbifnBIYYOI/bCTS0ME8RpP7FoX1ZA
/GJZsYH9xYfdh4bevmkb40vxJh4bvQFhpI8sNWHu6VkUSGuEnNAYfsByNehXmw6Mp7dWo7huVKv5
oVA2R4KaoxqGFEXh50S8b4ZGPnc3ZjRCfex2NlcttdDycTT9ZD70w1jGH6Bbi+qqZBk9tWLkVTg+
nlV2fsDaZFiHS3vunYEiJDKyAPJ8nexLGA28Xy+Y7uAbeh8Hfy4+SMt5iY0QjGuQdgcnbwQxdqzs
UxalrxGxoCtPi2UtlyM1kx6LB3hme0yTmh1JJQDne1qeARWKch/BcfA5JzVfaOVMy7w3hpRs95KM
oFXU0PCP8ahfJXWd3lrEYZqwyx2cq5acD6VZl4it6rq8DSurojOeUy+4OoQZ/B53WNvJ3t/Oc9eL
I/rnPD6mhBIta/j4HLQHGzW2zMv8yqgkXRi6bAOIw3AyPkap5Otpi5p/EuDHh2Q5y3xHBxCzgwVY
zMI+QDj7SI1T6JIOMiy51hGAKFjxBuakiWdGH5SznFV2sgIe1SBuiLMWLS8vXDyaTbKiPrDDiVc6
XzaTMGbdXsAKZn9W1JjsLkEdbFO9h5sG9nhwDNxBl4NhxIihRria1ix5PWta5YJbuaaf1h68uApu
kiCyr6Y6ME/R7ASPptF3n3EiMxuwoD1yBuN71cZ6Em90/vJQRKxWi5vI88iV15d1M0gzFkfG8dZW
NSXPRK7rzToM/JsChEKxCWvaVxMch0+46qZVBYsBIwKPUJ9z8yShAQmtcnZupFdmAhzYgTjbxQfp
xMmf9uiS5+zUA08cFGOYxRkQS+NLhQFLdzDYmQsyUe0rgieEd8WBbe61omVY+cPQ7issjUQvSgmu
oeudZxKkzbPvm7TswKska/o8fCRearBtQFHnJFG4bCwuhrcz5kBmVo1nXdXOzPOwRHo5uJTMDoRQ
wmHIAwrKQuyirPD8rat6uePK8Tluh/lXZOvLTYzY79d6iLJNxxPC6sxpZ2GAKAdv5bkFmA9l18Zd
a7jAVSmnS39rtdZ8kJhuXobacj4TeLP8mVNVvlb53FFuTzlBaK6S1yYaYZgsXcXs05+eUDW47WYI
wxxCIrYA0IjV3Bwda05OeF78TZS6yW9F3UcfXWr8eT0UucI/4Yg9rE91Cqw6JOHEy16qRvGbnFIk
HZVyGUR3S2lwYs1xsDDu6gVSBIZY7n8sZ8w2k179ZMKDIMb94YRHC2I+oQ15J4fRP/RVDoOnzEER
6DEr+uoq+2u+4wW/eMCqbOKgXV97s2k0f80QJH0aaDF9MNejKeRqK9jXIY/438kQfNsFc+gPojCj
mQrDysGz8N4+YI5uMwoRITDgjAxzsoycD1Y71aclR+X345bb2x7fl2uRmYVmGZedab6XfyOLAcXE
oZf1f6L7NSq2/YGN8NIWa/TZ58fX0wOqf7bCLtejnSgl2BybfMT3rU/UDpKHS3C9wmS/nDA2U9oy
Zz31s21dISGkPrMuhapeOX988bejicvF0Rm5NjIj5gTfTc84tHUciNvyakGh+LnIC+qL3Bz9m8uA
4HI+D6X42Vv+m4+Y+R+OfhfnAoLtd6OBvuvTdvK94qotTPDNYPM+I3xkBwySlgGBoKv047f53QVd
uqeCy3H30h54P71KhQHiH9nSgZKCgzpJ1cABe1oMvmX8bqH1/LIS/Uvps9ajvf1SPUfgIGDsEvDh
fqcVV51JLHo4j4eBJRRDnht2EjVGQ53vT7auGIGvnPy8ZN8B4PTQjE75WNYMJtaxmy3lKvI674EQ
RRxH7egMHI20Fsacg/lJSf8nd4Hj/c3rRRDMsw99Dl2cFrb9T/bOYzluLO2273LnqIA5cIM7QSIt
fZIixZogSFGCtwfmAE9/F1LqKEn/31W3510RFdWtkMQ0wMFn9l77ZxlyVfpenJX9cLAxN4snrSQz
70rGBbP4uEZXQViFMZ3QXMw8PHgO0n9U8XzmqccTW08c55RKWt7yUkNbkuIxcaBuBlB32EEsnnGr
0qRMTqNu0iSAq6c2MnU+hza3FyMcYPuCf+1SmPuzuXi7ywNTo7zstpcat9GoSi8LiShdi5alG2v7
3RstsvucblHjFo6kmV111grc5pRwwtRjMnjI9FF7IUnPj85th6biSAAlnvvAlbMG7dEk9cv4ylWq
COjAHJepm174o3jA8DVdV5jUGHXZGbIzhISwNdeDoLusG9QomQBNPd1h3jJ8BbvTvA5rz7J0Ot3+
CKhko0ZGYV5pjfc6jEGazpZYqI3SMyoueP9vlzKLXESGQeUYNa8W85yz1mpUqz3+znRJ7Tcbu0N1
BB+jXrH2UT4Sik2DfxmjMOPlnaKsmoKSnTcg0bXXJn8m50HuMWErBgoPb2FYFa3TqMHnS1u8lqlb
u9hv3zdzMTbD1ppsazcTluGhTNZoFOVIc/j9Wk2ymBlWYqXTcJPmiskHNQzbD5s3a85jI/dyGuni
tG7OE2yLUVrSGWpt2bMSJ2pl2wszeWGi7z97Dedp2OcD/cb3JgOgjHirpde8MnPm5r8M2uaOOXNR
UtDRenFlIPQjVHKd7HQAkKj1m5rmaJipbUfH5CPl7m5eSS6hBYpr5H+7ceg4TH2y8o6ATam7pnX+
nE6COs1DR3m4fP5C9UB9Bk9sk9x1Q9wwidy0la/fXn4PyA8yPZgccG4syUHjvT4kbj+GU+z7u6GV
XMDJens4fQ72Xsosiq4MOerNZmSbQO6I8vwzAeRGhwwSU/XAeBFW9W3fOrKxA6/MTfXYOJVOHmhU
qwjwQAaRNgIpgNeIRC/9OBm9OyqEUlqVnKQk1nI/6zj3wjbW5uhMY2IDIWXkzvQ1Gfro2lz8+dXx
ydAaZ60d4U7JJb2fZs2cXiQff7KXVTXuJZqmKVh0IoA0b9Q2NYnkgWYDghWxfGqsKFm9SIAcK1LH
favYtEmrjhPjy13jZdat7dVMi8fpEPmzuurjGrtwCUw1aaKUr12bb2m7nY10E+OzBJUbNsnsMN5W
BvlTSX+eGO7GQY+Y9U9mVb7g+pKIzkhPVFejq40H4dUxGibdrBFL1cut1w3xRys5NlHTuacqTZzb
Rq8gpg+LmK9BK5R84Qy0a8yX8dpWLv2Hj2tnCqU2xGnIxe2fRNQrkPdsv9C/uW70bFWyrxCcik9E
qmjAtNu3ynDJlSx0WxxayFIjv9Hiovvez15mrYnB/wk4l9WZxxzXshlhpmFjyRYQiFK6n2XfvNqI
/Z7XvD3Gj8jU7cAeWbMiKoyeiX0ybhtBKzaT08F2JJ/eVA06OgOxe4XPLX/KND17ycDu0dWtUzhW
mrQ7a5/mNT4pAL4fVcwivfrJAWsN6boKJW8j3hkAqe2TXSy6/7Kgaviz7DRtOTJhH7yjVYKanzaU
/sSMwyHGU8G04Z3QF9vZdhWqL7+Jrplqxfcd8PYjnv4nN0na56Lv3uZSrad/ajwTwjKE2cDnBNyR
c95ujPQEl8z8c9CiYdqAo9NvGn9yH02HvU6YjtPRtvB5h6CQCTNNDPdKAKv3dj46QtLKmUftFmE+
l4nXhLWS4C9GFksh3LLWDTSSIVgsWVF1W7maeC8Mi9/f8MTqPjE9NKN3RlApGJi2ierdQkhtAdaZ
IAGY/rl2XRbpwEdXwmVfkCB+nl0P+qGovDuc7DoBxfTUrkFoICCsSL5i3qQWaVZ5iTURSJmvAoqp
BUS+xe8iOCxEEXe3iHbnIyYI71ZbZyRdSahVyK5SfhCu61+T/cBjMHcWziG2cSy/Yp0eSmnrpYT+
EmlpUoMmvkxjW8fkTM9AoD2PoBT2Tr9uY5nfIJgr1o1MeRnUuB6mr7QR/EKSV1yCymL059AIlwhV
c877dZw1X0IZRjsmuviyvSB4HlenV/OTMx4moEldVjAslLmXbDj0e3fmOQ76neFwhERmQVc5bC5H
oJuss2dXi3kX86QXyX0/VR4khWYS19MwoCEvbFZIXa/Jj8rCr41utuOKMHG7v+FtUvcytTmnS0SP
65qqZiyMJtmlYpjpa/bfX5ZR4d3aQ3ymkog0jcfXZdrDRr07jDOqkX6k9r0s/o2lYCfBWsypJCOp
Uqgbg1ba2uidX79OJqLhO9MeedVp2fBep3HhR1YoJN2zaJtC8rRwwKvDU03iVewKx5+d6yZWwjkN
ucyYYLf2/BgxVXgF2cLBOnewQaemU8z+iiEjW3Uw4qfJXSATkJTlXIvF8iTnoms8FrWmn5oh0b71
XUuoyjD5KuA1U+WkGhMZUwHMwwTYrYMgv0e51UG5D2J0q/muc9d5a6zS9RMFFU3LbM881ofGI2+7
ROFRPUbrPirLLL6moVy3HJKvUTOILAl6c4UqhbZsCNsrPLAazGRmYQs+J0rLR8dKteFxdMjhw8Q1
JXHinYvc87HP542/WMQWxGyMd3NO3prxKfOoluO9mno7wHyszsyZ7G2qCyIxo6JMw34iv2pilLAv
UfBOjOQS/ZSLLrm1yh56OOPrLf+2oWKdeSqypbnh62/PtcfJko+J9llpfnrSegz/o1z38bNXHmLT
IYJBkdRXDJPN+2idsNLBY+uufyVmGW0wDT3EHke6BYtkZ+gxfn58g5hhVXusxz6GjFMY50pwxLAM
AxucoaENjJyKBDZQ/k1Lhb3zxjoCWVuXIOFI2Ai5AyeyGKtvFcRfMq7vfCWmI9c1hcHQ6nc+hP07
pNBjOOrlxpFzeVCD3W6pjaNH5QxQFnmIhmiLyf8WAkt/L25QjFQPfNs8lytVnHjylXtR5gDHNayb
XulscRnfkGtAkisf1Z0+NzFCBWd47WrTuq3HEuIRqwcKSNXuC7+oQme8t0rjTOVXbaF46t9sJ7Lx
sV2U6CVoTPiDlUuAvcdge/kKk4gvRAzcwjvbtqYkLAcdfQMVwdhsNJ7AMphJH+QESXROiIsUzO2z
C6ddOzrW3DY3kg1CE7BWZOjndFyRy7hml0WqSOT9nE8Zcvt1Gfv3bdvadfzSGq/kKcDVDBaQmZu/
t/0Q1TKfJ15zaC6TSspYJnjduj/8+5/zP7of9mJYZZll0PYLGrdfux+4VT2T9r45FNANmXNjtX9i
6cj0VSgmfQ5AkuR0OQ7//uf+j9afn4uWFFUtnamgU/z159KSF1ZWq+Zw2bD2Gln2pVSF2k1uwvlV
l9V8dghh4KQY1yr373/6rwJBen/+Wc1KDjc4L+KiyfrJ5w5MlemJ4dQHQn1pQBavM5+8dcaeuej7
oYvAFgj0Vd102al+3x9dXsJ/Ndn/NLET5ooY/PeQqLskrX+Z1n3/Az+mdZ7+B6JYIhyRzEEEvYir
/5UxJv7wUMsaNnB55yKL/mtaZ/xB+JfpIN91Hf6zgg9+TOtwr6HG0g0PmiJC23Xo9R+A543fx3Uu
ImlmH/Y6FGSq8Lu6i+1GPCaVbR+5YeEymdmSn5OiiU421OKNNdvyBfnasmu6dNmx0YxOHvaEV1/q
6pNd0QoKJ5MvOqX5S8wt/w/DoN/vOl6dqfP2eYGmxT7vt+mTjzEmMiZfkA8k6jc7EWqVYlXXla24
+du0mPdQoAkGbMisCn76Fu+/n10/00kskw/51zNtpZMYwrEdHSGPsNZX99NdFyUmycJD2sKAjj6X
bMxxywypf5P7+CdCp7Hda1MHR8zH5LhXSvjpJyPr0j/VUi0f7iDbMWzY8p7igpztnDQXEte7gRyU
tnYeEJABpSZcyz6y8umvjcZqdkJvCLQmjJmpYkmWGb1PeZeYM12qS2VL0FILnXqiGwqhEIHP86he
2sBC/hmMmWO+xl5F1DndAHEWHuMzivMtKXnDGVdMtavBTq/pVJaX72KK5ATgdJKR2yL0F63rNCYz
7tOAJRkpxtJypLhOU5H5i9ZUS9YYq662xsOslRFkv8UKgEkOxMK404jhF5LJBjUvijRTzZ+Jw6CL
ImnJuLanLGLyM/cv7NUxEKY6jhwoeIka2aN5zgHP0bwj/NohpgCTmSbMSQYIpduzP2jZA81UaoSY
f3XCaFnT1JWrd6GXKH87DVaX7kZGrjPcRdc5q8iLsT+1rcPgSST9kzHUybbq3Wk4IsotyJY0ITMq
LFcglqwJ4AepK/qOeW4EgRBSIpUVgAMDi2O8rKG/HTu+OE7xpcMTX6EDCxHQDQqtgz2apoZkyUGi
aNuf4Rh40Iyd6p7UPgWMmh0zuiEU24KgJsaEuoILlmXo3Hr8VXNhavvF9GiUExPiC0ld4JiIFCGQ
7MiAvzwvDGyYRdQDHvMM6JVn9y5iGJ59S6kvW79oenQAoPF3vdnHZGdmUBx5/DAp2YxtJfe4Fo2r
SPPUCTUe7XNG6pg3JVMTFK6dfBUIShBEGspG7OyWX3GArCHDC8CR1k6J5fONuCXfflyQIThu52Qh
994jrTczBRSrA+U25mpnejQ6THMN+q+qHjeRFeHFzAjcM4jW6vOPKkui1Av6Ltubej19AJsuDdpo
WPtIC6pm1G9k63fp25gWRXPwq1GYd1KC6FiGxToWupWNn9epn38922b9tlCODZsIgXrHXdFq/Re8
Bxn5Sn7fJogsa6znPZG52pb8pfmGKRZrYQzvvbEdRrT1j9BB5/mAS4+6XosqqvG66tCddQNzrT+F
P3WsWrUKMybdPNKKeMr1AwbThEcBeURdMqVN2OpW/caij11sNxdc6opl+kwPe0Zqvh6GCe+fVKvq
DjYrQL0BAdWGbSY/rVvf25xENlTKhWDHFm8w6r1RyJc+dTIRdOnIq1exuxzY68GcrKfmlSkiPdNo
+gQB2GMzhlA5LG+LNU9pzF7U8K5n3aATTd/Z+i04pVXMRv7NWycL3w4brcBhth7lPu882QikK1v4
DZyjudaPDH3N5bmQiCbAdk7Wkss9+p0IIQtPAmN+s1mx6s3JI/ua/+RM1QhXKGYjFhmZwMs0fq7g
zqWE3mh29UYACLU6Ic7yqu6I1WqlwSsmG6/WdtPQowwWWtfsW88s7uaKnf6a/msyKiUk8mHAj3on
6pobK4284g5VRlsSdAl8NEQHMB5V7aKb1Udwddclo+eMI5GEBaAtjThWLIrGW9F2pPnCSYqGsJKd
+6c2Yh8FLdeRxlHEZLuT/+DMOnIssgiCBMXXa21o9S0AMh/ZppPVQUSY1JHNLzDbSdbv0ug/YWt2
jgioMnu1h04Pg1NYRagBXQImjCQYajyLcKI4a5Cnws6inYHR8yaxxgjOHula1+QidRAtBkW6XjLY
X8BjQzcbyYvdAfTYZmatLRt4EepaMLu9ipIxISQW8Rudj1ccFXRQe+upzriytKI/+rCBXLRDEU5C
njMLb9mfQ0FUHK7YtnRNZuJSehBB0CQGc+9W876aLPIu2NShvuUcj9dcRgGMngNflpZ8+W/h+P+z
6gVLtS6v/n3heHib3tL059Lxxx/5UToaNgXiyjWgrcKggiXpLyOfo//Bmnc15HnC5rewHv6x6DXN
P1gy46piWSjYBHv0Ej9KRwPwAaJ1T6eiddkg+/+Zm+/X4ow9pOXZJIpSn2J0w2mxlpY/lUfUbcWS
4RJ+lLJpENkvpZyD0eB1bhbYwdeNQLCeMEr6QgSe+ZQkuXY2/Zbrj5iSZlOknr3BEe9UOJGLKdQc
Y9P7WrO1FZsYqev8PY4Wm3GAMjolNVw1eUA4OgJWwuR2A3vabWMwvTM1klgTv5qIoMznfW3O+XnJ
cPH7bOaA6GrD1worNje5mMSdxnbrDpIvY8dE9tObj4rqzbWSOV2batfYJPHImdiBH9i5LNVOxKY3
7/hzszdcsvM9mRkG0XXZ/Mrp1uGHiEnuseal/zp2sRGYDaLd2NSNB4hhD6uQGU17Ic1Pg6WW/B+a
7os/6a+u+/IVOGxl+VaxOYIo5zL4+SsoFyEyLZLO49JZ/jq1tbfIBRla+bVaUYFm27sBSer+fe02
5nU1mby1xvFqe5Pm+kg6LCmPrmvXR38ZRmiCdsKTStQfRpprLxUPpnMya2prpxk4KrtH1+4lffFc
FJG3j5OuQbto1Xee131CjE2IbjNdk8FpPpmJuXcT/yNrnfb9p5vkf6nL/V9HALxpDD3rBex57ImZ
iP1WljfYAeJIb6pHBoPRq7F++3FdG59pb1jzURsekYx1xxJu11YQbcPCTkOII3n23agB7GdDJmvK
Q3RSd3EF+3SqcUtHM/+rtUzzK89MAxacOd0l2DWvrbhV97YXPcdCmXs/TQtQltO4cdByHdJqqsBE
d9o+Hy0nnBnMbhe95Jq2en280hfro3KG66kzDVR3kX3gYSNJqIggJak53ypwSZDV/WRnp69F42cn
IerpCxkfkBJ6a/rSdMQfX2a+XW/AmsfkhTZwZTZM6sxNmd+6IyaHAqH/Ibc+dDJuusBZ/f8hokgb
qhAAI56iCmrSBavqZv5eXzpzY1IDh26FFFVVfEtBX6XZDXzb9nr2CvNl7qvmq8eDlyxaBJHsDWxk
w2pxjV2VSHnwVZNeFX2v30Sr8hW0+3iDYos3Z1oDi+M2WbLD3CXZSvuIzbOGqeZO9gYfqJnGpNJ6
C9OM9d6EgY4jeJIvAnj7u8/4+loIkO16rNQ/eLTsX88shAUeWRcYO63V02yi4fj1hiE/Mopidlbn
pNeXh94HsKER/PIMtpi8bHfw8Rmt1w5V9ZfJ9JaN7CVtmgA3/5GxybxtYGyc2l5vXyB0NyHSbJ0q
pvmM9SYP28EpP5Utf0s+UrQwyrSqPeNjUj/WaFCdKn0r7Vht8UGYZ8AwNK0uC1QkBtp8g3cn3XBc
zbuRfe16oILq6OyGutXuNZNp7tDyd6pR3WLBXx4ul22TUVamqTPfdK1t0EXWEeIxj0AeraR1R579
gp+0vU1lipKrJOAqCS1ytt4rPd+3IFrR5sPsB0g3DM5eoI51tzmVzJ2nt/X8D+28uVrg/jqv1o8f
IzlzNHRBtPTISX79+NknSfDlXXQ2u8bRwp75BkViqz1mbEJvOoJLgK+2UnvK5pTmwFaN39zAz03U
3kOhRkwS9yApYAVIFQ/vyhtgOfApfjs18aYxuui1E4jyYOoVxhFGhbb7+7Pnf3sDjHd4WRjEwWlf
gJQ/PfMqyuLOSGL3XDjwD1C/q9u2ieNd6yAXDggzWHZRi+6b2Q5HTJXAYnC8qnlDe2hfGZMTfePe
s1YFe/1mKde4diaIf4kJxW7XFl70hEuDDiGpYjJ///61X57Hv334ZMkzcELARH7R7699KruU5nWy
zzWoXJyHUkbfuJqZPdOQFM+kni83mZLqrnDHat9fiDYmoTQsMdPxdAEATb7ZHQt76o6122pPDOj9
vT+JHlYfYLi7xZPptWvy/qfSL6DLgLj5NvKY4CsiWUxGdOH6sniwflv0s4OY8mrvji7Zb5kN6NuE
ENoPQ/Ri4uk5aJ7mnWTamuSOuc6O3iTeNUWiXkkxWvbdNEZHtt7ddiEbijxX01RfjRi0Km2A0NaZ
kGlsWZT4O+gu7wYDW5lYFcOSvGmOhRijV7LduiM1Afrg9daLfC3+6CK8Wlsn5xcHRPenRXXmuTDl
PIRlZo0QmdvkQ2/kssv0JHrlyhu/CvLdOUHWjyZzo9OQQsUQ+uq0F4BCz00KK3E2y/xJb8wFnQTZ
wZ/JGvti1SWOmThRx3wi4LfDMcjwozCvEzVJBgGFus2MhWfJ318IFIm/34a+xUiSwR9n9loO/lY2
cFaXA7LQlkkfkoXNrHODsSzmbC7IcNjPEf0hY23eQIKRbkcp1rw5pE+RTMSZtCVc68jYySXjNStO
TOEgxM2lnqLu1rK0ZFxS7foWWnfAnaS/r7vITxz//bs5ifHrkLpCC8Hklm4oE/a/+4py7GasemIW
XDjigRIVInEaq6jYFQbOu4C0QkYXsabCeWkIvhflJzXVBrCURM7Qe81077eO9kDE94yGAJT8R2vz
WOH6SsIOT+FBGYvcC+7agwulk5Jz/V4Jy+hfpMoPtpaPc6gwuWCzml8MpBqhVXtWwOsBiS4zbggE
1FysmUluLZk47hcL51vYjWN+IhaG+YBfzBqU5KXdL62Z1KDfI0FIx5AnzzwH0mepZQVDqWayvKBO
iZqTHhGJARluToxoxdXVprQ4DQKZ4GXUYLWeCa9fCxwG/SfdUzyqQHSzPlu1+uRo9tteJaXO2805
8kDA8EHJiSEGEYEDt8GcmMCGPIc1OGGLRvUUx71EmyB46ixGZr0nVgSdNDacJr/SevDwLb3jQ9yn
tbYlh0N/LwvYYbg5QMiQQwNcRqsW4zomtokssDr3gnjCVKQJcgU2qAitzwZmRI/raVge8GlEA3KM
TJFKMowHInUx90q5LN8wS3pHDzwSFpQSpyxZGSRB6t0ybcUIuMuTTsogh4TrYEIPQWRUS5WJKL4L
ex+YIxKGSA9Taym+ue507usW6ZdN2cqGM3erTTGRE+K6ZXJvArLc8DDw+WT8eXm43Ej/XYk8zc3X
//t/3j7KFK+z7Lv0S/9zm8qz4+9FzHfkqv6KqPnxR/7V2RpkSGFdXtvU7zyavzpbEDUoiNl30Vsy
X/lZwuz8YTqUbz7rj7XlNWk4/yVhZl/CwAnOH3N6Vzi6/58sRVik/HZA2lBXHRYwNq3yekD+ZuXP
5bDk0+DTdeaMzPwN1z45kh227js/aoR4EE6LSagu9KrbRZHP4ieYxtTZ5NFYT9QElgOPygWqsWpw
8t46J5C3C/Vio9/KqXHyrsRVVeUHJlH6dN9jmvko9QbYEnLHinuIKgMDjzkYdUxia2Lm3rivfQEE
LGmzU5lVxjcLYUpN1k/rvWvrylHRF51c0ApBTQb5RvVucbYZue9jyDuh5Rc6OX8pE9rKcgaS6JFY
ApAtms5maCS0T66uvYPTZulsa9D52ELdOsmYEgm+ZNdwOdKjO9rDn9M6OGRRQVBDVznJuSPDMcHy
oOb7cVgiPyS3r+y2VsM7Zj+xYLmRbdGECKGSqxYEGRnuHCrx5Lyn09h/kqOTZLe2qbRQYgm642mJ
PmFOSePYFJgaNz2iJs40X/nEM+p9Oj+6do8QjG9i/hzNUPo13R+JylJR/OgKK/Jhx88IH2Ze/jF1
ouQKWK/6DP3NsPeOUPoxrqwRKm4uIZIZWWns3N5JWHekVvMyd8yV47hFO+K5I4xXWekI72yvGTZl
tFAZk5c8BFaxRotmS8pYzVWJXMKMQVsXOoU7v7IWaZ173gn1rMm4W4U+hUtIBY+lW6c/L4km+OZ2
BQKlGI60TAXw5JgO0l7Jauws3IcWni628CSPQxPz+wOxZN1prsG762VrPGi2P22rsUSEI1yePF1n
Ox+rwSdU3DS3rOkXLITfHfjxzPBg1xLmcC0uJn39u2PfRI2Kf9+3MZF6Wz4I0WwYylfNvSDqnbyR
KjVEoFvQH6og8ZATBEMpERMBfDYoDip6dPz9hrAEvic+vYdBxnxXizG6jyh60il0QQE0z2id3Bb+
KuSEOVkhCt0FqGAptaLXTEJoT1kddeijmjj5KMmkaMDvurkLBHYmVHC001iuoQf1rdS89JpiIbly
omp6M79TIFYgxIyEaD6qCy1C1mbVoUVz9OQwZ6RqHHxdFAYu27k3NtMFQKF3pbur4jS9pxU3cDa2
I5y6uotK7mxKzpXEPqeYiLMamVyDuWm8XpZ0aENTE9amTvg2w2Ys173cxTOTXfwzSETx0nTlULo3
aimn22K13XQ5uOIkJp2GK24tTzMXZTsxLOmtBlhj3NGYYuZB9YAdp1w9Pubq9ul91cYnoUu0iKC2
H1iIfdEu1iF5sRF5djbbt31tUZCy/Sj7XTzM9WdF0SQCb/UnUW6b9V5ETVft+UXkaL5WESfNSTQ/
itZX9fGHTx6qorMv9ATTrpsxdbBIH/tGvsYne0DGRNK9xD+Ym2NzmPLEgPMXzbAZGo1JNFwShkeZ
+SCqifuRwicjay7mNLMHJC753Gb7RVneKdMIig29SVPqWhm44lxLVgR+Iejbe14kt4UR4yRM+a5q
/I0LbOJFWA+kkOjjzhqSIoTqb16Br/O3loeVa6ulDS2tSMAzNYtIgYgUJt9zLuLsvWvd7C3Te+0T
DvKRmaIaO9ahQnCvCTWCIFysbWmAqj52cSw2hYVibOskMu6u+A2C+kVjbxLQzTUzDA1vQVwipGYT
Dgj8wW50MpVoJUIFg3NjSodwP9vpYgTBLGgOWttZ9TbqyynucTPiMLypq4a4Iw8f+JOB0fN5nJYX
wSUMX506lO+m0s2DA/rhwbFZeoKvnsPeTNqj67P1BPxJsl6h2QSp1+QfnatIituiBHUTlB2mlJup
q+ubpV+cbO+1tfW57UksUGrEa+2k6NqMNCo8tMB6jyBvzNRwU67+z2U25Bn5UtZh9J9U/GAoVHmI
6EUxL/OhtNzetTP8+WzCTy3p6d4toyfje3f933rqH+opplErkP/fbwqevqo3+XMF9uNP/CinfOsP
gKimRZnhuNRAqyXkX8Q/3fkD3p/JyMVAv++ZDMR+LAosajDyyrAoA/3D1bTOWX+UU6b9h7dmezJp
vXir9P8okpPjnk3Fz3MfRg62YN/gYluBn8DP+nXuwx2ojW1dI5Gn6ngZNeEStDx/8ZRZ3C6G1m4T
pnBw6er87E7eDQsFNr5j1j42tfbY6p08DTzMA3Kb6azrQTvOkeVE+7HOEtr0VntDB0Yp5NR6ixg9
Iq4JQUks7yvXnq0HIdLcLAMNTIN7XIzOM2/hp+r1J1mwAsbMki+1BfS2b5obr+mAsW10bkylMNyO
fUkyeAR8eLcsse7i7pm6rv1UePSrJABUZWGcEl85cHzMyO+3bqILuUvwoTanHuoNY5CsyhllM96Y
cUvR+S3Gya1n81nMsaRCXAgfosoRkfL2EKZn+zhgatYjjs3UzZ4iGDXc34ZLwx7iHqjfsiryPlYP
rRtCy1USpmhS6yPRYdJNdbifXdaEPS9B7nNQ/VeQ2Ba5GRw/uYoYKOAz4G6WOygd2bhdanQLcJKy
QxmD3lFV2iO3raz+kGnK207g4l7nEV2qZ8XJgTHiY8yWni9ryG5as6oPmTk9Z3Vq7bN+ygKj9OMD
+afIHtoyTl5SlYIcmikj0THf1KK7SpAiv8i4rDZDIe+tUlF4VaMPvjV2vvQqmpBcT69sloibYraZ
K+sYqxw0Ro833jeyE8uod0zqlJhRPjwu3iAD9jvlfuAjJcOkDmy3mfa4GdydZ1Z7+IPncUmfncJk
Mpr2V4usp8DP49uFre+mHPrXupQwEerqkMPzCKljQh7cIBrnxrlqGh0KMFFmSQxoODfz5wYYTTh0
0BTycvyKq92BGrxE95Nf46LS2cb7zLBI6YwA3gz5XozCCNQy3pkZBd6IsYCeG0+1mFjtQlPpbrye
LYBrC/3o1mm6q9RiB4hAk82yFvfpYI77khLo3cPXcVLdPG+b1tbObK4ELOv4K5KL+s7W+ke7T9Uj
VVCxx5rI/DFt0gO4JScYUt0JkD3YEKBttgd0X0fOhWTH0MnfkZsuNnai+fvRmfCa5+WxT8jBizg7
AnIZ0moTqfS9tkS9wf1WbuMYF4yvlxIOrMV8pOrnjQ0gJLD1sdgamkwDz1RPBr7iALzMs1ZExwV+
c1BKAhuYZr/Yc6QzilPZKWlthBEkxn1jfdX9OSwu2ajkWeQALbA2tc4qidbz63LMhysHtT1uos5r
Q0ssGmF2Dlj0Ec2oHdSw6hBxZOMyb7A/aAeSsoczqBCsDQWMlXt0q2VFkFeX3jZEbTEXJO4zctEk
EWI6ZE/SKftNrxtLvMf6bZJNEXc86K2en8aFlS8BURhfBngpeMnH8Z5MLoNnKZdF7I8Ul55S80fb
cKhuY1fMJ3QO1cHsp3ny9z2XllrZwox5sKzaq0pr6r8ZbTuBOoJMvHPUMCTf5gwcF8ZD7GeB0Ntm
uiUbRL5Km6uFdFsBJtgYS/0qqfySfEOq96TVzD3WG95ZTuU2Zw6bt5pTQgG9rvUYprZFd2Q1jB71
prW2kb+g34/x/rDg+KxQLz67aaNui0x745Z6MZdUx9GU18il+xNZ9uI20808xMmewYZOPyLpdWFq
NukzyEJ0Bijh0hsCLUYD78Nihei7jXvG2J/agr4V94u1LoOL+mT4PbFq1ngNQKc5C8vXHlFTuxTx
NtvX3EerXPqsKYY44TaeFBveqK7Ubi5m/cah1dv2US+pivqeqjqpt/w9qNo0fd536127RtA/wE+3
GMIjwtfaIsHzMN4XCZKgdJaHyaC8ZTy2rM+SBfxX5FQPqCFeia23iVcr/S+dKR9cJZIpkDliN8vr
PztzRnyKDmfatMYjpSkkq4FxF91E05PmhM0k03rtakbthVR9MNDA4z1mXYQEBvH7Dgwh54E336ZQ
pe8WTR9v4NbQY88DfptKmYGSaMdHiBOrAS/ek2+oAp0FFOybjE2Q0e3xQBJIZPU3CNzXzGhgRD77
rY2OSepIuWsHzkQnj/fzPHiLGeQek9oa/XrAe/MPrQKlMbf+ETdUtEH0BaTD8csvc1ND5VsF7oOh
aWEj8zbMSsIuA9LT5JOfZn6IXHAOCa32Q3yLR19jjtdpzTfVup+wd9XbxZ+GnS6bdAPMEG8hK8xt
UqlkNwylOsF0+lhB0kUfDVeGWmegk91uCtOt7nC36tfIBettpc/ZjnGsflzwBB80WKdB2yBmJPMe
hm2M+YPWYQ4GgH8M+HPOu9b5c1mw4FV4OTAF9n+akNQASMARM2bCtiMLwQ8ZAcY11wDGx1QkmynP
v6HZ8XeqWf5ENY3Qa/E5y+iiIqghRmSio+Toz/8fe2e23TaSZt1X6RdALQRm3HIWSc2yZOkGS7Zs
zEAgAvPT/xt01uq0M39nV1/3XVZlShRJIBBxvnP2CeMvpRSIh4Sp7iLYMuukF/pmcIKeh7slV+z1
MQy532XYfGMAglLtsmHoR+elRIJdl7kmiBXwq2blqJXsxva7wrOwzjQtpQ6LKELPkNzVbpHdh6A/
rszAms9EUfkY/PytK5E4WUxrVu20fwlApa2d1n5k1FeBpwcJlI0B67qXFl9wNFq4LsFvdU7p7bLe
n9YVp7ydzubybAlr2LbT7Kx7e/qikwiThuUhrYKzWA1Jnm9NcOzPBP/muxxaCx/ojOtjlfjdCLY8
l/z5fZtnr9z2eXu9ZIqeGt/lZ22TXuUuuvKAfaypeYEiB6/uzm2j7NXPvEfM9MO6LuIbh7zGgexm
DLAsyXB4aPgbAIoS5xN67gB3D2VhQihy5siz1o32Y77pfphAcmByTb0eL2xcWx8uowKXKXtOM5UU
9W0v5vZgzqN/8Ec3eBtybb5ihfuayai9nU3byLY9fMpDJlubPIjXb8WcjRUrq6S43U3gWVo9neu0
4HBFmOVDE4TuA62D2lyzahpsMSxprV1HF9+1sgP4hzqL+U6JCtSrCU/kXkrhcstU+A6Zo2GjWHdY
mTcc7h5pSYXb2JpnnAzZZ03e/UsVN8diSIBdZnUSr5vY/iCF5j5W8AK+CqgvQJjQRDG6pN14JYea
iViaJ1m3Gd1p/GoWQbGRdacf50HhS2bxvCabU+zDyrtjUnSKcMb5hF6sejxQeZNxOXu9/xHFPvFX
S/skY9z0xZXKuRZd6m5UORS4O+jdkbWc8VA2frmtW7t+ULajwLzxUdyMuRUwU41qskUtgJPNDBgM
Ctqop9sqSIt9LFS2i/yh3TE5xZXD37VvlWfsMxxw5Z7erPSF1Sx/4RHXfWbGZD7mWRsdzMxPr0x3
YMcbNd6xqZgfrVJa+PLVRF3wc2zBBDr1xoQXdU7Ukbo2bojExCcnKfE+Wo3qAVKNIl9mRpK4TUxj
gKnVfYtc8mIGc/eBJaU/BLoOT3WWtbcOrpVP+D1Uzv1Xwyy1iSzl5UIjZHc1P4eqJRzI8UEPT7Fg
hV1zTurCzRxKm7axQk79Ns24H074VOCiBVHhfRqiYPY+x7mRzhuAlTxZg84JuRHVSP+78vBPM3Tx
bmDtJK+9P3gGm5XusZgrvEQaEt91UY3pa1S61U5FQbmoaWNx1XUViccgi4OV4+RGgDtvKF/MaIzu
e/7Tw1iyvNLv/Ih/vGIT1nRfqrKqN0biUxTbzvFJVWxJi6pfKuzLvnyi1YlJv+lb+4FA8zmDwLOb
yhb6W9wUa2nMBe0wSrq7gYzuPUlOBRtmjigqp9Vp22eCmotqplXCyiqIVmN8ZxE/nh4CP1P17cgo
092E8Wg2Xo54SrQ4/cByEE6LAbGzLKk/2G6mQRevcr8ZnMe6jRFhWcYmyumVPmRhUoarIcNzfCpG
B0KhzsS2mCXYTFsnrKNjUIxsnTz70Cae+2LhtqRQdoilf1AMdsUXKBbRxgSPFJ/Tvk+bFZewyrYY
rQeUxo4cVW5A21olrarPfWvIQ4dJ/WHEKbUucRPvZxcJvG8n49gMSl4prskN7Lb0zIyaIbHV+d+x
hzhfzYqWFKy6mLsBzMknnYdR+iqEg0yMh/gaEWbpl5xnd+Mhr36jwyU+eB3i+kq0kKybVPnPczaY
W9wbs7MNdZHvtKXnd5ON9WmAz7AqOB/j3DL30OS744yd617KVH5OmIA+DINwj7NMhzUDb7lxE4F3
XSQlwK4cG05tElgwGcPuxxyJUiFjwndtyg0tDs4nzS6S+eGIO6cS2TbmWcfmvJmgRWJh6gr/ypBV
v6k5uD+0cRruVG5a7y6i2AHypVxFOSsT48EA0bxO9mls9wxalxhuWnp8vToZvhSh0e+pl7i1R6xg
jEpuwbhBImtBIUnLmg6NKBq2Ul18phw4IHtJMnHLddPsJODkbTMxqcS9Upigr1P6lqMywfbOYzzC
3fam2dOv6tAvD0aKn8oYeJJUg1ehrxWtXhumgXEnW3hlkUOtdegbt609T0x9k0M30ssy5l2F97Wy
FTtwowArlyTfpPSc6yjC5rWRTQwklCRArln4O0mzC36fNfGIcqtyupP9cZjucRKFN/0Y492tUu+Q
e6m7tZBRV6au62NqirsgwBGsNfgW0qHxu/arbFPVExVnUjTBTY5OuB5LM9+KIgLuW4T2a8zsbEU8
gVBsCY3j1ZD6tbH9HJd4sHdAVJmrWvYf5siDNaAb/WoqMa0LDp403ACkWI04SIB02qgPfkxYZS7e
3dBOtj3f1op842c4NqckZrA7Nzj0i8/MuJfrrTPrbddWBAEgveFdIcVHm2t0pJPbfc/1GAGjhZTL
nvkyDiYNt13isR1yaXOuvaziatH+Xpi4Ii3lpGdwVvkd+oNpbjpn7IJtT2DnRrfstzOztzbNIv+M
gZZXYQP2EiP5fIizwPw2VBzRMgqKDqXT0jZjNNZ91vooAlJ9bZOxPfqY3VYmmZUjutYmSSaJVcUj
gktr5ZEERX8/59gX4rT5wnmNrdhUUa3nzFl5VXWyzynL0tNL32K+R++5tmHEPbOVekqNpln7qvVP
iUcAvxlnNo51Qk5nhnKbdIbaVH33FoqGUnno1UlmPVcGSx4pJZALHoiRwbWDFzTpEoisYlRl4nmB
eug+MTYHLjDn1gn8+xni1msrfX2YdPKoPGZ6rKS7YWJ3VMU4HJPaAjQiiiu7r5wP7RLLNmO6g8Fj
P4/Eyr5LWRrzLq4CFGRUDzbfI4Hm1eyVDxRFIUfXcQbEQwbRW2/CX12BOaGWO5yGh0Zg5mC+ggGI
pMgw7FwNwIzNfyk444zuPoeg8lCxYFG+CcfX4+1FDL4ClbQGd0K59cxcHa2KreSckrqZ4mjDVyX9
6zxz5W3vOWysRU5pkgVKRaw8izj4tg9oCdx2ZiJvSJIGV/wD/wqs23cLr4yT1SweQQqbRJq4DFwe
rsR0vka57Jp9buTxlvgurjmfOLVbjMc59XNudfGseCThm28lXTqLFigrsPnhgl4T3sJ/aNnlLfM/
ykGddawtlgRvVEAxmO4c/L55i4P5yAjVxJgszas8Nq6jULPXKcgNZ41/lKJvd4ONP87PveIoXeS/
JjT1umKrv2Znaq0jpzmruL+Hs7A4Mbnio8mlGrG6xytYbRBm/CsMpxaJ4jbZc3ZBQJxL4xZO4wuT
Nn2CCSk3g/JoAi6wDiamjLdpXQpSpxzOlNvpq4pmTJSLtl6Zufshaa+976j3OWTRgHuwnt7yWKCc
tZO983OS1Flrf6FBQzwOgZtvvHEaFK3R9fDN1X7/yNpnrWiSIUljNt1RNYhRTETXIjKca0DlBjoL
tWhbZeb5IfSqaxigDOJm26FGPR3CbuvTruyvMENhH+H5KEhp7/J0ku8a4OyrS4yxXEIG89fcSqJx
Td+d8V4zyrz1zcI4ZDzwFPhLfzwEeabOjK+tNSTWjHqPND4qIBlbG9z1F/ZZ3FqxLN/TTAS39WBH
zDmS7quRet9jJSYJQcbQxwYZ+n4enQhWuD9Ua5maw6dgdLs7y0qc+UZRwgxhxi/rPSpoCZujteVm
XrrhRU2EbOPl6cgIOyX3k86T3KWSrknHjIwbkSq3X7s8DA5p1D9NsfuJHYL72EQxs6pmag/cB9PW
U5rqqTB4HhY4OIk46zE2C7nGfXYbCB29lyPo5ayMgjX+CCvdFEvI/IQDzLPP1PTB0W775MQeoh13
safqNURGrzs6FevPymtNme3jiPZZRCImhgNaGHua0hOrisMN27uhli4NcrV6VtJpTk0TBD3YGVzk
xITQ+CaZReuJdQFI0RjaN0Pqmk8MkoW3CZpufulyOr+4jbHv2AjUCbXjk762O9mdfa4eumTk0O6H
pkrPs5RSbXhgMV8ClMGOaRralbBa0vuqXXZCrDKveHz8N1ADAbd2l7UHGeBbaIyxYdMaOBAqYqPo
6SG3x0e3ky3ik5lLj9Q7EA5p0cOC/y7+cAFlE9+L4cpCM5imhwmwIdVt3GjbuRmnlA09B+/R4hHN
FrSUm96W3we211tGBPe0hZEHYkR3lLnXblzZDfs4jZr7Me6tlyxjB07SiQV7Vq64003NgLto+uBB
u4rnKWtZfVfMRv9iOGl3tHFhdKtyDoNrNRntC9AjmNrlQDmZpAOJw6u27zUO2IfQiDi+KBGFJ8NI
4NgXaX5sddA/WpaNGIqflbu0rlhWKQsIKos9Y5LQo6sZxoEG4InVDaiCK1tR1XuDwr9YH0JlF6dM
WJO7a73B5ZsuMyaNKs42Y67v5lgTy/ImaeHDAPdjzn58zByWyqpIpu8FM7/XSGg2asCXQYYhMFHL
HKbQGLK0eek8t94NBk/duHZ4mHFJbTjspFsz1tleGmA4oGCUJxWN/lU/mO1Wai8/S1HB+ch9YZ5r
2ok/kXpsCXaN8ApIj2KbU07EctIa9zJv5A2t2AFkbBFvdT/L/aBNZ23LnKvEUEN7HVDi/hn11uAh
Nsgnk/3dGSvfsOtadv/ImT4qjZE8TEnWr4MwZgrLLGMdS11ed2341eiF2LI4RQcvcduNMc3iOuy5
NchBJtu0WXIkIrirRg9W0uT2R8/waa/GyLtxCE5y0YT+Gr1ZHTXBz2tiZvk58MIvdPyJbR9N5i4L
pvd4Kpn8LgUKUZAhK4qoRCtT0zNVoNGOUo6ERAZTZoMLfZ/0Uq97Rf9bruGDreu8miyEtnmT2KPY
YFz3oRTX7GVxCb+mtKSvOSrM2OhHCsV9obu7wK/RgUVYFJvKtfriYYSdiqmCh03mwsdHz+rzs0H1
xeAyvkFjFew06mQncpqiobzf4Ivk/zeje22P0+2A7X9l9flzqK3Pdsxi7RrVNqX7eYNS8h5WS5gE
ovBmgEGy0UZhbsD61DtL5M5hcCBkxBmYMsJ9teO6dPGaEITj+dZOUhIMWfMidZPdeXF3iAyLiXjT
7nsStG8GNva1ZRufbZP4rTmzQ4aUm+4lob7VGHTvJdTv+6Fr7kmuFdPKrAMe7RB+Fa5T4zbAqbiO
TCu5apiY05BifDiG311fbB+K9X+VMgZD6Amdz+3gLu2F47mXcrxSRfN/Abf/EcuUVNqCwfj/j62f
UxWnVfr+0+T6xw/9Mbmmv5cYG/8X8+FlOL0E/P9NR7D/xTAbMx8gBLil0Db/e3Id/otriVGyadoE
CQRuv39Prhlq89sgc9KQGliW5f1Hk2tf/AUBwMuz++BX8lcwDOf9/jlgFfReXddTLA5BgKQMW7DG
mkfGjlPz1JzTwd6OVfQ2VQFpD/TN5JPJCW8Nt6Q+pUnc3dg1TZChYiLh+pGItopGrLtkiuUJE3vx
VFcTDGhYn1dN1D5FcPxwz3bNu8k6qNIN4kL8CbhJ9Wy13ngny4VL31O88OFGVX1CQQzPzkTFUGU2
sMdGizOaLVnBVsz2wufWq41v+eiPn3Ks5uO3ENyCn4F/dIYb9gNbRf87cfnsZGa5pJS2jyoI+07c
ZjyRO+emay1B1i2pjSfDceXSqlL1W5ByOOUaBDRdpo2z8S17vBFqRDzMk+CtyIvAOum2D/hYCJ0e
xDjE50xSYdPlHrsJLJeYYoJhcHeiwaUU6fyLU87VKSZWvXKD2dm4ysk/q4zae1dEzsbwPZKCyPnP
ZFinB0prRHzlaGrQalnKO+ZZpk9YmVoSDD7Ga6sL5rN6HD8lpk42eUqPxqqZ+8Z/ljrtW/ZGsIy2
s5oR/cYsApwZhTEWYh/CvXXbYCxudgYW2CfVBM57Jxm6rbyCCLYT08YEykM8jew/+ZRpSgbvVYfi
KczxkuLyH8RTnLYAwgq5aIqtXZgLNgGuvsacvsjBmh2eTe0m2iHbch73RBdLgIwNUKmBWc3pR4fC
5R8L2nZmuu09VmECFvx3U1LyM6495f5ZVtQLWnjjy7XbcnbN8OQsRmjcWm3v4JuGmoXnJ16A30yD
yINDqIX93UFxWimYSj2XpkPLgli6WkrAQvvBr7t5P7Yh9q8EhrYcCzjZThuwR1GjnmmIWOpQphLW
jhXTM7zOnJk35C8fCnKsk53aHIjXkWENf8AgGrRPav34dC/UzGIoibfEUQ8G353ooN4Eo184Gx5r
nnUT9cUQ7XQbmfFVK3uYWjES7celxCIlS89IdLxUG9QNCLICPZdiEqPqdb/ykHvIWwRLmn/0ljdP
nw0Q+dnK+QTVsPBCLnxvxyvp9BsvNQ4akgmPJniVhuRNRJ1l3gVp78HsqtEe/aX4j+4P+2ooBNfm
D7JPNlAQM6D/BGvbcfFgOIPVk0dRwnk3J6TOH/RLz4TG0+DC7KEpQGGnDct17uOsowLFXsyVqZ0q
vY28DnBcY6X8/tgueFvT0s6YICu/sA2ZjOd5+SuDYu7iQzE5jOJt4fLHutLjKjMIK92EqmBQVuQa
WKr2ltw/xoRmfmyHpTCnLpav1GJ8yWeSLXp+O4VUfXiUik2q5n+H0wLuZAuFEmssdUJ5fakmKBtY
e0PBCnXpy3FKU0y7FC7bd0RNrsjMM5ZrSiyifOxS1bGvGdrg6RPlCIRU5uN69PN2wLVvzQc9e8OD
OUCz6zMKBm2uNPTJuqP6okgqiBChE8pzG3Rrzi/wPFwLJOaK82G47cqK0dGkNI7kheGeLfC9hlV7
ybKRk8iSqSVJobR85dCh2XdlwDp7ruJ9htC9mzGTY+mJXdACrf6aGcQDUT64LaB0jY+Bx9jFtxQX
tqVw0K1iPoCzZzoG745Ro41FB4vs0uNQ2Bs3rDjv85EhVI2h6zNUDv2vjcxoSiD8DBwfhj+mQUsv
YP146fS7gFGnBSapfJ8VpGtwYftWOdwi4TqEHkg5b8GyDCuKEjg9lMqRV/aIp4YoX5KsFU+M+6Xe
4KHosT7CzgANgL08sT6xo/N3xqCmb45f2scIMOAh6wPxUbj+/BzEtFnuwIVm5wZV4ZvdjMMT6a/p
SpbYOHDGMgtOjU/UF6jnxHL0pqJUGFUoDABjUjKwwpZdwDLGulGgY+zMoJy2Fc3H3/AE59wBQ6FP
gTuAYOgzHztKOUf265RnaBnAXqDcWr646maVX5fY7TcurTnwU8fWoieO2oOzGzc3ylPlN6JKibOF
bNUXq5GKrCNnh+CmGIwHURrWuIWKZas1NnhNSolNbnOPMTS56k28FWDydkz9+w12Knk9dJgHcqOL
7qpesZpMPkYYQ3YPHE/Y4g4C93moMXngHrDPEjij9SmCsPgMgkY9FoNzl7hkoyYLP+YQa9rthfAf
K5+NKYzeNrht6LY8pH4hOQ8l5ufYGkYImcHTHFveS6dh7NWjW6u9O1R1yP0hoZowClpu/OFApJHI
pbTutAZq7DEegZtnJuaZhmcU24hs6T3WhhohHsNnkSlB/MhWI8pvm8gt6ByGQkmUDG+RHMtizWDA
zXYmjVXlYWqoelkbwim2vd3U62A02ycL99lraqFU8Si0zdsuczi5moa8opOMq3qws7eRx/tpKLru
prXMt0VSuCbiNnGUH0bpUUkdtWe6ybNND0H7cQoN5zSNmbjPhdd+751RvU0U7zTvY2sW/T0+8Sg+
tWrOr2K6btayUZ8p2ovu6dnAE+XlEc4TwX68JcFVaLY0vkf5traNW6Vab6stbNJMV8tvRTvQIAUw
dRu5E/Jv2vav2NCjTYxn9o42DBce6RBzEqySslmZOL9ufCPKr80Ib9omQe+4B2rjbnyng/RXFv6q
d7zxyBmxeku7FtdTLT9FnYSFaKrnlkfiFjXX3VCN8iqs+CoDyXs2Jtf5PGDPZ2af0+MnIi225AQT
sNtOfGuD173ufHUIOsSP3LcoKTEFDjC/liNm+aR1eIeBWCNAAQuJpdWhP0wGZTVcKmaanEvQsAci
qy8RZ/RVXHgIBlbtMM1oF8mOs56QDE60JckLjF7IkyJkhByTJFxVnKrFLnRsc1wxYbPvg9jx7iiM
aR9r5TBpUxXARIhQ7Tqfx53ht/01/QMuloT4k2c2HA8Vxzthj3KN0ONCISrLR/xPfUVze1bsLKz+
ROMKnNFyMbdx/HaZqiFS3JWjsnc5NoAnU6n+NGl74Ujxg70X19esQP0hHXWqN20Z3i+B+L2sOloc
W8uRJ7ucCSC6JdLPVOlh29Vwgikar6m8B05zj9PB3KiI+CmUmnOdx9MnUxcRHrOye0665DOjZVQ+
VwRsKMY+/tRjxUADGpnskxc7erIcD6PJtN4Jk2DndZBEUamygfRFaeJTCfzOUwA0E+BnOL/ytRzd
Zoe6w9MRCjkoWL8s9hLLxzPjKINaxFE9Rlnt7+A7RtmWx+FwCDKdbpqCiT1C+pIqFA8JpiJq6bLE
2cw4PE+1Mzn2ykym7jQqB2HFskabtG84Xvu4H6kSYr2BlNB53wNgvNs099z5kIRtATiDrqdQhdG2
WLZWstRqVfRTs5pRquo12G1vy7RCMnrqccl0QXc9SGFtoqlo11Pf9BtY2dYpz8r+ZgbcbX/i+ZZf
t1VhwxEo6Y6/y9qU5qHcrR8w68TeA0M7e167Rri4PjK2BRRLfcmFZcY79F/E/t5kL5h7Ir+NecjG
fTGeUcD1FqtjOGJvCVAW2AZcWzTxsPJOdkzYtWcsPduoWEQDXmNSTQ9zNGRgKuNk1+TddHa16940
VdIo0tyNQQTGRWWri/Y0imbaB5SF3wm31U/JUCIzNicZzOOmCa3mttS1/goxy9z3baOOoncj+h6D
ZzZqw84nktP7yrnP+gnrkdvTFLcDrhYXyDrzIHZpOM8g1RzFeK8uKkTC0vLmh8425ZcxL2Hos+QV
2H5x+lLRyvyjArx7zjGA4p7CA3FnkCy8NZJZpYxRU7f7glLxJLupIr6i0s6JFuYqi9tVNHpwc23/
oRbFi7SLMTlVReNHZ7sy39thibq7bOTSgGuBSDDiJHhsIBEo4wlCIhk78yUt+Sc1wCeporsacQVw
BJBio1hjdHiZExyajq2C2L+LLdnc8fS7akueoMPhTyf5v6Fw/JKQIz5MMA7xCO4vFBrAlD8fjGMs
X5MVs6/1laJYaGEbu2liPc2TT7+eEv9YUb3QZP6UXucFHZvAsuXYvgn+4NeO6iKhpsdlpHqoSnJC
2FNhxLAwvwOvIv9h1d1XUAyOcxP3QWdfKeXhS1hrQT3gNS4UQJ04asKt11SOuqVJTNyUhjfLI3AG
OM4JBRN9XrMBdOYqYttWLmjo2LRDDvROOz9a8MLVthlzdUi7jm0mZoD32u2H9lET/tO7mfT0wCxo
wYe+zZwn4O4S2YVxH0GsSe14aShjxXgqgaS+DsWkP7hkqu8A/6tHGwjNwndaxr2XZnoTVPJ4jjkb
AUkoeXQj/hnRPW15nd6FQKyAuy1k/In/UIHKktCZVSK8catFUL9ezsKXcqPff+mL2vHzd+C7nrPQ
SPEiI8788qXn7JAjTzNscqflvAwVhrNBJ+gKuvr9Cy2/6C8vBGSVbQCyv/Xr1RUoTnANCOPDpfoQ
cQKnTVs1fD8X6LVOl348OPYcQmaesq//6asHph1QB0L+gdHFrxUkFFgIct8jfq5MWk/eABokpQGZ
/eOC3h4NXtVrfQ4BxqU17vcvLn4J53OhE3u1THivwrfDv7z3IXNBOUeqPoBM41DYDzG5IaKk1lOV
aY7NjvB485fC0T+4r6rqFvtP7BcHxvDi6fIH/V8q559SOR7f/5++u817+/5fP4TRm/eSfPRLqr/W
lU6rn/TNHz/1h74ZeBC8EDcFC9ZSUkSQ5t/6Zmj9C1c6eWa2ZgG92stV9kcyx/H/BSjFcgLBv7FQ
H/kz/kjmOBahHVZALsrLNcJf+B/QX39exCmi53jq2iZrKr9NeL/ClFFWkxzPsvejF/TS8OMKit3m
aULZaRVy4p8+oH98avx4QTIDJm1NLhAYsSwwf8Kn5LxrkISle7JdK9jgzE/3MxzHOw9y+CGmiuef
eD8/rSN/vJ7j8XlhMkdg/iXHHWberDmBOie/Trz3LOQFLr2i2kXr+v1b+3nJurwUXzXfNfZk4ulL
BuvPbw0oJHpvLpxTXlLmQnBHHdx25gb20MluWibMz36eiZv/ARP750fjj5cWnhuQ7zLRGn6lQw8N
8ArTUM5JW6gNQHlZJ4EwMtej6bRc//59/rI+XV6NKxDrIwpoAOnilzc6QjMr/TF1TkMNsBfXCY5y
LHsmD4S+9RESKxrTk2NJzyJitkp6/ZkWHLj+0CFpoLaq8Pz7v+ivbx8m9tI0Bk3Z83lm/PzJZyIh
RBNHzikYlrqmcJGtTLrH9v/L1+K0D8aZS5gL55cLKs5sehWmySHySitI59Ck4Lfl+HBpE/r921o+
x/9+Bi6fs0cSGLwffD8YBL9ueNJWgo2vO+fUR8n3HzKYVRr/8G3+3WfHIiQuL8Yq9cuXafYcOFur
cE6AjaCJBz2PlsCjwUdQk5r+E3jmZ/zTj7dERZqw2ATxEf7a1xZEtuhnQ9inzEp5ktk9r4nTBNnx
ot0FNEy9O97ETZqGI4PdluhXTxL59x/s31zBaHcse+ZyqzrWrxdMZLGNiUD8nMagtY42WXaDVBAt
ltLQXKF01JbbPLd4zE9zh0P3cvOiuaZ7VhB1+P1f83ffgMMYlkkk37Rv/nJF5QWFViUm+9OlxYmR
17C6SP+OVP9UrfZ3L8X+k/ZA1Ab7L1voUQa0IfuNfUpdPt7wMvMASsFSDySmPv3+ff38bGH5JroR
mv7StcXL/eXyleTHiqaRxpFJOXtfA9zrK1gfOrcuEjCWkuAfrmXx8xK8vCSWN3+ZCXLrLASPnxcC
mc/OgkwPjyYRrz2zAFRYrfT44JE3f0h1xPd6KW5NggyXX4yyXI6U//pGResJulJzmBsef5cVhKYj
9uTTDBMI6p7BHCVdGrR//yExm/zpLnd58PusplyIHKgYg/7am4CZIHPG0naOujBL5uDku+rUM3aY
uPIOD285jTG9MtirUWozOXlbwS+7V5z4LvotfyMyCGtv5Mbtx0yZx8do5Vy6PwqIrcZg5cUALYg7
CBp5VyKmsv3ST1vAMMGCz48pQrskx/g5hCKLcYeVNa9t79cnxCT7qDI+wBWi7nRHnpWeNxLHTBfn
xMjWtLU14iC0y68mcqlojwmpxVsXCk/uiuigDVOganiNpUvc08l01zRLGtbpHYxV5MCYjCU1V4h0
hHydyC/MeyPCj3Uc0GQZJMYlXTRKUKl1aR8k/9O8+rIiXluKZVOOknhnWK1BLTctCOmbmEK+Mn+2
PVIiA/yTZ1i4XHtt7r3nqcXV7qDwvU8i1B8/tthe37vv5ZRbX+UcWQcGhc2D8mj/QNfGCJrGDkBf
HeKPHUBllHjYGHYZCKwnZ2RWQ8eKsbZHh9KViEq3yYFGFdk2XneNt8aoKRNuGUMRmEQRf0D2nZ+t
3tUfMnT4nuBnM5Iblf7IgYVhxrM5i846QhoNlm61ThIgWGEisq9okeK3lBkNyXPL5+Z0JoeQy1MO
AyhNfBoaMbO5RGXLQQAX1+RjCgWOgNK4oqFi9o9EA5YSbf+P+jaTQclDXk+cHAvToKDu0mXfpCTn
Ngh71ALhh6NwPiNBQ3czQ/B1b0a+d7y0/hpQPQhWOT29RBbT52Ztu36OOXppGPJqgilcwfEEtGam
VjAxyqVWyC2ZnEV1QNkXA4NlRpqDvliJyuZa7kE6PGvU24VeDp9yNGzm3mKhVLetzzhuKnguw6p0
aRGSdjxfz34BwVikpfve1/QYeUkXEt2tVFggsgr1GNuzdZiJCPgbK/act6rvq6cAp9419q5i02DL
Fivqm0WwE6mpjmlR9+jWy5hTF+O4HqoZd7GpI48i9TkdViZEP9IjkDduAs5yOPUSLIVlHgJidDUR
J9dwkDTn6SkPTRddM5EAs00MaoB3csy5pq7uW6kxvmVRV36rXdV+D5y5vnItv7uBjIYtHXkdt2SX
szItNN1yO5hUMKxayLmfvSJXeqfdyfu68DhJ5VXVGbaKAtWGgZhwcydRdLO6IiHf1Tdh1pNkq2ad
vMW2QYiH/pRr8vSoUdVECx5U6GYf6MF7pZyq3U3Usb15oL2ONvy6aTUOzvyGUJVvCdVDxBQ9X2OA
p3Sd50P1ljH5ajFEo+uiofuAUJkxrvyx0dZGqdLYNuwBV31nlbsyQBtnYYpWFemEh4529qsKK9hV
phK9m9xu+oaXcoAGkBr3DCnLz2neg+WYKizIVZqvMkrl0ODVu99CYKH6y9hEEGDWXa/ErpQ1vygw
bhymuyz/hKKZAyn805ulvaVGAG9we7grhXckrpdvXoKrFWFwYIo6uZsq7QfQrBEvRNgx2qCeJ1fY
RfWaPEGymeuJBGhZd59wEOK57Cu969ycrF1ifi1IE30Oi9RapaGA/m+QSOgK/o4Q/sc9T6WZoD/L
+9lzmmElY5Nv1I+t7Iwvs7oz207e0QrJRW0AuGrfpwjHgGFl3BJgGsmy1rIlfeuNS+M3hgsG36y2
7UesTBakesaBMJkzl6zZ9iFTxo6xe9CNrrnN04TAG4w0E0aID899bblGjfvPGe8u5eQXuGyrQ57H
QeeSXSKxgbfk0nRpipHKyDwlzIUHnPKqxU14Z4yco2hQZAvn9XRs99Lh1u8SF/jC6GTjwRW5fJW0
QvKn+T1j6pxa9VerbmL2c0k30DtWL12BItGyfHMzqjC+T7J3iHv7LVo3JoltlTnDN1rE6BIA+ea+
QA0ivJqE+lBgyElW1Rin3QqDRPJF9+17Bhh66zppHK8jhmj6M17NznhMZ1n/P/bOK7luJFvXUzkT
QAWAhH2829N7lqQXBEWK8EDCJczoz5eiqq+4dZqMfu+IMkGR4gYSiZXL/EYcAjsJLhUw2rUH+nKb
jGODuoG37Ga0OR+WMAbBHPrO+KDctrz1YvlqFzCjUbO4yvFWOBBX/WJth+2wdRjdvcR9Er8saTre
xYPPk+ONz7YNsnzhyol9ULoqSfN51RSdf4qOS1dvphHM5bqjizivc0SSxgPKPuaZg8bqBZq54tZb
phQRpxJi8crjKSC2Qj/hEXDDVG0nq4etQqP1CgxEcdUw87st06BZt7XVPQN+K+DsLeJ7HXrqrPck
9F83slPUCAKRrvMEaOk4LCOD5aYgXISRC8w/cE7nUX2PgHPejX2c31hYxF20aex+y0cvj9ctQxDO
Sq301NDFRzNjTi/ayRWnRjii/pWouHuy01Ge0dMMtxWt7zPLM41o5fTIcMIBwZ/MIJkFmYkmKU4b
TuRPsGcrce/B1TqoSiyQJJPo3JwH1HgTOJWhisevQ9E3w9bsOic9ndJpctdBbaIuEETwpy+9yRzl
PkyGDppwZZxnmLs9mCnMsrWRAxVY2Ygp5ljYB+PlyAn/aqmmuxikVHuQIfMZbbQSck+YwPuA8StO
EoLbHu64hd0cmYUBL8RXN7GtRoR8sgibi46Q9zWferHSXg/neCUQRpl7hf26QcZt3NiQfqM14wP7
ovdn5BvmsLGCbVD4DgHRQlTB9pB4DY0GtoaMnROYWGBztR5lN/jpbQf17GGw5u4xAOSxVWiFr8Ff
Mmjx0T9wkE7TEhKZvxFy9EHZRwsqpLD+8lVvznhuGHhnbByW6lot1ClVsSCq6tZReoUv0fRgtqNx
4aa9iFepaMQuMETLbAZD0h1kWxeWrp2G3X5g774iQzX9LWGaP2M25b+MHspBOxMjnG7d4UtQrLO6
8FvMEUT9itJQA0wtWWY4FL18dRMogV1WCk45hAVP0bME6l3XFcolU4p1jcO4AKNHqGBGMcLKM72o
hzFIzh4vM/xpZMG0eAs99+AsHyB3IxWjvuDJgIOpHy/ZFfAP31xF4KeuKkCw/aoCoXCTGIKnRlPd
gp4mx2IasO1sEOB8q2D/2wv9pBdqmbrT8e+Rnv+veOrydzjPt7/xqw1q2SF+Vjbo6MAXJsMiKrc3
mCcMh78oFIFwUo7Cpv1N7tG3/hIc0iYQ0ODN/+BfXVCXb6F4xHeB9zgABv+jLqg2S/i908LlWEDc
6JtbdN7pvB7Vjaj8zWU5mM6PxFxk9lpoDIsJ4BkAUr/p+8yeH7MCVN+um0VBFO9m132eokJW5yj3
1I29k4YD7ixvAgMENsKn2gIxKPJkemhNpP7mNYAeb/GwM4FtYEDEV4121yqGGbmMNBs6+wpPJ8lr
FZvE44cErfgW8McQU0E4FDQ2o8CBNtFedNDZ3NUEmixsUTqdjCDaVSrT6gvM5COi128P8v9o2VpH
TRsKU5TSYWLxL7KYcNffV9Vwba267xb3h+xGFRaMbP2kyFetI0R+EcbAoYz1ZOEX9Np4bTrfO4h+
cml2MrTcT2WN8fTw8SXZf1ySD57Q9R1wwbQzwuOGp0Z3lXXXxi+Mntz8Au2YOD9dnIHsEDF+Lx1z
Up0UDWk8m2QwrPIM7whNUsIm7AnH2rkBKDBwaJ+CzuzMZLtE8QKNuJh4FNueynZ5TFovwvkAT9jG
u1yWnF75tgydDuwDLIgBeYqPb+qo3UfbQu/BEM1TbOIYC4CE/r1/HCU5CQB50g9zRCXmzgWyVN+W
RVQv1x9/EODo33c7H4StmbYwBBnB4gV6cX/rwUPca8KFRPJF8LQtsZVFlDtIjZq84ZPwM+cKsxuX
CM68tTB6ZNVjX93mqVtlrx9fyVE/Sl+JG9gA/JkkIzZy7KlogfIxwynzXhSCMt6li1ZHD2+oNNCI
OQWMCBP7P11kGjC0v1z613hIMMR8f++GFRs+p5d4LoamrSFqzNJQaIwESzSPn3zW+86Ow90RuBwL
qW0iH2KpRw8UBlmRAwewXyZUyVPnhz0XCJmeRHJg3wGW0ktczN7AVPrjZf1jJ+lusaf/QRqIoHvU
D0fqsGvDLO+eJxMDvQUCcBGo2wgyPqv78Ucd2QfqmwQCwLDSo3VM8D7uXmb4buQIE5UvHWIBpX+A
Klw9FHZPjEK3Fa6WvJrCJTLL8zptK8/cuirJl8es86UUK8yeETNYmSB5wpss85iEIbNS2cV5ruI2
mA/D6DgIt3980X88GEz9XMSCGV1Y5p9TLyvM0aayzeq5mvuWq2iNMM9elTUb7pe6Lj34NxFqYH30
2WL9+WCo9+nxMaWx6Yoeh63IQEUYtV3j++IaFpU0zIeUrMoPZNKaa0tAcysgWTq5/zQnRTxRorZt
G6LJaky2uk/LZYTSkgTT0n+PYe2jbF959nyG0a3TBZtPVunIL8DBKMDz3Z+vCVI/AWyL9y+LG4+y
LYe2/p4EKcOgFXSnfrnuYM2yqZaZxo7ah6DZvUsDIXHepq5yHA6DykNyAaI+EpzzMxuwzF496N/8
hjTCMxkSheXU2etbAEaYlOjiTkPsfekwFYtoM5WAhvuVoujm6VQgAjmGK0YHPJGkjHSINkCf8YH2
PBXBTZTIfvq6zLz3oOSnBZ2ajY3rMkHeXGjqZjvbwSV6XOH2C4oIfn9W/vDGwYKTLCB/L9e8/qH7
pUqR+HpsIZFxjZbMQsA+VjVYXxiNyAwWIUi85XHpha/uVdt46rbL+JMRHdyMCLJKEviUeBOj3s9H
kwNTA64zIQ1e9AgFEm6mRnIPRvqcVF7lrroxs/lJD1FOfiT1fOTd966akv6mh6HKYTY3EH/7dQf4
K54RVA35aAPaLT++QMrj04x4lt6lCPO0+doEqasOEe249KLAMn3ej1Y3VWcohM3D6TBh9CHXUwC2
YN6kKrXmswArZw5LM8JOJl81Ac2U9iCDpu8gp6GoAun31w24GUS0EbNiM9Q+gPBhWVDXrNh+3RTr
IFYg3m/g+0KjjP+lvpzLbN1JWL3//I5GNjSPRRqBFFqz5VAaRcd+cVmDAY1hPnqS9JRPZ5Rnvcv4
bVUdmkysnJZf5gfGsYdoDA5jAPFkJaH+RGH4ZG2zjDyWRc4+NfWGQK+3Sx32nFoirys2TRZ5WXlb
QbDz/R26EHq7SDezeadUFdL/wJcdsbqZXi4c21c6aVbk7/q4Z2x9ajhTOj83JVKqEu1V+pQgrgiM
VnQXFMyFs83iD0ExngD+U7Aw0PXWuVtmTYLvzXBy9E1kofSmi0ZEqoq3tYG3T7LybUUU2LYLekNo
7zCa4kpa0Th8FQdUa+o07ECtZpsa9WdeBdyNsKfjyfc+ZxdA0Z5LQslMf9A4ZPpaQDwKx4PBgJDS
88xcjZ0iFs9zDsrDbTNdZ7QPdN4WKcDhlx2jO/cLUDW+WIdixg5rlTloDRfrRpWs4DCNA8u5QNPg
NxWkgM4h62FZ+7vY9PQW1am1updBxX+pfDEGgjTQExtIHReyDGdMec/ndsb3Bx4RxISnrBGtfqUd
zKrqDarfFk/C7cgb6VdJS6h7H91OVoGaUHbzQU0mpeWFogPML2xa7fq8huk66F0NS73tNzIPF8s9
IBID5WKTmfdh4qah2uCi5uvIlBQJBoj0KHYuCl9S7Pp8jh0TsUxtPB8rUy7X7jxPbP+gQyIQVRYE
kuaKRIFp96Xngh9sQfdqvfa1F2UivaqtJKWRQK6unzAtxBm9SPS1OmWcpB1TcRqobQMjaD0VXWeM
Z3nU+VwjY0+eTeMEaH0+VZ3FsGpdRdkc13fMnyKnusTQIYQP5pmpg0gTgZhws6WEz+YGliuibtCM
ydsnXKFsZBEPkcgGN45XQU6Y9Z5RWTOcRAfbWZs+Zsz5wNe2yZQk6K3UyWD5l/0UdnrzoPKmdyK0
6kbu8jnS+9Icpo49FIkUJ9gzCL0L32tsNbToBbuCUNk1Fau0KXOeR7WaTMMamkvayDYhN0ONiKdU
WcBYkm09lyO/K2xwEhGYoqKrStRJUelSO7OXSDwgLtQ1fK/H8Je4lJuIpt+EAFDZSAmNWMKTdCaP
9esTg+igWEXeBcvuOzaUQmkZ+TOefjO7Z8FMn/8QFN3ChScTVDZv7Vg0O+WOcMlxpGbpc8qXtHZ4
8wKn0Ids3w8N23GiYQf5xw/amfgwB4nhXE3m3EpaJ3PpOgfZ9BW3FNQMU1fIhOoUS5OT5+cyaKhG
ftUhRH29OGPdiDrcI5kTNOE2TrIRIOiQLQsaOgGSqpsmGqsIPi4KWHdRM3HzKLQURHs1M32SUFkg
YqtdXSY+L3Y2LKTThwAsIyv4a1uX6ai/NzvIgNvrBeYrVw73T4d75NI5tCyDXSm2wm81dpRMNDZ5
P4045c1FL9f1USxILMDzWHMhTtOFOSMcZmjW7H0zqhFahFlOxX1o2yEKA23LgOjUq5BQ2Xm1GuQz
EtyNcdbGJaoRiPT4qKNXMm2+pcTcZYcnR128OFDZWsh7aD88jYtVjFdLCJ14BVeGyaAU7ijRS8I2
xJXrxhHw+3ZwBLHybBuEIzRVwiytc1FwrEIf7JE0anhGLUF+Cpol4xRWrYO0KmpHOqVf2nHGFJ7u
th2ugFLM/VcQd4Nz5xX97GBQ2zi5lmot7DmqVzLk/iP2aRT3aJ9ykhXQAYtxWTZhWiwmLg/2ArVp
4uUYQP/lF6NpWnKnQj+GEkSCttzH8MprDj6wgafdPKPzLZzettYzCpuo6nlx34V6HKjlhUFlYzLg
FvEB+mS/aWpzXM4i1L/NvTVaib2D3GEx9cDDYUHWIxKucS3zunQesJVGyWlvSn+WzTaszWm6n/oJ
YUiDOZBx6xhOtzz2FbsaKS/Pax8WHxgQnJ7e87FcRQsjXmi0KV96m3BainwfpX0GgQaqP1KmIXwn
G/uf9qf2rFVmQfWCP1Wtpg26CXPzI8xcMUDm9GXtM4ro3N7c9xFegcFmyE0XF+eoNHLvEgUjI8/3
ypOktcmPBNx0j4xfHeSDXW/Acs+LxyS5F0Z82drcTHb9K/s2Z2D+1u2I4C6zgxH9Q44lWYpSug8w
9aV0NjIa20iRT5kxOcqsfJdsLDJHXph2mnWuiSI/0Px9Kyalj5WQQMLL3QQ6fWw5wHkdEsfTEa50
TZ1hpsYMQ3eHoPsYw94SnRyDs6WJDVJSN2mQhbxwkzLjlGH6GNvLnuEqv5MRUK2zP6/LdeXgI7DM
1c6OKotwPzRl6n2BOwaMcG9Jw8/DfYwZ4bCRQ+MSJt2uI7MPcoNV2ju2SxaMW5LOopHokcSyLEj1
oREZY4QIgyjxEtjisekt4hA6dkFKVNnU2cYJfgMmN0peAskPWkTZ6oBYFjZn9BgIh9QEdc6eBZKV
r09OBrATV9rGic9nYzHr18sdznMgBtY1bhv8MhNTBt6lDjIT19+FmY6TueNjZbK2MyvkiqpIdlb7
FLahzldDGJxMt/uh9b4zZKnqnWdnfnUOjVNxLPYSeQdxWklfpywwHPQa9XXl9dbrYHRzHm5gWqoB
2AbjYNMCXAYjGtkCs3VZfmL4rFOkn+0eryv1KfXrBANhxjrmNZoy/doLR331logMFpJuexbW+zlF
1++1GEDrj4SZTF/B0BnoXx7+WYml4RVaDRL+L/2hClvu+7rs4YtuciykAxje6JSwZCnAImqWcorc
L0Vr0Xt6e4wcmJb1SPk39PdBE03csWB8wjMaGGwhsVHFuULzcwEtF4VfVc4MOT8k0ovL8QTEpKfu
F9CT3BXeHbr51LZwcpMTaVY6qTD7LCUFH21MKXpQWg2bpaRfZ03rdGTy2m+QFiJLie1IZ/MKU4XW
PSAh1KngGq0cu07PPbrnXA96c/o9EKI1uVWVk2TeF52jX5GmxDz9cqngIMBOVY5O1CwsB76kjaU3
mIiGtLH3je0zh4Nb/PN0TZSKOTSHeiRRXQshyQI90ep8s/f0fowg65JZm6xA9grvr+IL/lz/NFlJ
u1yPReBzXFpIXXKGJQnyWzRUvSHWybyQ+mrfXo+8R/bivhjGmocKuEf05bmYhIq/qWCMU1CXKKX7
vNUNe6FYpyjS8p45LY6S2GRWdlhdlFAAVb+Jiy6wIJnAdxIktWM982wHQ+GNhtFCyy2YmoNMswLf
3mwTQr1Ut4wq0vZJtQBb0L3OB4nyIrWlI86d0epzvC+wKM9eS9PWRSBTSSo2pqj6gXROSHpJ4clz
7md3mc8EVKD5DITQPDGbskWTP6nEmliU6C3z6WJTkWt0ddByt+mEajn0y7eKOFiqkMRgimOT6gth
UcFXMTVLu0Ux3pieUX1Gttw0lGmuRQIgK9jgxRd3xgGEnxju0YQTcJ+N0WL9jSTURbfvoSZES2Sy
dJHvwyzmD2NmqOo+6qKYp9bjZkG6PgXYkKzTFjlwcpTQrZdHVl1H3MVqqHlPGiZpECKoH9hOnsvH
09qLFh0qJTHZO0jfnfpkWyG2TEYDjCehVMmRGn5+e/UqVejUqjBKLVQ7N+BOm02vFPRw6H6j7h8x
ZJ/1lvTNYKyuTDgTVcOCLLridkOjZyFHy9evONVyLC88QH/a7GLM4n2EQvFw403+0uFFNlkFIqE2
NQUHGwLGMUVgj9zZDqxFza8Jnb4lVmVNpTNRu7KJ4iBDflaN+HYwZD9pQFkQpEj4B2/d0bmyi20Y
K10FvhUWRbToi64XVAORfm28GXRwHyxUvI4KMjY6RZLJ7h+TquKRptagL32oEFAot1MyRH2/NSYE
xC58SXOEH0SgarkGt6UDVs9jNNA/yrs0reDDp93CZADLw/xJ1Aivhtv5LXKEOAawhqWV6135cdfo
uKVLzwjuBGBrBjq+ax03WDHoAXAVFuP3Kep1nanFaRN3g0UcfLdVN7Tc7ycfedxV0x9JeQorBeQP
lqL2+zYVrj9VYPZe/931Rj29edsaRYBy5Wd39+dH4TpMjiv0wIjR1FFn1U5wpFF0J74zydbxqfYc
oUgKCdbEro9X8mc38Df8L+03DbMGCO8Dz/9zKtWZ+NKORS6+T6IcKGSGpERLBaUHJ+E1TEDrcxYu
Xk3QGCrH7WiiqAKL+DVIEepuuhB6shFS8urY8xaZf80+qjbWJQLuGB1nAnqbI199fPl/LBVqFsCX
Q8sUlOO2qb//25RhwkUJiy/ffepTtMbR7jRbXRZyuFJCffxRf+w5QWM4ZBTEJAjSxHG/mzQqtZFf
lE/QPMUwH6I5yEbsTEGR2BTp8fjpljseoVg8GNRrwfozTbD/ABC30EuDmP79E9IgOkb1Ey/b9ZAS
2W9jGyb0vIlC8n2SiZmvf6B1brZXRLvS/QTLfLzMTE1dPKH0VJXXzTrekSMkeTWGsfhGT4LSEQFT
ulRBBeY0+eSBHq+yDVGEu0UcmE+jOXY0BkRgvgmElVnfYNf7UEhloUvzNKNSO6hE40w/GTxqL+Df
97/tMgYLQMALlwkf7aP3OwjS70IwmdtvbcWcKNm2UL8IcwTFmecatU0xWWiIY/cVrv0cdbjP3Ip/
UjbeXYHHJtZER0QZfG79OLKgFV1Y0q++NYmJA9qWWdaSb+l6JCF2Vj/TFtUmOjWGNKfj96+muAHx
g/Ki9NDWSk7Gt8UpM7Aq9KtcY+YtrmH5UC0s2MhwJHT5WAfdJhC9EYyr1Mp7orU/uvqwVPNQQ+BO
IpMXH+NgZujZpvcHmkfW2E64R6ClUmXbgGTe7mEaKpwNNnVu6NyqU6C0ZsRlbJ8qBi9dfZx7MiW3
8TtoopzFspVclv/WoO9I7YmagN910pQF/c+Mz7Z0shxlOKrTtQG8xPoHcdbSmbTVBOwJN4qctux/
9loT92zH9FxgTsDv/tjaA5VFgg7a/LVOGkHOGstel0Dh0usM4FfL+uOP1PH73QMn1IY/ZzRwkwK4
ju+3HIOyGRJmMH4NY0/3GIcUj8ALmF12blyaHaLxYJsKDBjkbgI4xIMAha2v5uPLOH7VAIKDnccp
CdEc3rmf4+/fYmcFSXXkWSZf85r252laokn+YOej3Z7bXf8JReo4ggiSM1/QKfIgm8E2OdrkaM7F
aSK77ptCwmR5dDNfbwvwvjqz+vi+7KNXmt8eAFeCJuUzeRPCPJooxeNkFqiR2w9V16PtGNG+7NHn
pY1KpZtmI6fDioF3yf98Gjbsy8kV4SPFmtsGP7W/acFQ8uj5PT66BXmotTg6UU9jKpTEJwg8AyZP
dFtrMnQbIEAEi5dQBZ5uE+cl05F7BQWFmzNyl7MojkFyE1ZUqeM1BUE+NScoNaZzsQOlGjsXHy/C
0XqzBnA6hcl76iBQ88fE1AWmH5beMD0MZaZP5qhmVIHe/1hTOX/8UVoi7ff9rJ8pwcsDcOFxLP5B
iEAIlJ6q5UT3gVP//KwB1aDLXKHxwtFEqCcEvc3eC0A6rAL2CrpL+uurViGTnVIgmCyu6/i6n0kt
KIl0dtlFdBSMPBuM5bzjVcWeCye+fNzPYqBg2sJPpzxOF4Ka2v0a/DEt0kMko8hs3p0lMBe+p+pS
P/DFzfgUZFpIh/231gS4Od3jNdxEP8nMImvBHhWwOc+9b1PdWP41QuONZO9mzDw496KILgc4eAs5
zvqT8zZ4//h8X+vR2abWnHM5C5GEex8iGu5ABaaMngsl/C9ZCxB9ZzMePeBpLB16/AkWjM4Uns0Y
I0Qb6UTVoUSD6lHFKQjcKhhwku5wCAyNOehWXtI3DxH1awcYt1PJOgmUfcAb5qZk1PaskbUwCFsD
pwpmOd4V2gb1WYLB5AUnUqI9thKVbwwUYv5emCMrBIAgEK8kjsfOhq5h/mgsRk9xgNjAuO7C9trh
VMp3TmGIC39uFdrQc7NlJl48JszwTzGBZEqQyZ52Xp2PjPB6q/gGasJF8QUdyNWwNKYFDLH1723O
5yeZ4IKyilovoYURd90eHWZk5HwxPKZCYAYamIZTIb/pyq/5AOeiMGR75zldR1oUDYdsGrIdY4JZ
ok7GcHk9jSFIWJxM1Cl4ym0/hqCygyTL/h4gAdI1j4YcAdi2vl/QMd6QfhqggQ3DWZueeeP0s/kd
v9TuG5Br5yEZXJSoJq88y/0u3aKmmn5G4Xn3jrEhGCsTzFxSBc3VPYbT1LR//AYR+Ree13Qd2nA0
tl5Ro6Hntab38PEb/f6FfvswH6CcPubJ4Y4zkmhxSO3asHqBglqCEZrMe6uiv4qiSX6hHKH1b+O6
vGFEiNbrx5/9x87/eZtgdRjZEMSPcWCD24V17rTlS4Mjj8T/Fn2vXSkQWP3kmPj5m/7/MfzzLmHl
gc/BIVoz447esQl7H1uBlXnBIJR3RtgcF6uaggcdmqTwbyu7jDSdy5Ars3BDCZEQO5C9Sl0PkmkP
7AuwnnfVem14Whm4FHHewhugr9g/liXJi91XpVzZveXcwICsXstBBOcV7dkbZc/232FGnbqyastE
EiePrwSUpmRl+KVH9yZnFmfBAzqYbTi/IFfeM0oY2p0Vu+aTCUR4vfD8PsmFjkB4LIlOA0iDWBeo
k/ZxSmAZ6No4wby8OINe/CQVyV7UWXGYlumpQg72qzDCaTPYMUOPBuLowUHLp9p8vAVcvfLvnoyv
wZoYc9uwIjjGjxIkK49KxgeJ/xIPDA5op6ECOQV4NWHdXCz9Rjlo7vhljz0Rilsl0566PNT0rS6U
9FS/KvzYuFqs2DlgxEDjrI3CbyWCxu66zY2LdK7881nM+0qU4p4eaHFVGzw0NHnRd14v/cTYJau7
aO3LUAuiUHzvUEh+nb0svRS+RLmOTvEhjWt5hWx90W/qqBuQXE6GBxiK+Y1RBRwQ3mSNO2H3IwLX
4N3vxyJMYLI1JjeAZn+I8E3MCMDPmoxBCGfineMawXmazM7fFl1t9IbyHPX3jxdXr93x2jp0F3wO
KXCyx1TcgZYwz92PXprUcS+NRmSPMsXma5MjcXtpjVod6eNPPCLCsqvQV9WoW/BIAgjesZ6HZdpF
W3J0/oDD45zSNjNKRBBn44xGJTYEJu/SRrhx+yKhPT+i8d+fp2lo3hgqFLuPr+Un0fH97ZNqEj7t
AIKwZx2DAduxdLsgrqof8cSAgbq9jr7VSHSqDRZQ7qrBgY4OR1lDFetdeoWbLPHcA1a96YY+SRiu
GXgiBNPWnv8l7QulW7+00CujSy7w5OgOjUCn1BsSOCiuHzsriDc2Jm/wvFA4lwiorVq0U9ZBubhy
b7AsuyzvjYvQsxQ/MPooAmr24gwdqkJrOZW7GGkvBCitND8vGfOSUQoY96uiKSogJbjYbBVDz0dX
UZqSi3R3vY1XW1IWol21PnAZdiLjorVH1+9ahGnFyBVEHf42E3Ol3iuKeN2BfbgYZdjBVUjRAV2z
frV1omle7d70YvtvfGzSLwNSYa9OCq0arkKGf9LHT+fP+MNOCQHNAV1DSemPvp6wmYTm05j/CDz6
AzAZw+w7KI+ZqSGPjJrKf1k6bQVWGd9nlY1YdXpKlp9dxnuk9s8Ni0QEabMAuYrukD4ff6uMQEp1
ZQfj70dUevOw+flAvAVb6PO08Hrosyq8x29j2MFui7YyjKavCYqCkn0CT+mTNfk/XljcC+gtEzrA
Wh4jdpdyGFU95dmP2De9u8azulu7wKbBp7F7xrk4XGIV2Z9KRAlOiklYF33lc5D5RT9dp34SAEiu
RoUHyCBeQc437ipo0vzuk6v8I2XwPfCuLq84mGmKyqMlUyXy82HjDD/oejfxA5mF22EWByF06DBi
sT2VM1PqFg8T2NatXxPEdKGq4Xs27tHo7B7dsIjPTX/MH2z05JiQcArs2qwtWO4489dYChm/9tt/
eRb3s0Q55umlTKsNBJg2fe5/V48BTMuR++95Fv/8nf+pX/8HNbKh/P5eXfvt7/8jru39BXafnUNP
VNBJs+kzvLEuDN//CxULDJmpwuky0Gb5l/iMCP5CkgYcekhTQAvT8K1f4jN8K9BkAL5JW8a2/zNx
ba3t/duBB9YdzKcW9QI6DCybdsD7l3m2qpw4PpkH0GnrMn4tyA2mOTrJgmBTjZRNqXkKFXgbRsMX
bGRWmeg+yWfC9y/H2yUgF4BXJ/dshz8VBX6LJ7VLQREEsXmo29m8jJwvcyjPO5Vvq3IX5zb5JUS0
TShjlOSL6ELKONtzclfb0f7qKLA2yYa0Mb4wF2OV1sGuD4Ep+dZlk3h0ilxcmyU9IgVd0ZTP8Pz5
ITjvFclk/i3rbDwGgNk7ELzS+aFbmPCV8D2N7eyGB6futfVG7p3D3KxmyKN9PeCM0AmxMfNhPYvq
cQ7A/7EnDpMXADhFqs4WZ/Ew+vRlF0ohasegCBCUg/zlZuBRetFtu/wcYdsbNHcHxMthkxphf+OF
Xy1hbLvYf1pAqW3LDD1eT6wdD1e0JoSXlUBkLjZqKtftkN9ORnSfNWO7zbtyq3r5DdK1uU+L4Tru
fIwpqu9LPKz7LF83GPntGTUGq7GHkS6q6rmcHHOfAydezeb4XDnxJoZddo4IJA5U5NzSwyCoXnZp
Lq7iMovfCpn/BpdPggtzCk2v+vfR5fLH9/aYx/XrL/0KKaH7FzWI4/DmQC9wHf37foUUy3T+Ql/V
pGFJ4Yakxb8iiiP+MmG3AEqFtkMfXY8O/pGzMv8T+SpSm/chBD1+F7oMNSKBzIPU4rwPIXp+bc5R
os4REw1VcrHkLWErB3jVZHN1rvyUvkJ5kiKh8yMZjKBZ5Wk+3rvQTU66pY/uijKIFvxmhH3RWpl3
xQTYO58ytBZpmRhyraFLiD+I1thVSzp8cbqyvGwDv0EK1w4HxFKD9NKeArHO3TaGpa4WeyvhNa/d
2RWXiFe4ayAXzc5UQXmd52Z13Y/jcItfp43VJRrKj+08jqeO0cJTmjAF+GI2SFbgj2XgKB/U4W2R
BOVta/cAS/LlBMjCtGc6FV97jbvcmlbR3k4xViMCsaurJeqxPR5Ff5pLFE4n7KrWCoDI1kkcv8NJ
tCnuhxRfD98vmwPE5IiYARnoumlkd029l/zdQEEGqIHWyEbEyt6FiW/d+W6TANL3sFMF5otBi1lN
OF2N9nnQdA/QOBCUZwoI38tRAqlt3Fnuq37I10AfvucT6hYrwTzyABghPW/SKoMlJ93uW1otGFI2
PMOHApHSy2BUyQ5vrOW0LbXOQwLveFOoAEtwVIwD9BKM9NoOu+xgFPHVmGcZ+Mgp3yyJC9bcC8OD
Odbj+URsO68MK71MrJLQCGZhvqO1P+xyIBTr3svtqwA5+8NsN9WF35jjudNV8wG9NvHERKs+zUKr
v6MmLyacfA3OA1ti19cmdnBSSme4AORg7hoQbgCgiurG6E1xB6yw/4qiX/E62515D1I23Xj5VCFQ
6hpIGoGVds2e4iSWM6ZyVXjNrKH8Qgmqdlag/cF629yOkBD2o+kaWzi600szdt2V1cv6PAPlBzhb
W1pmbBzkRIwwfBaAftt101ocFsYiKlrmRZJvHa9KbqoOdPfKC5t+O0flguhzrXa4Cy1ovTtPylbB
GeRslHKEKy8dgExrDEexIrAxsaWwmhhy0FTYKiPMziV99kMRy+BgKq/4kVVxdm3KsGJP4faSu5mU
q8yNjOegFgFVZIws5qoZsQZeMWgZzrBG9IlfSXKa5jgVYrUHmNUo6BBbpfl3O2UTxgq5CSavGy4g
D1Be17JRN60RL1+bQtoubWM5nWE1Ht+HTu5eBY2zavHU3CvlV9eUUP2tzSBym7uiJ7lVS16yJxGs
haE5wM7oJ23EiYgIvIvKYMwWeNEJanDRCYlBe+LisVSQgVsOej9TQwcDFevykTAir7H+WA4gbIDe
YYeH4q40L/wEi9T9oKRc+w0+8mi0I0Ubl/FVmzj2xms88a3ApBYtCaOd/u6ixI/plQzzHSgUEa9h
MBvbBfGyg+tF5emADmi1KrEmjdbKaFy1q+RsXmVIZllraO55eWnkQfzoW1UjgenUkSTzbiIiSSrx
6inrlwIKDz6rXjldiMXXvsm5m+YbUFbGI06HqB1l8KJgqRs4aIkUfRAo5hXs1WlqlnIlAzndYFxp
/d12UTUAMbdb2ewKr3bN6YK+YDChNCvicpjsHTVVXIbreJy9AEs+k1riLkL5fPYeYr+U/W0vkkEd
atBkaYVJqd0ZCAoGWTnJDYlTPt612RQHz06cA8RZJ35hju5DSeXY+NtAuka+M4ahz15miGJWvmf0
37ZvYoT/zQM+yQMsqF3iozzg5OXpf9k7rx3JrbTLvspgrocCD90hf8zMBRnepbc3RFZWFb0nD83T
z4qSerq61H8Lfd8QJLTQyorICPLwM3uvHVc/tyV//MTf3NxC/Ebdzl88ebG2WHTpfysChPzNuDpn
KKYd7uu/1wAeNYBOxY/7ja3aDwf432oAQcPBrp/xJox/Kgjz36kJ6FB+qQmufwJVCH0PpQoEzV/a
ikyEzUDYDn7S2NL2UchG61jKeTbWmgvl5XoXMmA2ywP2SCd/ANFoe194dn2Lq8V+sGRm2oGozEfa
huklk1pytE1JjnNuuHkIhsbhePMWhuErQNlzf6/lRtT4cYTe9Ukvm1DzYXHnJhsHL+k4nFA+XqQR
wyYfm9zdJATS7WnKzUCmQxMUsyDUriACRUA/3sQJpIx16g13PMD7FsvyGJ5ys6YrGYx+y1ClOcAh
Gb8ioH+3ICl9tbxOf0O8KJGEJ/U7BBE9wIrp7B2z+zABf11PnXhO8Rm18XGZ42mn15WFRQVSTplq
4bSSkkx7rExtGLSeESly5+pBFAp1ct4PPoiPFL51bLyoeTpZA3mJIoEW3yWxfj93ZXWPc6JcqV5/
yXHbPE02uWIsEs1tbXgvEzH1VA1IQE1V3FmpBiRmaI1LWxTtfgDSE+hpkpwwXI5724mTM6aAD3TK
ZHbVJVHxtZMdqUm8bV5p6kuXyXA/g1TeQO3Lv1F5tByirvhGwgc8FLeDm+sZybdhMNq1h93vFRc0
0yjSV+C51y66uyJ33w1jgGYk8TIQB/lSJMVLw8b3zNGKlyMe1VvYazbyWPZPRLvJwK4lXBHyJBVO
n0LZGAcTr3iQC1pNPyTCdH+9Ip8a1TkbLGFMakFSZjtpDE3ix+jEefdKrkpNKXOrK9OZV3WOp4rg
UxHdW5nIbkmOWW7CMdaDeCFGNDYNjYJNn2xehcAkj1nulmliC8hLM5OH0enyk13U8ymeHfPMdIrI
7zgcbwlobDdl102fPRYAVNC62cOR0urvzBDJLIxGS2wLXCWndgmTHcTx7tSTX07grzNGSP1zLYDc
zmhV9HSH81DLowCWUvlJL/XLiBSZJ6O3AB1HeV7S3ynyCNxueCZODrRPY84GmQBZMweTLhOYWzE7
3tiwyd0GheBXheEdVVFMKSYvthmBaqp2g2L7lDS8Kdk49YHoie4paiW6T5UZ8XcCbKq16+beDkeY
c8JC+xVzuI55kLUgKtDIYZCvEeo9LVFBhqB5tc3o3gtmLHTQrTzWYZnckqsTb3JqsC+UxOQaJML5
zJpwOSxTwebVUQCxxhawSyv68dWrLPNWy0K5YmqNyr+vvCgos3E+VqNm9YHrhtWBhM+xxkekxeDv
jeVW2la1XhqvDBxnKlfYMox9B1bvHk6BvcUeODzbsV2RbVDGM9UsUw3pRclRq00CbwrPLQLX41dy
8GJgyc89RnVyhP3QqnktFkXSeB/O6wRJ25OiSGHK3IhNbCOmIGWdr6S3wjNOi/bWcZqVCN32McFb
cO+Zw66FtnMzDjqwl0ke7IHbmqxpY9onYUGOwehUt2lhaCy3REfRVrvzQ9bl9bnolPFoIN57T3TR
rMg5hvk9tuPenUH37Evdkw9T2hiBh8eNFAn9XEhtrZfVeEdARXuaWS4EHJ76pRv4uknSiUnVSXB8
6Y23isxR3y+NYNdnO5faasq9IZSxL7oBv7DoimBiwYk+Ioy2rRHGqzCpHzF8zqE/45x5WLx4/lbo
VGGLJufdnBbWnZyxXfAtsjtghRoDh7OzLUiseoXdvPd1Y+lJZ0OCUea6tWmuScGOq5yzPjGBJ+9t
3HtRPK7CzHPfzEqPdzNImUCbcm/dsl/WVmlnO288BJcdgzTtm0gbDUpaTESRYw3faVJIWsdFdt8x
FA5qkoav+K2PaCmiNZHnObR6pbZ4b7U2qMMmfjOWqD+1RX5PYvhwiMlZCMy2rY9GHvW3S3kN48QG
cauLxLvp4pZFCHyQZW1FTrstrCoJDHNyV13mqtUgY+tbNJPTNsrpEwLZldIG9ovA9pEgIcfWTjja
Gopre3ypJy8JLFEv9w5hsquetLq3wY25N0yHUFzbzfcsN6ZzSe/MgRUxKLYT6z3LifigB04uIixL
cowr8TEWkbWa+oUwFY50Y5yNnY31p8AaF9oPCSLQVa0vdE9efo+FbU/1oPukmApnDRqPL7hED7iS
iboboTi+aJNdBOnAOGymk7lN8451odZE47MeOc3BMwlkjoDAu5ygobfj3NSCrtdPndTM+2UZbgdW
wAC49BzdbJsFNtfeYzobxSGsgCrBCNmWnihPzgLizXO1+2wmlmdCVcCUzAyJ8Csjl/ASZ9hEbp+v
O3MoAt0NTyTlZdvK6YZ9qDNRKxedaMyaSDFuqHjDfirZRv1wzU3Kr7HmYXGK7JbjG/vOByGdbJaU
7hwX1clPIfP8S9vV2sXu2rvOLOyHxbWedMz8lwys5mkcTbnHiLdsXTBj6wYvwVNXxMPBdoqPdEn7
fZzKiPyMpCLLaEYqvuTS8Sct6g4J2grkDpF132H+ul1wJq6IobcV0q47QW3/BplrPHk8lVEVilC9
iCTRdvmi7FNRJ+nBSOxNZaZXvqR+kznW80SEq0/+U75OSMDwJckfj54b1duhd5ub2u1FMHVYavUm
/OZmEUdgFMdbF38p3kLABh0Cp1NsWSM9XBa9Ku+K8uuQNtZL3qwsMk++24wn4qIsAyNL5UMW8hZ6
xJAknoX451LzrDhV13Us3sPO0vyisuKblNaYlKj5PDnTCQeX9QSpsDw0iIHWdF5qmwCN2yRTFr63
wzxtrSlp3yetdPzIQ2VJmqrayzEdaHS691Fwrnj4DNntKR+AQbHOh/hDG+x51c6m7ktCXg+eNwMh
jPLj1AMWdyxSI6pCXay8itDv6FUQ6zJ/AjBXPlBUZceycXnUE2XIXHbM3PSmqnqxxTlYX/LI2hSO
ebXl6e15NFktltDktnFqQYONjegkcUSuCTcfdlGYJvZ1r+jcNjZJprGViw0dJUzNNLWD0RrfoZ2R
YiJbNpjjKJYbYGHpdTIlDhVpqBvbHaePwQ2xMnUNYbVh1jk2cL6IJGZnJssRG8f0iZazfnegiumU
uR9FBAmRN4JIomg2aVF6FXBLrd3Pne4GRZppu4h4L0KimqxIfWFl5bkGQRuYmeWsR+wfcUCK99ew
b42VxbyHR5qDvML2dMijWXpD3Rv0iZ5vRnJXNnpY8wQdQ0HTCIOOh3C9il3ytkJT079fZbp+PxPH
MvRoQSvkg2vQny2JYUO77vLsjtSzDEEt8Q1HjPR60JRGutf5qt9B5UU7YwrDtSwHuIrg5rND2wHg
iAgOXzXEXxETCV7sFblv623EIG0/WfQ7WfNA8vFspGzhe/E51TK/WSYm4boy8sAMM+ya5ZKX4sGd
wiENV6Ei4fozGQrlkIhW5l7xKCe8HNYhtN0kO/aT61WP46z41CqAvZo2+15JpeynrSMWBvm5kIr4
p5TENC/JJAG/ERqqPkzhYkTz9K126vjrCEDEp0awX/mZ6l2LCE+cDVXvISBOrS+UO8EtdZPDoAj0
ajDc+NCcqjeTO88kyIrGn80A3NJmhZzY2CbSrgm/q6fyaxvq4oxww90DD1+4g2nmLnJwHpcYYmvT
2s5XK687kAByqY+h7Y1re/Hae+QEpp9i8T1oRV3c6SNR1o4JsNFHgDjsrLxnDxB384qqzyAymBLG
GLuCyOAk2zltbq1lbhtHveysQ6tDnUxs3QSjFxPO7czFVRfK6xEPXj1NibJeOnEVYnQoDyWewevI
VEeXovPJ3Y+AsIMEs+8bHLubKMVsjVzImx4QmEUrlRL+HfTYqc9zHRlB2ncd1AVM4tgdEYsywapd
hoTEAvlUWsM+7QQ1cleXxWEq0vQxgnHw1lN60jN16gLvNXoo7KXbuNcPGxN0umWxQvdlAyi9aKEa
W1K+J7V2hlrfM2zC7h0WSE5YCaXbYfHsfda15X0fkbwUNaJ5RlouXgW+8deyip5D9AIni60sOZal
ru1Mo64HWGN6zaxLP0qvqB9Qr3TlKoSOJ8/DFFt35Cl9yAWohV8vE1soDcJZ4I46j/1kiSxYtjht
b7J8zl+AY6VPGCfCrcs8LCKGVhhbWqH+KWuH8etVMxvUhhUduyKqV7yjcpMSpoUTrC0XkKq9Pfu0
HtQ6mMNJoIrt8ctC1UfFr9nEYVXTfNtIN2NjBib1vo08KrFmabEfpoOx7lxNrA25ePsxs5J9vCzp
yY5Vsi8Y/l9ym85BTuQ9wm74krvV8hRHVmjDTsGg5ZszhwYksPmFITExrARL6My2JLFMc7Ws8qEO
t/01LLu81knmwnXVkvXqM8SNDqGBxrWm8g3QthAvlIYiSGnLMIWX10JW2O2JvNXcT0rdvp5g0dqb
mxFMYZekRfNa9URM3ggiD811Pjs0Y43gKYD/siPba4idToeUYjnLV20u9fFWeFpKJHnFMrBU2vzS
k+I6PS6jlvJ81Xoa3v520DtTsh4cpCFr32MQPB75SFrX3VQRy8XA7EQ1ZP7/KiwILlavTZclmrYh
ud9Aiovp+afxz+3vKpz/UQ7FbZWgsfw///NXsvpV4sCyFiEXVRnTnV+F8TWxkWluivESaR1uLg/J
jDAU30ix19jWhtG7UZhblRrQ9O2NZrUbOxZrV7IyHRbsi/2aX3XrESCYEc7wr98cQ6Wf18i/vzfH
QJbGfsJjM/OPO6BCKPRRoTFesDJcZE2tGO4S9Rcq+X/2ItfFFwIl9tby1w8A+s1E06vGS2Lo/vVv
R0MeLqvNj9/lPyPJvxpJOvSzP33tf8raORK8M3xm8z9MJX//oT+mki5jRBQudAnXLJ2ftA6u95uN
YomUtt+3j9fv7o+gHdP7DUUlohid9SEPsn8MEkfm6JH+xBDR4Sb/t4LEfwTb/F3dhjmR6xM3E4tR
E8HYn/SbyB9ibBVhdFAi7OOAEaq8w4W8bEwsXNukAYCq9C+pNk77uqFG9tPK9e6Jo+x3KMXU1uSB
sNUpk/S/UPXaBivbn+8f3hq/HBMCRrMAjdHf/eP9M8ERtzNWx3upePzfeGxhbtzFYZTDcNAGMjJU
D4kAK7FOgG30ken5Wq2o4iZvCL+6ZSnuOrYDTbuGvVTIlwVBxGWOmxEPRtyJtyKOeweYpaoXQlod
zV3lQJf061bM7TQKf0xPuzEjzxL8UNnHK9AgoDkoDgB9P8Wziq6ZW3iPAs/Om3s37HKcstiXClQU
pXdw20GATZrT9dSi/nLp9wb6Lde8XYQzEJBb5z5DsYKw65yGmtlF2nwp5kK/t0IktCRpXaP/kriC
NutSTYiNCo04P9AN59mGERKxgelg8jBtIJxfMwXLNnyewkjbtsnSHpooFdthMLvPRI/bG6+wpxVG
6CNPkENNp/gof2QXetO8ld3QU5bG6jBpSlslciHuMGdxe2kscz6VhCFqCR2mD5ynuteIStSvmYlY
eSviE4k/eIUOVUtfH+zxrOG4v1t+hC5KLHHrMVFExsnlQR+i/Kadh4RxmMf+CyKPiDYwJiy6TUp0
r447f2JKvwR4QBLnXnez+l7R1QVFyJbaVotkbGC2IjuzUOzMpzSCIM0yMLlZlmZtzaGxabx8fJx1
QkevFuP95NT2lidPuaklhK5AtM4QdGwP1kspxW4yw3rNw13zzUWnL2YCvbeWfgwEEIM7PvXmyCit
3eDA0g+RML3D1RJ4iIWeR6uw1PPXuhfdYyWx1jejkAwTB61+gPe5XEwIwCdToUAETOpsLNwf66Lh
t28Nst7zWbVrI6l65rSxsjZLM1Li1Vkdf2Rc9ojL2ylgKQjKB2PbvS4543nGqKM9dsM6txJvazVx
vqYLByw9MrZaSnDdcV+0m0EHtB21Scwl3cJW34zsuNEpNxbMD/6Q68hIA/3mDWsKZPFhROiJiW+Y
vxlNFJ7xbhB8znJ8Z9WWGlHLpM5bZ8xLi2QgFntDOWm7qkZzjtE+y3KG5m+gGsC127m+0RTSCGyP
cAsfR/a8yqM8umJIQu3RnjpEmhZgnT0cD4Gc165sxD56vleUg9gFRB6f0BaVR2whfHoW46TAUuk6
xYOyyWfDTrGqhNYn2KaRIjwfWyqUujx5Od0CxWSDLc5OUR1ULBQNN7neXfF1IxvlVqiAvuQk3Rq9
N97JUk/srcwqZ5/17ZMXj8sXqZZpHY6dtcfMyGDZYfiyqgVjM07C8U3Fs9uyj3QYNReA1ATBxW12
3TaW40wL08r3MpTesLIbFsd+RQepLtBhyHUXQHp85qjkUcMLjIvTNVDE8L1ZqX0VscpcdRwijJbo
gW/sqnJIOU0i4wbry3jntEp0VNexmnwiafMbixtjOxqYT6DQqErbtDTYalW3C0gDjoNjEVPL+kOY
F88h+YT3yWD2JDfnhnkOm7E5ARCuupU0G/2GVM/qUWLoI8x3SKyVXvH/O1yjdPdijg9qsRkAGKTq
JgZay7oQpFTYDFWieShWQK1ZWMBh8Hy7y7JPUls0du/EwTMaBbRx2+FX016viRhjMDWNd2+Yo5us
oX0gdY7qlqRbSy+8b2DmmsNciPGN8VkeqFmoe9GrZjdVTPw0R6P5ILFipxsQW6jlY+sYewqZxaja
B9usAC2FwonvUPUZL5Uqkns5T4XYdW0X3VJAIQNQc5/Bh5Fx917NOjN8C4+KvW1JG7/G3WcfcQMc
nXnIpM49MylaToa/COFMN8v9bO7jG23qtWxlq46XYwaqvnO+e/eeFo+bRjKncUB25kHk6csJkIkJ
tMdM921GTHgz2s2as2HapzILXxXwdf7BRcc5z02eAS1GdVaVwFzIrwmY9RhlkNqNPGHgIPNXzkZ8
NbkKhoyYa8M9mbLDscd59ONr22lufAS0g+VoMPkllZDrLnY+U1MfV6NrYTFsJvM5QbGxT2spbzFi
C161+DQakuh8z0bTNmn1KQ05+hc7P0WzG35OXbX35FCA/tdAWIlCW7k62y9QR+llBli4tSpsU/6y
TMZNyY1u+WMC3p6hox6wzDJWRTwb/tDyj8TVtXecus1dy1j4iG/byoOujss3rInqU5kktrPjlKu2
qKbttS75kmtZ9clVaiP4m2XC0ZFK5a5nYsZPHbNq4gNcsz2abjN1Pr53+F6iW6S1xiswW6uRRFZz
MxMjTTcIpvrZwRperhunyb5YUGCz9ezRefmEZRshw3NtxjKfE5uGrUuOwO9AlG3rLIGMTSvbvrEi
zZ4p4fi6mL1ZqbrRdCu7n3XnIYO5s01TdBZr02rlEpRdbJ67ZHTo5ii8bsKstPaUWNX7XIX9ph+0
YlX1Ot8X89q54mZJy3fTbgr+zER9NRChroHQAw6TIBXOyJnEqeM44y7q5gWMI/NBn7oLLWju0u77
EjPwByl8pM8K4nJmAbN2hOt4SF3aL5+7TrNoSIlgDYYctttaQwRxz16vv1RpOt9ZiNgfplzpJmoU
EMh+mxvaZui6ezJ1eVjThZ1ZERGXV3GLnRIDeTecrq4jqd1KMBnYhUUHymB/BS1Qfo7p1HxxvaZW
9LSad5BWx6AfXygL0CKtoH6IpUcpM7bL3gWxC+GrGpxTX+iL5WObGtiaaYsEeJSm6tQI3A/+yDmS
Bm3JUDagPGlfgDjN2p0iD8baDjz077hr8WLqXAPoc6vcOaiUlOrAYrHV7FiqWdNqGsOYCYu0qL+q
3HQfpklYq6qR7DWtdHaObptx0MbedfpZOXl6RkKTTUAQZXFJCcZ6bg2vuRfmKN+b0E2ZukfMDRHw
aZ8WqXEHt5JNuW26lkmcFhW66ccCBz4zvHhASVuLW2h2cXFwa9YmEbyy7/DVrCQgrlbf126a60FZ
Kc1ntk/S+DQQzdwfHXc2Kuc/itPfg1D/oq2js9CRbP73itNz0hH/zniuTn7u7P74ub91du5viEtp
wxCImLgtHf7IP/QmnvgNtILNcv/vUhOT//mHtMTUfxM0faQbQqeGuWm7/460BM/0L60Snl8siZBf
UKtjS7SvctSf5OKJBGud1V2258Zazhxsy0YzOmMIsKy7K5sAkx3CBWZ+hugjKpBmzizmQAbpTFY1
Py3hgMe6ijqDcWjGtNP3xFyRhxEa022bWNmKu4yAvDprKSy7NBlgAiZyHtZlV5MWIvrlzNZA3/Eu
kaLMsTVlFwX38JtkujkETZIsmzY2vQ56q+ncN9osg5Ycqa07jtPtInm/tRnThygrPFT2hJ3Xwd52
4m3akKvGsv4wvXLZ4ALIVuWgmft5mFGCOyhpynqXMykd2gfCRwbuPipH4c+a7sqvKjIjZ8M4WjOe
dRVGyboYyAa/4vc1+y3WvZmlG56hPj5WYIFc0x/xV423jSEHsKMR4K4LzUHMdCtDDwP5T3c2DHIL
CsqEO9vdGB3ykhXjS9Pe04vyX0bQf+Xr1GZ1uXUanXUOkZ8MBOfrui8UnYxWgjW56QYio/9BulY4
oc56DITTl2KZoxsl52pd6QsVXMfKuPZF1Livy0DtsS7FOCHFbOR2cJZVz7/BGlTtp5026sISSO+C
TI/MXe6Y4m5JABqOYahe2/yOoUK+LdpCPwueawjXNnUL3SlQxO0d24ICxmrq2ybODC6YmiVoPyRV
oM1eeKeceXrK2I696pyEGIXYlJv2ULEeyexvWjml927XT37jTQ1TVM3bxITz7HvGGG8pZSGT9bii
q2zLfeKV/cEK850hRH4f52l2pyZiwpifR5LFQrPVxOgcuorWzZtpUVvV+uhJuy82kTj3RRbL1WSa
yT6LnGKtj31xlHqOeYBtNgKVJH+qlFP6jSbiLTgw79OJ0BYD+GrTW6U5zUeksE0HExrGize77Jr6
VGiHMnb4KYpC/Y7FJ3zqplmeTSN/TDU2kg7JS1FgWNnn9amH3pmbymIntgnzayZ7RpPhNIwcW3P8
dqUkfyxTJtZefe3cVRz1HzAr1+kCA07EzFKzejwqK7ZvcnQMG1MRjgiEMyTWO7KyfUWHeQ4rKd4m
EK4XIcsxpMGjY0qzfF8SuhEMVtU9dkOFA3i0qx1VnHkccaxccgqWHWNw+65mGXlBBJq+QoVJ3/hG
8+00DeYR/0IOuqusL6RS5p911Dsh0JpIHpLWXFjg9epU9A30XBIQIfjWrrwn/qDISco0OVbMKTmT
/2feeQuAZX/kltjlUJU0+qIkOZROZN4MLq4J1ZrJC/0eGGBzHvVznankTAvePA7ZMLJ5R09jso6F
HJZ4bxUw4OdWOf0RDLanradBpgce44uxEUVM76974Z5dwbjtFz1a6annbtpG2d9t1TZb3ELzy5Qa
2SryrsltSOt7OzwT1M7WYYhhuXpElYkyQlJbH2f7qvryTLpta/iKQ5FuOyvznR4R9FPSzCB56xRD
lFJujFifVsvkNF/qELUwGvgECsVMYFdJY5ZWdnOJMwIBqnYw78hqmF+HKlk+7VCoOz6Q8Ib2ZQCB
MItAWWOx4j7B/IvIaDfmVrqljHZAsg8VjVXS5lu+du4WbWw2nszqr6bm9NvFLahup5B9E6tkVoFg
V26lII4gUMXsBCnqYt/tbOP7gppP86kaBy7lGSQNCY812NlzHBa3teq9i1EZ0auBYmm70KFvJnMm
npI4LP3sJJl+9vrMu2gooe4A/yEWEN3snYhSyLdePt3kzUDJJLhRD8OAqmKxPILUwrFHqsNegqFS
Wq4i14HdOZjlGWox4WUmR02Zl0fNsdndN5Z4YF1mI8XvtTBAhwIXJR1ZCo6aS4zg0KXprpu75kvm
SMYxaXbgWeKtQ7Zy7yma8H1On7xtqOceBRxVsIe9vBj9PPkaUEGapzlrnjoodZeJjetZoWL4qKsB
SYcQ432eEPXGUryTp3Ic56+zVsGAzKLG3pWlPR6o1tQ2JEjwovrWPBi5UW7cpGmeR9vubid7DoEZ
q2VrJlN8x5OtfnO8ofriYqD8PicZNiKn7xDAe9HXMZtSdA6L54d9vQGjNMCpYEdBAEgfaBXvM/BI
9d27LGgoWLtcfdSFK+h8jZEGzrnS9/LYap7DoezXmG2rvWsXrAZtJ82+l5ZoNiR/Ni9Ykx1nbVVR
8cWMIndbki51HlBYHRUgdT+flnYfkyToDZlB7qbB883PrT6/9KB+blK36M4ZQYvrwe2qQ1Np/RmJ
obNKUbJfxlwqX1Pl8ILfxfGN2mO8isCBfXBnjsMdBE/3RG0/f9PNIR+IdySMhTK+iY752GuPcYwc
qUkqjp5Mq3A2dxpxBRzatUPHyMIb2E51I7PSvCQ6PJKhVLjKce+Se8lCeiv76sc1wXQrMIgoCwoR
V8FUSfcjIxFpoyfmhzV0FSPH0n5wo6hDVTiZp7H3LI7B2bidm0UPkNqer1/goWFVtF36gelCmaw8
tGHnwe3TfWRUoCVj5ChVZJhP0u3VepIsUpqmsreak5bsuhzWvfgzVnmWdNCSzXo/E5h5J+3I+uxj
eJQ+vfWyGsgiehDYDjbMYQykEq14tMM0tgjLqK3bLGyIYIJO5d3lUSm3Y8xDdtTNE+kHaLlguupn
OCZnEJHTwesNFxmB1uARgrvkE22ApKhv5E5qKTpXxEd0JXN3i1Klvs1AFe/S2DCYatolQC9Szcdx
8ZZtKFr5Qi1gPE64cfAgIBz+7hba8FZUaHvDrH5F4SLXWurdMXfssAZW0M996pRuZ3DkRX7ap/Fh
BFeNk9rokgBYAEN3SWzcZ0IaB8vpJBwPxsA6vOLxBi8z4tK0ug1CDPsWFm+2EQkP6wHSJQ5+t5Xp
ymwW6o+JQ/hiRkOzAiD9XOptcaNGxcAiXHRry/Ou3CgLskpOxChTaCF3JDS6N1LIiaeCTN4o0Jwu
0FKXAmQOd0OdhignMoYaoG1FtgdmDZK70vLbsarRU7bWBIlG6hXlq+rmNTaa8d5pr1mE0Dj3jj6X
N33WjNwnptNycXjyK4VvvLbA2AJy4FiBknCVL1Opkghg6OODYh78pGdV/mQR6bixom6xAjts0B9l
vUeIuUO1EtnhXkfBjKpAZy7jZxVPMN9V4T4ZVLussEulB/i/DDITJQiRTCL2vkVjRN03s0gl9HM/
62fhAjlp3FOokE5Nvdse7Dxu7hytM8+W1c4XD9fNiuCNKOijZjrE5bisIwr/18Vxj6nlPEZOMoLk
SC5EIwp+S+tQZFK8J4DPrjmChCuEDg4auCIIONA8zpq8cgNic9VAQ17DIf6gJf6SSO0OthAY5Fg5
q3wRbJ6bRA+qHgOKbgK+yUjlQ3tlHJNcoFhKoye+FnMzzK4VAPgfVmZOcaPlyY1ihHDubOtNdBY4
bIW8G5ZFvsoyFy1ikfPBFORE5sWMdRSOL5QEqzxEMZmB5eBuUKHMBzdRN6AwjGcgWogtYH6ihHFK
ECh4hpFhTksQZgNwu2oG22IVW+lOI3mAqfk2a8a0hWJMpI3nQou25Q1L/QzHZ5mdSy6/D62TyADs
8LEABrSrycs82LipzlATkpVCvBwsbstjrouTfVJLdzN3/RKgRLFhbrOzqqs+ugDa48lOXvWNrfPL
pS6atYU8Z6epW/DQNVa4n7rWf7Ig/5OP2IajgR9Cwgel4fmVQTrovRv3lKB7bF3LGcLyvDXTkfYK
WhwB8noUt5/ToJrPGpH9X7Bh/vzabDtNE3YbIVpEBlyb1p+a0ji05jwZ3GSfFh0tpTbJ8NAuLk8I
e8icBwtPwmdNHVdSLujZXziof9mLX22gV/YBiHEXDzfBZf/44ktSts681MleTFX7ucDDOjFTim/c
zMvu//VnfN3j/7xC5aVwpPP3tfPGW/LLSyVNkjpTXPBSNa49xloumoySvIxv//p1/uxL54UsOF8M
HDA9OL/yREnDnq02k9Ee2ci8gR9h7R08T+u8TPrbps0y76Q8GFxccMVHTYhvxIkWMbQOkcn5VRjz
7n68pf/IAv5ifgSb4MoQ/O/nRy9zBUkh+nl29MfP/M2r9MOVbBrS0a8SEU6g/z87ElcbE2gijjEQ
Cabk0v5DFmDZv+kswjEscxk4EA+45f6YKFk6ZiUmSjpAXh3hPxfP//3fn9N/Rd8oWnIutrL75d9/
1tX8ckn/kK5c3cs23FoECtfJ1c+3bjiMSNNZFF2G4mvU5as4//LTp/FPzqVfvVBX3c7PL/DLPdNO
5FXWEy/A5JfgsMIfvA+0MYkXxMXXf/1SP4ZfP92f3CouZwBDOpNTwfoTGW8W/4+9M1my28iy7a+U
1RwyOABHM6jJvcDtb/QNgxMYySDR963j699CiCqj9CwzS3ONKq2kIEPRAO7n7LV2J3JJN881lbnS
UxrRNbr/bJKNLuoe+bn7AP7iiu4OHVbJWInAKpcKPhCgq4mK96qpXCdiVGsxMnL23Jb1PQ3Nw3dW
GqwYL0NrdZp11ik45n7ipWH7xCQGgbqlVeGTavpdSmr51DFquEubKk02ijVL2W8NfN28zlrZcySk
Q4ZSidH0el/ShRhnj83v0JNtlaND51rlFohtbSDeTTkYp1bUyTNFY8M5hyxzthig82lX/M54Ob1M
fcDo5YYLhpw+c6CziZdH8AduT8UHUSLLvLUAFpYzR45Ye0SmmCCQQFgfegDmfUa0KNw7eQss9s9T
o+yTXv2Hp4axmk1++eH9/8JE16rsv5TQor8PsY/v//PfPz/m16eGYSKURsysC0+CS/4v4WgDP3pr
YIhnBCc1Hih/PDb+DeNo/YZjjmgSUmzSc7Yl/tZj4y+NtTgPeJxROiA+CjTxu6wPll/e+fVSZSRB
VHwLHUunCo588pGIhuVWNnamDk4F4LjDGh7zS5CY9TX6wLpYh7x3H6yXExVGvXX1uCFHvjTAbVzW
6Yxi5RIUZeKiJFnZMuTibf6arEBa1S36e2pGs0ciKAOPRszgKL/4QNoSza6enb53wJ0abyTfYibt
dG051wVxDwPPjThX7HbR6da84LcCmf1GKu2iD6omqrGSeSItF8NvMD6PK71nEMI5WuPMEEmthB8Z
poFebZPEvOfyqiVAUMoYQwngXr7Sg1yNnYPWDu0RpSjPHwZL8/3YaBgpWZBWsIjTCiVipO8LfDPV
+lmpJX2dZVdvzRVrhA+4xJ5ggJgu3GmEP0GTUrhW5SmjIefjASLWZwlXo7bjqBtmCygghYIJu7BB
sLrn+WOlS3fX1eT0z2tU5RtfEXXOfn9eLeuzq//9Oea00ZwFaStotprsud5Ds5M0oZtyulaplSdW
fsBIjCO43NlMp2g8mizCVOYhZS5SNfO2y+pxcM6MrEuIPHayOBgYW8fZkGKt8KJ2Bm4Q9HN5I5MC
L03Yks4CcjY7Ri6SoNqHq7feUDaIh65T813eeNr87pVroZ6Xiu6HCimyMG8wMMoCDUQRip3dJ2ih
0NyQlIeLWkPzhTdeJu4RdEKtyXqnBereqnxIj4nF5jcggHwvRNUG+prVp+p2uu3WEL+eJCm04ZxV
vlrT/hrT6pObZlVAqQVpsSTJ9jSV3Yqknh96e7ASPwS39ROPKcIWuVZ0ct3esbaWyVebSho3PDBb
HvsgN5U8FjAVOy7m3ZfKqPNvRt8Ik2vByjy0K/7Qf5AQUY/JelN2njh1Zj9tLDPKuQUlqcChOHyG
xCBGRDmSvMODwIahsuroc9Ra+jlaIQ2EiNqezWjpO/x1VxYC9V4sYr4vV8gj/uA9WFc6m+KDAskM
PTtzq23WIpdu9F1COEfiyvImId3PLrbPrQuVKcup5GK+WXi/+RkICp9jyl4GMmXIoxs77riqD5aN
mMvpPsUr3RKvnEtVLOO+XtmXbKVg6Hirn9NuuZG4/u/Xn+xbViO67+hmGdiNuBKSVtgka3hGs5YM
4YD++QrU+o9KoB+oVlInqpPl3DbWdKnGDI4nR8KqEjtiDz+u5VFQACH6kHdiK90eRZ33GFlQlLbp
ogfJnJeFsF+5kkSOFtqXbCWM6AbTDmnaTa+yqTCApLjlLnNiGm+FXGvg6cWuOFXnuvlAaHFgpNyZ
PzTHjQtemEO8y1b4aejzb7ZreduWAj7X1waFqCgDuXiszWmOt4YzVt+QZkZPMrUinZVbK7/2K6FV
gsLyZ9BSwiTfYFlea5uG9oTjpNvVCQE0GGaaptTfpDMdq5BgM5KGDQGocRUszOmulxFRIWfok7Pw
4uGJyRQ6TL4+T93cgHem1YNrqAutYtpWroSa5qywmrtyay5BCW/jWbn7Pq9wm5e7yWEMq/LdSXTP
zz9wuLqAKA4ofNSZMQtaJdMHImfuUZlrERc/3Y/EpcDrxARp563M3QR8R9xe+ApFp0NOAT4vXUk9
xrLm52ql92DHNPbywkr9WbflGzyQ55sr/1d9kIBOO71mccfN0Uyrq4HhtduMYISUjozBCG75I8om
jXFDswRVHnf7GeHUJ6NcCqSeLNnHlVJUK68oVnLRgJ5Ym6v0RyZES8YYGnRxR6dXRCQcIJJKz9a3
5qF6SDnB9Vu1IpQUAGkkhvroBzCvfijH0nnD1blo/sKPVrCsKGbcg85s3BXSLFdc0wXbBc0a7avR
LBHScM1kNiSM56hhD+ESLjpVXlvfEcxHeIxPi6/syo0mqu0f0TM26bZZ2VKwoRyUX0CdogCxN2Il
UZeWLretZTTfi5Va5aLrbUhXVNd5BVuRh7eXZYVdc2ABxs3etRkNCdr2QceatpZd45WbFStBm68s
LZ6R+uqsfK3+gdpqduw9WN7cH0aXGX81hwkz3NCatiPE4C2qjey1YNr7Gq1gb0mq5KWGjTsPM/RM
vKLAorVUEOPs2WN0VkGoMD4zkeli3+K/llEuw7P+iMRkrDeRMzxbls7KLMF542uMkreolaqg0WP9
rmFvagYAz9Wp/MCcMXqrs0xVkVH2IwxqD8GimxWQtmZ4Iuqc7T0BMOZ96YpS06lrf+Oyo2t0iMFc
Rz3aaXtlsdUi8f9YCy96t9TXii9asXesQ+yLQz7gKXTGFrGQbNE3RaFLQg5Y7TKscDhLR8Dhfw7H
/5fDsck1mOvsv7lSf+/6/3pJ2igp/+wW/PmRP4/IGAQdw8aygX9GGshA+EN/HpFd4zebmDn2eXyT
FvfuX27W+m+2uZ6bXYdBPkIwTs9/ZDWc33AK21yqkeITykct9peb9L+7WWMV+cu4iEEYwziL7g6B
sBiO+M9H5EhRmlqm0L1d4Qznyi0lL3mj7s6motCN1QxnGKaUHHyEtlEFvl89mROevmI6ZHGr8fQP
B2fX9l776Ln8O56Zey8JMPCe7V+EAGLwqnM1y2Y32EWfMWCP5bGj24xgcLrmaalfJTtLcU0uN6x5
bH/0FKHGGkUyAalTSREimS0Vkbgs3OiZd5wXbkacyFtSsZ+8iQ6bDjxrYyHWeV76kYTuhHGVmByF
tcQe76OpEifq89BNzMjzgp7D0bieSpsHqZrkwoeI2m/JNO9rsuJJWKedH8/pdGjNprouE0z13Jn6
69K245lRuXoKa7Um+bp4tWyxMqVOd+3ILLMuMAo78bEG5TuCNrxW4kkVj1EsJbQ4NpC04x87ekPa
WCTPVVZJrBD9eHUtBRKXs4zjSUQTVoU+rEus/jGrU+curAT7XMskR04W1xK7ivYspqa0i/ngBR6Y
+WgFRj0SQlFN7vM5Z77Z9Rz5Kq/AXeg42JrM1yHL6oNI4otjATLSEXMbuQsdb4bSrdx3xthAikIm
oCQjbV16uOBw09E7uHHtpd/QVXTwADGerQ6UllTcIgJt5PpOTo3QQNuVku+HHC6Laxz6VH9LUkP6
A/8tQRb2LyFOjJM3tc8qUwzciTd8xsKvTiImq19QIeuDpq2rAekzm48eOqs08aU4VX7FiNTckPNg
s+PlRexsagpSmYB09l1maiGJFwcZSRuyKWagEdAPCeS81N97w4wU008qNMMmie6oFOxOs0cCI8Xa
SH/VfMlXUUMu7NAfSi28F2b/KSLvQYGUkx1j1krReer1fLyfKSxqvrSs9T5ToDn8SNJR3NuUbZ5T
SuUeYb9ZVEmMauTOG3vbjwVfMpj39kr69PM0s1civaEFxqR/x3X72ZkmTBCFLJvjmFrDJk9M/Vbl
juh8BuPuG+/t4WnRyLWkY5hzDA3zNUE1DAXvh0Gmu9Amn4tcfJo+x9FS6b4AZqiDTmsQU9AnLjYL
32X8LT0946vk7J40Yk4gJ9YvdcMlfDvDcd+PtXE3SfGGq+dNb9E7E5MPWhLR9cGzk9rbWk7ctHt2
U8Zejwz7VYbuUxTW33VjgDeHRajxPYAey3wc3ds4t2p4S5fy7Ng2DhHPnAf+BBKhZhffsJEBYfAm
Iugl1gKo8HjeDlE3GdfO65Zo74LkIlhr67cCf9jw0PbK4VPqdqk2hHcjrUpcSrL6qkZz9LvRnsEL
vL2yzPiYcWZu7g1oyuIwhALvlkssixAve/sgAUnNN7NeSfY6JnCzWcU4pkMRNDW3GdvBSCxq2321
2tWj3S/nUndgtvsu3rMDjjahTf5UhooLo66AW9bLbDTn2acZ6tEvsHyeXdx1VtnjCAuVGAhBWGzI
2lTeQzFmAYYegjkTZ3N3zCzOAUVzSjOTEqJhqPejxRpzFEV0nUY58RWg+/gJMYM8SnZq15mAwssU
+fGAqUHPIr/IO9IPKNzdYManvUvrM7EowJfZ9qkhNY7zgvpC8m+dc6lXV5GbOHYk2/J201SNofty
3bseM3t0eVK1zb2JZoIovYviBdurH2MPn7aqXhS8JAGgrZdn2duCc2nDkWY6S4sCAR4Qn3NQ/U08
DvG8YYzc7gxpC5Ca8SZfIvVjiJeRf0qVfMxqGlt8Ug/7Oey+WSHqFduhT3ET27ALlaEjiygUrapV
2F5I3H7mxUJcDkn5oYRH4bc0rDQi0fU00VuJD/+bUfK2CXBydxerCL3dGInHiO3PwdQK/ZzoTk06
l0gsZ85iEy/toatdneOq59KnWKktbeLjgWJ7/agrRxDCyeKjPVlzYAM4nu1+0jcMtVxOVrpxGQhQ
nufSSYLZyB8obKZrBBHsfrWOuzR7JD8GOg2rjXIYC+F2I+8sxtz3TKM5Np5ALJgS/vJJBNy1gihb
NRsU0PIreo3rKCFyQIl5ltfaVi0UvEojEScOqNAyQ3Oei6IJ9GXu3umYJfkO5xCkeV5fepNo9MIk
+NguHvnmvkDb3r43XjQEQzZ9LQquhbpQAkiW141o46MLgnAYpnwt9nZvAO0e+o7Ig0nCf+MOo7wn
P13sWq27iVT6AGKr3U9xejfzdT2Fs2Qnq+c32OuW3Wxn7GXnBFfQxl6dTnDd3FSojOdqNA79uttW
z1am1GYa+Lo+gBtF9olLqRqueBGiKjB4c7aos2Z2qMghKWvZWBM4RGCX7oLmMPTq5RHDsad9mjpj
VsT2HHq7Ekk9hT5mpbNsCLflKxDfC6EOeA8fpdOutTmQImtlWG7djJlo+bGSwtwY3FcBgURbfFeV
mCWM2NLckkXQYr9O2+XVrIf5taj0+eQwHz9j7Or2jdKg9MYCsnorVDaedHxGPPpzMqDzGPcHKLkl
EAVPTPAx+wtzOMrBqyE9jTp3TtB2p3hwlyE5FXrRIduRAQrYaacMN3pvjEHbd/0k7zrlNmQRMBWZ
bZ9iOSRMsckaky9QRuIb91gUvUCV1bQnM3pvuXZy6CgolkvAtEdfX+QAgDMIkETbJHfOCMY8t2z4
44Ahe81N3FCDh+gYZmUnuzUy4aqY0EPnwIGt4NxJ0SgcUTnUjcORdCXD/DjTjlrT2Bz8Qh2WmiJD
71ZIomBs1pcm2XHNxQ/iekvrx0TEffJL+lsn01j4c6qn927cNg+pl7JO8FC+UwTgyT35jHnXurp9
YE9PJq/JZjgaXbXOOhdT/SsAleeHTJsuVGsX+Bv45n9azMTa2Z3cmz0ZYawT/QCMWE4mH08WqavM
8UBZO04SWMAoMOEhbyxaL1Z7s9PkGDUM92gllv4KXZiibtQZwEUDQM2uVqw1+HHpdS5wff+Jh/cS
mHyRziQgv8JYwsM4UkfUw3mr2eTYeGbEPFkcTHhsYPoHUmR9b7OzZ9Ra3BK3ccXWzuIh6GV8reVU
Y+8q+suEL+Noxy5y05Jt8X2Xt0jWOlnme6sEAPX4pp1ILDajnxM3eZ9DN/7sceZ+xhrpnEMrLm06
G0bn0ukczYDKReRdCx0oxVDOp74wu1cVZhEZTmntco2LvjFL/dh+EHME2uw384Oj69y6PSSmw3Mg
N7xr/gHc4Y/a9k0ivvA8TU7JhG0A4Yn9ia540j3ZB76nNSvK139QfQxbdmol/SAxzUDaOOQq5WQB
cgJv780FSN88judl5QXVSg52K0OI0H+GJoIrrFbCEE0AsKFRodsTHwhiLeo2aFYuEfYGCcfKKnL9
t3fGyi+yppov9co0us1SP9YfoCPP8/QHo8TuCXoh/xR9IJHISr0TVo3wlKzEJH1UzY4OxIbgJDyl
uZKV08pYGgu0pbZIbSMcqw7UymK2LOUCKcMBUcyKamYrtTmt/Gaaa8SBV6az9qA7qzY3d5reBj3d
7LfJyoBC3ow3KfmHMw8JZFNFzC+LMxocWHjymVlLV73W1AEmGEYsliiqbTaqBulbx+96a6XnOuGM
khd6wwGK+V2c4f1hyh1PQdIM9o+xr6Z3u5gxJ9BhNV9Hw5jN3dRa/5D2P7dZ/2k5xjWebdG/vv/f
VG0f/5f/Jav6P2/Ifv/An9d/z/5Ngtmz47FBxSxDsHD7Y0O2rtwxfHq6QUyD/8PN+08bsvV+T2ZE
JzX2y2Jd/saBWaeNUDdctmSsvP7G9d9y/ky1W1QbrHEYFv+wJBQD/7UpC7a/pkzMMS4LGvNo2fPY
VH24Hsa4kXVXuqG9AGkMccLRJdS/ISGwvGlGjrCNA8qhG2vtEvKq4ymh0QXA7QtVz9Jd8Z4c4tYc
TpTGOz7xHp6j3K8eeZ3W26qMtHOfuOtGp7AfR7een1POLuVmqFJtL+oGOLVjEm6zbdnw54md0SDI
3XhjaO7TBoKKz5uhnowOVEpfbXovTwYPzk3chPcTL3RAQXBSoa/rOXFoutrkButmWwcEi6I/Utgc
seKoeR+kIHuW1lzExhaWyyzVlYV6xFMd1mnUv8WanSBIw/UfpqnYKX1Z9piSo00ZGXutlOUr0Gwa
dHB51JRaAeHz25b7baBFGUl7ozd3uVPwayp52pqFzd9f8CLmK2X5fel6B9UNwKERREIhxHKoM8Pb
cgJax+g1b7M+hVH3EDR12QKvnYjNwFBoY+m1yShTmj7vOwknMiA5pPr7hIbzGgsmJMIsHsA213GH
s/eK4cD2jBpFMsQb5UHTsL/RfSPU96D0Yitj9ULWXm1HFisBE+3e75mW+7kaoi0iSTvI3eFr0TEH
n+fiVANUnOs2UVuTTVq1OEQh85rzH4JT0lS0PDBw2jTSPnihd+pVpW/dtSciWULtRZlJtTHZUjLe
ZthvDvO8w5iDL4EA+dHA8/PkpOz/OnhlpKukz7tZMD4BiPS7mcK+kgzURrrRfh4QRzUsFgNPpJ/r
ubbOjcbwvwyLLWEwfE1dO1HBFu05mVDH09SNn+OTztLmCcXTizsvl9SYnE3EOmSnlYkeCH2J905d
fKFo8XPa9NY+5ToCugiiqHupdmooKraIQ9Ox7kmfn4mnnOu2PfEj4bbRvVel1W5YG+CNKOSyTe/Z
6FJeZHU5N49eHhuDcmBlLYK3aXeetezrorhx8CivgzRJ1UGWyDmXpXRJIvKzgAW+8XGgWQeEp7jq
ACu2es7/j0PtJ63rCz9z5tBnjD1yAFLNnr4hK6gAs3Z2yts5NNPn1rCja6nHxc50v0Zep5/myGnQ
tdraE1GUotsOsEu+kyfJQzFmLriorbNtgoECCmyf0Ni7PghZ9kB7ouV33XLtKHrfsYOcAjYC9m7J
oK+loTtBOZNF7Q1Nv0vsduHSkhUBiA+YJ+97n7UsJLqT2kdhMMFLIpcLmBHBR4zGudP0wdeMuH7m
aspX0Q1N34CxRZHnTb4EhmKbjsaRw6X+rEJ2Pj1wKb+5zbLrGSJtvYE9MyuU8jHTTEXOd9BPou8m
ycmT/fd20jivcbmdCKoWNuApVKuJ32zHpzpcHK2kb9LWLmVFTR7k2Y1mZV+T0WZoX+J4HBukyIOL
kcJZ+HrWSycPDswQyQH9ByCry86okqe124ADeP9IGOdIhtw+uYtDxLGVD3aYNlR846mNYZM2y5Tb
vmXh2jQa7xt7uoeE5XIohruclP0G4a/Yq0T7XliL2uUt28XeuSQT/37nlPvJ5l5VWmW5oy2u3RZt
V/sqxLwLd+wimEu+NBXLLAZ8j11l0DdHAzHnVkfbTC53M6G7KsD4YPgtIf0tvsj2qgwHN6PxxWu4
jrkkUbn0dPIRz0eEYNVbOWbOvwK9qtV8H+kT2ziLCm9km6LrzVlKowvIdthSGfgpNtwQ7rU/eYV7
iJltVbnx2ba7SxpZ6bGT84s7dSzg2LajnzDt46An5ZPnja854XO/rp3vdjyx3QmTfjtF+ZMhhrNj
9e1N7RqnhKJDlPXMBleXIzntuzwOwWtMjkQEnX+07aCzACe9K5eh2ltUMvkh50HI9z6/EE1q99bc
uqzw2Drm3LY6k2O2cr0nZcHPYKk7Lza6w9FQza53OcXNLn9juU5lSAffdSxkUsFLiIoXpm0T8RKg
k3zHPYBLJY7KOqNmzeYsfVZNd4xaQAesxtom6kGJqT/VfaaZ9luezZ+mcBgOjnLeqwGKOo7yeIfF
etojh9Z2UUlmF7eNd8sg5E5H3rHBfLN+4tO1bij56yURFZoeqxT772Qnu7lBWcsDDStprL0OHmq2
hriCydKaZ+EwHN1xaXnW4IRWYWgfeP4mJ6Qf0z5CdhlAZksGcKTgWPqa+2Qx5S5yJnPHopORoVWL
feSkrxM9ksdFc58oET13WYOJQot+mFrt0EeahzvNyZeNVdtiB5cPN2AVOogx1rEKGwML+4p2LLsF
CKSu0Sy/opVcB8ts9wH0SF0gBz7MRINJ3s/wX9X00ofcwNf9md2llDfy01e4t6FsPaLxTmxk6y9Z
lVKPZx4aoyKyjp7bNsJnc5hKk22ZYl6PhF92FU/vbMPVYUpWn2ooHwC2Hbt9q0ZiyeWpNcfO8bao
hYjXbso0T7SYCC06i7b9veX4n8Tqfzpes7kiLPavj9fI9JDrF38+Wv/+QX8cra3fLJZqDls1gS6K
0r1fjtZrlY7NfsWhDVR85L5+Hq1NZ/0n5JZ/yq/+2KqZv+EHkNLl1G+sH/e3CGgpUfv/GsLGkMUJ
nQIwwWcgiGNzgP81eNbyDi1nGznG6pyjezfn/TT2O7Po3XsZl3F1RKKBmYTp8iKDDAuQ9hyTkXzn
YWawcZu1tl5KhpxeEu41COP2idhGfnYjL0nveiiCz2ObOG9ysUv0PzhW+yk1fE/LWr8hLlScMHhm
O+ZzLPKpbr2kdaNVb2VcV1euoPWyR6i/j6ZlRN0QGzU5zan13sZEme6BuBu6hb5RXPuneXDv8Nw4
vkM/OIelqrcC06aEY+tFEIVfxl6LPw1t3lFg2lZZtKuJ3OBNkHpMZzm977q1ZWCdMB0ucHGY0w0Y
me06O7fJl/qm6jr+c+O5a50t6p7UCg8ADWY7B1RF6lpxKsnQ4mEld+CxS8oGslU3rgEiPnGW5evJ
FEjRMNhskWviFhnGkUGuiEOhf5umvIM1yeJEMsjNyGYtLb/OVZhtiwEJBK7cgQ0TBh/q43nK8LLI
Sf/iJRI+xBTeJ4bjUckMOaqNmEIUlyLlJX1fQiT0kn4cmC4JbFGRQ3BwIUV7A+8Gcr2i1476RAgB
9THqT08D5EaftUnXToNY08Z9JGuDM4rN2M3sdKQrlKTcI/SSO9ur1RdyZVlAZizfsiqLUV92zW50
i+xCJMbcV51VHHHjDvusHKEam7KyNzR5rg92/BxDnO2KoqTy2Y6jW2lgWR/jHNkWJSIEHRiKpnZU
HboFlLotpuI1LLW+3mQh3WOLNta3eWo/Z1UR3ZtR091NDO/vuRCMb3GBKDXyBNxEHc/3/DxUOzVW
yQsH4PAuNypFKqbWjO00DCNuJiQmBLedG1Rp4Utcz/SvxbaGtGa1i3ctXPbotOYltMN8r6VasnDE
5Or0UjfYa3Fx28+NLcpHAneZ2BRhHM1brqDmvCUd58zbSi3LseRoy/K4p14Na3p/nAAM91OeRS8m
FqCzh6ILcIzp25PlgY/ia29p1BmIa/4Qk8VQ03QWzKgE1ssgM6qFOnRDIhlYMEpPku42x6cNwDIJ
e824byD7gc8SJLYM/Ifxdogi4yzmuTqQWx+AtxXf6yHv2vs4t8uXtpvL/Rg69VeMRa+iacdtn7vu
ie90EagaJYpiI3FdVD7fh7R0nkrOJE+RMJdPg7kUxer7N76lVauf8Woha2oa0zlN+eztrLT+PnpN
eMAt0QQk2xa+g0766GXu8AkUOn9V2ZK8mlOfrGlXN6O6ofRIavIbZmt9u9cdYiqeM/U7+lLPU0Uw
sKCLfU+CTt2WXilP09x5E8vTjJAoH6vdipQX5iIX+iCYeSR3ZZjOKNrqud1WETrhUWBziKU7s5jq
cQVbWqOCahrqLVpvTED5WuvJEGsbaToX4m46VbpX+qS0jBcLI/ktC+fnZGkfUzqm32dJepfj5lrO
JFF8y61B3e6T06YWaiEVXvSeGz8KuRAfenT0rM65qqlt+NUYukea9HJftnr1zR6o+6mnpbrjqLd8
bSY4N7BhGpe8YqpJJ0bWcxRbcms3OX1m3DKUvyxedGWcM7z1ku4qUmGwWgWy1Iw7+jad2xOb1ugL
Z8bkez5htujG5sI6FL2vPc0+2zDyXjG9EabmGO5mhu69GPPK6Wc2c/Ce+xG/ceT3b0TDGa+t1nJ2
D/z0Hj9q12zrXngotWdxM3YJRcp5mOicDAssNgcj7ueHarI61kXRZD6O1FJ8pYJeAzdOBsPc0p8A
ohzG6sHSQpc0Yim/DNjVz55N/zyHcsFzjrDbfBeJMsSL6yK6MyZQTwcs+UkJVj8OKmiF4sqcfGHK
vCWLEB+rwh2TTQ1SdNGEUd3gLMn4EZWYF/T5W8M770FwKzlGWtht+UOjbZSG3REXiLfvG2u+aL2R
rKMbCo2qVv6oNOs9qRvjIpyxI9fWFGrV/AVNS9w1oS71Sj7RvXpmll2IbcH3p8u3WDeaTaOjc7Pm
+bnS20dqmRgvsNqCPqVlPeEuu0uI4+x1eOf7RuCV12yDzBzKn+4QafFNno3RjhtByN2nFa/oSrjm
s8Xa8fv+LeXq/dAY3UTVdV49RY7gCRK39WlKucq2bSjzK/aHCFl+OZKh16MDPkqFI6QAj7cI8N7z
k1v4ND5Mdwniknd0UBo1FbXIOfZY7kuESOnEZ6h8g6wkiymGQ9zMZHFHRYbc5YaqjoKWs62Or8Bn
UZZcNJQISEjKat8P8+Bb2DfeyA3GPpJfYEgn+9x34mva1Bngn7FcRooGqE3BcXRnuQ33lq6CzizI
dyhz7n4IauaCgbzAY0rAkf5lKiqriDWI5VaYf1stfOQA3d3YOp0sk8ckRXWEYscoNQXqCI8ImmUw
1dLaWDtOwxkrS7yV5fS1JUfyGQ0ufQCTm70XrsMCYSFFx2Pvc+zm31t45aOp8brX2an4jeR/wTd6
GyWZFo1Jzy42peZnTISxM/pEXMifpt+8FEt1n8favpdw5FYX5vdpnwPF43/Z1X3aHAcOJMHQ0H5i
WlW3c2ZOXhoX8j3VKOM5KSpcMPnMBKgX7Pp1tfTbuSaaYjpd+a2XU7Llc39KBvDcQcX2Afal2Sby
ulhTfSitgtVX7Rm7SshvjV7fD4PL0YHpDOmXZc8jmniUqX0SCZXBccw1LMkWThg5W4RMrzDutveO
3u29rtkvjOu4I2aTr8flg6v12QlRToQwk3FYw+R3Yycltnxa4Lolj3ahlV/NQtMevA7jRG4P1J6q
lDWdWdzj9rxTuBV3mKrY4VUaMcVc3XvjsOoAs5zVIgaJfqE3zyIssJE4M/flaOLs0hzzVutng7SG
5jz1lpEcljSs8IeK7yC3WsB1GfsyQnsWtOw9xhBB3KY0h/uJQfe3pFBN4Gj8+AHSH+x5LO9tjeCv
15MZH+UgEOPXw3HGenagB4+bb7K4p6JX93kiP1uh8/xxQfjnLvUf7lKmBVv67+5Sz/2X+FeI5+cH
/C/EA48jdRfjN1cgIoq/3KMEKwpWEHzDYXlc3YKb+2NFYcD+CZKDKw/4xyVqvVtB/KxECzcoDkp/
ZzfxAef8CZQjjmiyTV6va4y0/wrsQrlxwFSuuqJa0ohFu1Ot1K6wJ++FVIN5pC8zW7ZjFNVnSO3u
XSiV7OeElk7VlO2h5UV/NupqvksHCiyKRMwPsVLyjo1AhwStyuckpBjYnHRKEA9FYVvh9EA5zlw2
28EbXc96jsMZX/yBkRhdQ9E0Uh6JCV5DXmuNxami3bvztgZPfPeHWZNkHg4T+M08HkkPC6SIIQ+h
9ETZazM+ks3TrUetrBCW11ZsWEGUIps787UEfXOzkBkcfy1dxvVqaSrWtrSIwV9PWYBVbAlsJDdh
UcT7xjEWczuVdvhUFkb8tPSVeeA/qoJ5H7SvBIwSeD+r5RSBXf9+ruRNP3MswsAQ7eAKhy+e4FHR
dnRL0n3ILtKG/6eWCGCPEeq8OEZ5SiPGO4w7l4wTaDBN+tic0c4XJdJ3nHM3cZSN2pF55wR3Acin
HjUiT4sOw52l6xOrJvSwJ9eBY24M9apvDkKPQrH6pbKRbf8DT8akvdZsakh4bnCwGMV4/OeJ8H8K
L6OTIzH8r6crL9+RVpb9nx4Kv3/MH7Fl8ZvlAPyuKWTDBuxjwPFzb+mYzF0sh/yxJWD7PjRzfzwU
ViCYb5RrOOvQ5YMV/vlssAxy0B7BKoshi2CX6PydZwOPpF/HKzyQJLI6h8+Qv4SU/PrPf+H6XDEO
Cz3i8uAiMALXiGkEIYO5+X/cnUlz20gShf+Ko+9UYF8O3RFjUiKp1VbLlu0LA5ZoAAQIgNiBXz9f
cVETlKweGzowBidblAqFYiEr8+XLl3tr8kJVsABp9gwQ7eARpZQNLJ9KdlYVfPD9u8wQIlDU2EXD
Y4F693u4PFSm1LP4W5SX9YelYarTsKXybxS3efL19XuL7+vZzQmiLAkYCb0E4+ARPSMMayTg7Imr
2XFwZqZZNSprmfvqUnC7wP12XGyTDT3XV0d0gvPn9QDlslMjNVR0lmVC2WLhj/PSovfKarA6L0SJ
WGYtosEQ7X+8qSaFLOq67VWRmWiZGWE1+o2HIOsNDGZzKCiHEgFSCpdlmbf2ZIUg62mt0ax8OaAJ
lG9WzaeVKoESyIGpng6WtNFBKyf5WtmFhWYLwApqbnb9AXmX+kOc0dNYKlt/bNteCxKC8lhtlwGE
6Uq+W/pFDgelzaEjUpO5qQ7u1KLv154/48ezCSy49mB49NCkKqC7CTJNLYrGROiG8tAKkjiiTnWJ
boWgm7y+WoJpf7jdOIRVVPARL7UPMUMdfxsrzp1KMrMTqH98eYa1Ok9zdfVR0kkKvn6/g5dovb3p
0WABeKL6CA2x+2SKnEURQSP3c/30IxYFTefCtS9fv8sL66eJ2nocAgrZOM27d7FpNE48inR9iio4
AqaLH4lq+5Mgs+5ev9FagP9g/XQFxQGTFw8v5tAoLChksiv24ERp5XDamplClo0909CWbtQsVUQ/
ZM+AcxznwW1T6tZlAvd7pC1gQHpF1F4sdR0x4MYQco8lvVgSWQTdJWjMxA0TlCBDtMV99uan0gWr
HKooAuHVLipgRc3lJuSflVPZwo/OFCO7r4zWn7z+kOq6LWvnKS0Jx4vlVEx40rYupAz2TN9MgQUO
k7WeVIRiyH5T1mW6BNkDisaQhcyIHdT4Rx2mA9j0xO1s3sUkXIpMlpzkZ0GSkj8LfNrj5BECOkYk
3ct0drnW7UaDkr5cUmponKZypfwt20uhVViF8jAFo7ujJBMpRbRMgJS9ms4ykTKKXL8Zg/rKi9L9
hjmjO1Gu6zDzFZ1gLsYDM2wP72SGLic6PxNwpIaA11+e4gHJ40yNrTsi6sV0MVgQMtOeGzzTnT14
HDzDZRa4Uy1py5sklCs64KCje7m0ViEuBVFrUqIdb2hJMTQKIw6HdBFCfRAQ+jOEVspe4XtHy2Zw
owOpPjZgtiS0vPwUXoY61mcaHQMWBgFxGyTGaGC2Gsi8Kt0lRba8h48R/KA/fUxqT7KbZigqaaFk
xMJxjLz6i2lFyJAulXQiREani2ZRX9LQ0rihzw7cOMuPqH5b+tVNgd75d3JIuiOtMsQF7cXQmwXz
QTCwrgb0tiYq893TgZme44Eya5IGAJH2tC4H0TXdqxFbrKMqRz+f2j2Ej5CEWNB5bkaldojoFpod
KPPGYEryUv2qewaFubUnCRXI5aVGmcqnQRjktPqBoXotFwOQn4YqD7Sc0VVCw0gdK7FtTYtWU50U
CPIDLMAsmua4osOVmal3gXZG1oAdUdJAqFipqhOv0vgs8JTBSE1qsoTotqafImgsw5jyVL4atOaz
OnYnVVOceZ76UZlBA8S2ldM8jBu0UFGJQt9MeaTt7nKUGnLysUnDK39GmTrczQBIPSxGxQyioLdE
Hi2VpPNEgcQpuZr2fmHX7t9ULF3RU+qbVzfSxMtz6XaGpjFF4sY9OWdHoTneqEI5DB0uw/6M+KIF
pzaVL826qEgpBPb7GG39IWLIZPRFW8q8lNAPQ1sVE1XQb2G5juvj+mJAymUcgOMOm4E1+zpIvIbJ
1LMzMo7a0AvUmIIEaUXancOI1rVtDpsA1cFotKh8n4ZhhjJOs2xwobdxTEUNTJgU5T4HOqz0sfAz
k+aIjW4BdCqL5IYqDr4hCtRXF00ja1MvqsOJrPoSUgW8LgZ9mkBD7ZUC34JCEvoLeRRnvG9zJKSR
J4we0lJzv9CaqXg0zKz5opZpdU5D13IalDSSKqGRXIJUJONVHqDdN5PKaYGmFv2fAnDAsGlcFdqB
mcnTyLdpuzGSVyiFLSV3KdSv609aSZG9KinelBqE5JRWfhQyNAXNANXCH8vGKrr0axI6kQRBGZoU
iaeogANAVLY6txN0lYy4aNCwszIyuFJwNluUzQ/UDav4WmrccDRLcAqQDpHohIV+ZgLINPJdTg65
ndHMQSqSU6mslFOeOD03jZzYJKXUCV3M5qLNpey+tSvtRuFFvUZGclWMKDwyiNoAeug/Cq3ADqWW
9qeL9MEza/fMiH3zs+fn0WWkm/LdQMK/COPEuwmCCu+kxOWjchZ6u2svmB19z1bvC0RxEIM0glsE
5ldfFgs1GCEAWI38AX7hQEewNQxkdVppK3jFAKmf4zwLpytI64/tAPHjcKFhe1IecpXgfhlhPDtv
bdqkNo2aXKteOzs3s5STC9QbDrGKsNoiRubeTkuenFzajSB2UcChKqervFVONbh7N62ZzKjV01r+
RrHD7N410CUvUpWZBIUtjcsy55EGqPy+z0l7QPQNFnRvtpF+lTEMwzbK/HGSK+1EWhjhEKH92Tm+
ik7zVcOG/xem56XBfpXRRv6BD1x+9ssUux4rFLKgU0AyRdeoKpOWqzE5Jf0iT+PBbcMNvNGA/P77
dmaumHbj6d8qEveipsbLbyUz4V+BS60P0O4opafHF8nS4RRANDFpgDfOFgpsdvxF9UKvJaBkjIKM
qOc1CJ12lghxjmWgGGgHLzyacc680zgq7tA+JxWV51S9BBWMe1/6kM4im36VnoucalI23pjlN4MH
qpdW3iUB8apkN6N+k9cR6DfcZmmUokA4o//nEoiWagbkNEkXat51XSn1sv0/C1i3WJxQijldB6If
i3na3M6zIsyfyk7Fp+sOaXfx7/3SjtD68kAd/u4DpNFczMD142g/nKV2es+zehppPd/XRggdlHOK
x/mff9D0SscZF/xYgWqBa/3xLoSZuv0YkWeCXapnIdJRisC1ueHeEv1sEV5/vs1qvv47nSdwHtH2
GvkQ7vyHvLsGinrYLWw9p+ercDDGP6uAkJcGMYJGDdLmKQmC91eBImY+oUgARGC3SuAOR7QKsJsP
0dFfXQTVQs0MQ0e99eYhQUP2FwE84wREQ2yG9aY7oqcnHjrk2fzy0/MVG3TnVYTG3P5jW8aJpUkq
LHSYLuvr6J7e1ohHOzjYLz+9diJiY8WiOn59HSyCjDweq6PbguYvLvbGcb0AyDOKWLjfKqBVQAc8
VGLYUNun7GwFQEFNYHEAVuvr6F4EnTis7yKYJ8g8GWBB6JqJ69AMyDYsMgJzWQOdFNfRbQUqRw6B
4V99IRTrRBf4K6oV2+vAKignmsV5QHnKZpWObiuATT/T9vjVVeBclAEoMPlbs8B33XkhRMtMVFgF
kre5jm4vaJbVdy/gI/Ey2AKwfPquO6tgnGA4TRsDuvl8Y42P6HxUJDZrX7uAe0A2Cwpqdw+YBr4R
oOOTh3h0bwL5VZK0PY8GHS8AB4AM8uY7ZlMd7AGyNDQigYu7vo7ugKTETuvrJJHf4gEJFeyX/WQT
L4Esu0ou4dgMAflpoUfdyz/QtBMLmQUy2dtT4TBM0E9MVaLxsDAX4trc8JgMAX12eptDC/lSumfR
hevFV8HmaCRpCbFyuwrHZw5xXfqugmacIAEg5JS3BuHATbI1oWAFWLPNUR/TJhAFBX1fBTwD8sUi
Z/7iJjC1E0AySuG2e+AIcQNUwDZGepMlfQU9+TluoFCnTDs5ER2uLwzs/qlg6ifkUhHo3YVVx2cQ
YDb0PhWkE4vKwt2L8CxiQB2OrChF2HvoynEFj6g7y333ggo6ooIR6ZwA6+sghDbxlZFEpzfsJoIW
lfDHtQq48UhR9zwiTZA0kbhF0++lVSBMP4HiSmyyPT02Nzwm66jxuvZdBRW7QKk9oNxmFQ585s0q
bBlCx7YLOBz74qkqzy8REOB0vWgXLWExQFGAlTbrc3zvgir3B9Wgl6FrqfGYm1VgW+2fDmDrKicH
dnGLLOJOHptFIPLv+S5Qi4jPSddJY2sRDpxm0zoRRwfcqe3nxxc/0vWl7yoQOpBDwV0ytqfDgUWw
bEIHwfizfx1P+h+M51Paauj54eM6YeXPs5fyWj/7hV2q5vnn2zTNunEC+ajOLwpS9+be8ydK518d
d2qdRNn7cJdUWd9n++fbB3x+6869dk+1++HEn6cOCe5m/UGznea1syTt9Z/Q+e506255R9l5/8zk
zz8689x7C/5l4CxwduOINYHvjDntPS7FeHG3SwWdEYis+g8cOFHmZLuR1lOGCr/7/4u0/Kco+rWl
GDqh/yNOD4SDNwh131nTCyZOncd4N0sx600KrP/IUTR/yH2EKDqD0xpo9//fX5LRPHQqJ53vRhLT
pknXGyz2LjP6Lv7xjsUplt+7es22LJKkfRcHUkjqP3a39wZs7zvyeB4jMt0dmcgJs9t35Akr7vu7
cdbbWyWLtfvB73+Z00dq93fDrMfVTPkNTMg0DH20V7pv5AbM77sW0+jRP+h1A34vAPLeI8dV98uD
T04A1HfYi+e2yQBXeoOBmVnxEDS7kdbfnwhLdj/4/X1xGUNoe7bMNpmi/mNfOX7UsR6i1uAN5nzl
0GLSiR53MxTLsU0a9P0Kr5wscx68IpvneWdPbwHp3uP7D57vOl1ezAbs7T80Z0F2KH23AQ/7j51R
OJzRzKBjmxCok97gdbxi6LhID4cWqGfvif+8X9aTi/d7vtP1/HvqHHhPUBLQ/u896et56XTPLUhD
osNe39W4nlfvJs4yyTy/e6wzvv0GBlCMfz5Ps3nHUiEGIxDct5j81bz2HzrHGIOL9PlbDP41ToPd
SGuTssFcew+9VqUcOmnMSdk5drZA3tvc4Oeylz03+g39pTvLQmOcNzDir6kJ9Z1xOkccpDvnNUzW
d6U/zKNIdPdyDsIE5NMFLt13+Fsvfpy/m2bPzjbB9eo//N9xgTzqSxsR+EigaH3nv7nB840ohn+D
eOSO1Z9n2bzjUmzT5X2nfjevu1GluoHU+o77szrvnjv8lWLRviO/1D4HIOgN9t+9w7kTuXR12W01
YWW3OH7fhb7/t94/Pdfl3s8e6JDrd+e+wdp6z/3nrYBfnfVLSNMTz/c5/rRjMb/0Z11wTfzGQzh3
0r/+CwAA//8=</cx:binary>
              </cx:geoCache>
            </cx:geography>
          </cx:layoutPr>
          <cx:valueColors>
            <cx:minColor>
              <a:srgbClr val="DBEAFE"/>
            </cx:minColor>
            <cx:midColor>
              <a:srgbClr val="60A5FA"/>
            </cx:midColor>
            <cx:maxColor>
              <a:srgbClr val="1D4ED8"/>
            </cx:maxColor>
          </cx:valueColors>
          <cx:valueColorPositions count="3"/>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png"/><Relationship Id="rId9" Type="http://schemas.microsoft.com/office/2014/relationships/chartEx" Target="../charts/chartEx1.xml"/><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xdr:col>
      <xdr:colOff>720725</xdr:colOff>
      <xdr:row>0</xdr:row>
      <xdr:rowOff>0</xdr:rowOff>
    </xdr:from>
    <xdr:to>
      <xdr:col>9</xdr:col>
      <xdr:colOff>439304</xdr:colOff>
      <xdr:row>2</xdr:row>
      <xdr:rowOff>76200</xdr:rowOff>
    </xdr:to>
    <xdr:sp macro="" textlink="">
      <xdr:nvSpPr>
        <xdr:cNvPr id="4" name="Rectangle 3">
          <a:extLst>
            <a:ext uri="{FF2B5EF4-FFF2-40B4-BE49-F238E27FC236}">
              <a16:creationId xmlns:a16="http://schemas.microsoft.com/office/drawing/2014/main" id="{3BB87242-2FCD-8964-844F-85F407DB22E2}"/>
            </a:ext>
          </a:extLst>
        </xdr:cNvPr>
        <xdr:cNvSpPr/>
      </xdr:nvSpPr>
      <xdr:spPr>
        <a:xfrm>
          <a:off x="1332634" y="0"/>
          <a:ext cx="4763943" cy="44565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tx1"/>
              </a:solidFill>
            </a:rPr>
            <a:t>E-COMMERCE</a:t>
          </a:r>
          <a:r>
            <a:rPr lang="en-IN" sz="2400" b="1" baseline="0"/>
            <a:t> </a:t>
          </a:r>
          <a:r>
            <a:rPr lang="en-IN" sz="2400" b="1" baseline="0">
              <a:solidFill>
                <a:srgbClr val="2563EB"/>
              </a:solidFill>
            </a:rPr>
            <a:t>DASHBOARD</a:t>
          </a:r>
          <a:endParaRPr lang="en-IN" sz="2400" b="1">
            <a:solidFill>
              <a:srgbClr val="2563EB"/>
            </a:solidFill>
          </a:endParaRPr>
        </a:p>
      </xdr:txBody>
    </xdr:sp>
    <xdr:clientData/>
  </xdr:twoCellAnchor>
  <xdr:twoCellAnchor>
    <xdr:from>
      <xdr:col>2</xdr:col>
      <xdr:colOff>4330</xdr:colOff>
      <xdr:row>2</xdr:row>
      <xdr:rowOff>59170</xdr:rowOff>
    </xdr:from>
    <xdr:to>
      <xdr:col>7</xdr:col>
      <xdr:colOff>427759</xdr:colOff>
      <xdr:row>3</xdr:row>
      <xdr:rowOff>78220</xdr:rowOff>
    </xdr:to>
    <xdr:sp macro="" textlink="">
      <xdr:nvSpPr>
        <xdr:cNvPr id="5" name="Rectangle 4">
          <a:extLst>
            <a:ext uri="{FF2B5EF4-FFF2-40B4-BE49-F238E27FC236}">
              <a16:creationId xmlns:a16="http://schemas.microsoft.com/office/drawing/2014/main" id="{33016210-F274-88D0-A2DE-BB146E33BDD1}"/>
            </a:ext>
          </a:extLst>
        </xdr:cNvPr>
        <xdr:cNvSpPr/>
      </xdr:nvSpPr>
      <xdr:spPr>
        <a:xfrm>
          <a:off x="1378239" y="428625"/>
          <a:ext cx="3482975" cy="2037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rgbClr val="64748B"/>
              </a:solidFill>
            </a:rPr>
            <a:t>SALES</a:t>
          </a:r>
          <a:r>
            <a:rPr lang="en-IN" sz="1000" baseline="0">
              <a:solidFill>
                <a:srgbClr val="64748B"/>
              </a:solidFill>
            </a:rPr>
            <a:t> | CUSTOMER | PRODUCTS | PERFORMANCE</a:t>
          </a:r>
          <a:endParaRPr lang="en-IN" sz="1000">
            <a:solidFill>
              <a:srgbClr val="64748B"/>
            </a:solidFill>
          </a:endParaRPr>
        </a:p>
      </xdr:txBody>
    </xdr:sp>
    <xdr:clientData/>
  </xdr:twoCellAnchor>
  <xdr:twoCellAnchor>
    <xdr:from>
      <xdr:col>2</xdr:col>
      <xdr:colOff>114300</xdr:colOff>
      <xdr:row>4</xdr:row>
      <xdr:rowOff>9525</xdr:rowOff>
    </xdr:from>
    <xdr:to>
      <xdr:col>5</xdr:col>
      <xdr:colOff>0</xdr:colOff>
      <xdr:row>9</xdr:row>
      <xdr:rowOff>19050</xdr:rowOff>
    </xdr:to>
    <xdr:sp macro="" textlink="">
      <xdr:nvSpPr>
        <xdr:cNvPr id="6" name="Rectangle: Rounded Corners 5">
          <a:extLst>
            <a:ext uri="{FF2B5EF4-FFF2-40B4-BE49-F238E27FC236}">
              <a16:creationId xmlns:a16="http://schemas.microsoft.com/office/drawing/2014/main" id="{80F02863-1381-B01E-7FEE-9AF8BC3CDFC1}"/>
            </a:ext>
          </a:extLst>
        </xdr:cNvPr>
        <xdr:cNvSpPr/>
      </xdr:nvSpPr>
      <xdr:spPr>
        <a:xfrm>
          <a:off x="1466850" y="771525"/>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190500</xdr:colOff>
      <xdr:row>4</xdr:row>
      <xdr:rowOff>0</xdr:rowOff>
    </xdr:from>
    <xdr:to>
      <xdr:col>8</xdr:col>
      <xdr:colOff>76200</xdr:colOff>
      <xdr:row>9</xdr:row>
      <xdr:rowOff>9525</xdr:rowOff>
    </xdr:to>
    <xdr:sp macro="" textlink="">
      <xdr:nvSpPr>
        <xdr:cNvPr id="7" name="Rectangle: Rounded Corners 6">
          <a:extLst>
            <a:ext uri="{FF2B5EF4-FFF2-40B4-BE49-F238E27FC236}">
              <a16:creationId xmlns:a16="http://schemas.microsoft.com/office/drawing/2014/main" id="{5D6134B5-BA1F-4DD6-B27B-49600E25793C}"/>
            </a:ext>
          </a:extLst>
        </xdr:cNvPr>
        <xdr:cNvSpPr/>
      </xdr:nvSpPr>
      <xdr:spPr>
        <a:xfrm>
          <a:off x="3371850" y="762000"/>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266700</xdr:colOff>
      <xdr:row>4</xdr:row>
      <xdr:rowOff>9525</xdr:rowOff>
    </xdr:from>
    <xdr:to>
      <xdr:col>11</xdr:col>
      <xdr:colOff>152400</xdr:colOff>
      <xdr:row>9</xdr:row>
      <xdr:rowOff>19050</xdr:rowOff>
    </xdr:to>
    <xdr:sp macro="" textlink="">
      <xdr:nvSpPr>
        <xdr:cNvPr id="8" name="Rectangle: Rounded Corners 7">
          <a:extLst>
            <a:ext uri="{FF2B5EF4-FFF2-40B4-BE49-F238E27FC236}">
              <a16:creationId xmlns:a16="http://schemas.microsoft.com/office/drawing/2014/main" id="{0FD21EB8-098F-464B-B4FE-BFDE8924871B}"/>
            </a:ext>
          </a:extLst>
        </xdr:cNvPr>
        <xdr:cNvSpPr/>
      </xdr:nvSpPr>
      <xdr:spPr>
        <a:xfrm>
          <a:off x="5143500" y="771525"/>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11</xdr:col>
      <xdr:colOff>361950</xdr:colOff>
      <xdr:row>4</xdr:row>
      <xdr:rowOff>19050</xdr:rowOff>
    </xdr:from>
    <xdr:to>
      <xdr:col>14</xdr:col>
      <xdr:colOff>247650</xdr:colOff>
      <xdr:row>9</xdr:row>
      <xdr:rowOff>28575</xdr:rowOff>
    </xdr:to>
    <xdr:sp macro="" textlink="">
      <xdr:nvSpPr>
        <xdr:cNvPr id="9" name="Rectangle: Rounded Corners 8">
          <a:extLst>
            <a:ext uri="{FF2B5EF4-FFF2-40B4-BE49-F238E27FC236}">
              <a16:creationId xmlns:a16="http://schemas.microsoft.com/office/drawing/2014/main" id="{5ECF8DD8-05A8-4D3E-B66C-BF5CF87E6C3B}"/>
            </a:ext>
          </a:extLst>
        </xdr:cNvPr>
        <xdr:cNvSpPr/>
      </xdr:nvSpPr>
      <xdr:spPr>
        <a:xfrm>
          <a:off x="7067550" y="781050"/>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409575</xdr:colOff>
      <xdr:row>4</xdr:row>
      <xdr:rowOff>9525</xdr:rowOff>
    </xdr:from>
    <xdr:to>
      <xdr:col>17</xdr:col>
      <xdr:colOff>295275</xdr:colOff>
      <xdr:row>9</xdr:row>
      <xdr:rowOff>19050</xdr:rowOff>
    </xdr:to>
    <xdr:sp macro="" textlink="">
      <xdr:nvSpPr>
        <xdr:cNvPr id="10" name="Rectangle: Rounded Corners 9">
          <a:extLst>
            <a:ext uri="{FF2B5EF4-FFF2-40B4-BE49-F238E27FC236}">
              <a16:creationId xmlns:a16="http://schemas.microsoft.com/office/drawing/2014/main" id="{CD7ED22D-8124-464A-ABFF-257A4DF449D1}"/>
            </a:ext>
          </a:extLst>
        </xdr:cNvPr>
        <xdr:cNvSpPr/>
      </xdr:nvSpPr>
      <xdr:spPr>
        <a:xfrm>
          <a:off x="8943975" y="771525"/>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17</xdr:col>
      <xdr:colOff>419100</xdr:colOff>
      <xdr:row>4</xdr:row>
      <xdr:rowOff>0</xdr:rowOff>
    </xdr:from>
    <xdr:to>
      <xdr:col>20</xdr:col>
      <xdr:colOff>304800</xdr:colOff>
      <xdr:row>9</xdr:row>
      <xdr:rowOff>9525</xdr:rowOff>
    </xdr:to>
    <xdr:sp macro="" textlink="">
      <xdr:nvSpPr>
        <xdr:cNvPr id="11" name="Rectangle: Rounded Corners 10">
          <a:extLst>
            <a:ext uri="{FF2B5EF4-FFF2-40B4-BE49-F238E27FC236}">
              <a16:creationId xmlns:a16="http://schemas.microsoft.com/office/drawing/2014/main" id="{6028C5FA-D774-460E-8C2E-03B8DB26625D}"/>
            </a:ext>
          </a:extLst>
        </xdr:cNvPr>
        <xdr:cNvSpPr/>
      </xdr:nvSpPr>
      <xdr:spPr>
        <a:xfrm>
          <a:off x="10782300" y="762000"/>
          <a:ext cx="1714500" cy="962025"/>
        </a:xfrm>
        <a:prstGeom prst="roundRect">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95251</xdr:colOff>
      <xdr:row>10</xdr:row>
      <xdr:rowOff>0</xdr:rowOff>
    </xdr:from>
    <xdr:to>
      <xdr:col>9</xdr:col>
      <xdr:colOff>285751</xdr:colOff>
      <xdr:row>22</xdr:row>
      <xdr:rowOff>142875</xdr:rowOff>
    </xdr:to>
    <xdr:sp macro="" textlink="">
      <xdr:nvSpPr>
        <xdr:cNvPr id="15" name="Rectangle: Rounded Corners 14">
          <a:extLst>
            <a:ext uri="{FF2B5EF4-FFF2-40B4-BE49-F238E27FC236}">
              <a16:creationId xmlns:a16="http://schemas.microsoft.com/office/drawing/2014/main" id="{38B9C575-1EB9-F36D-D235-C800F3C13343}"/>
            </a:ext>
          </a:extLst>
        </xdr:cNvPr>
        <xdr:cNvSpPr/>
      </xdr:nvSpPr>
      <xdr:spPr>
        <a:xfrm>
          <a:off x="1314451" y="1905000"/>
          <a:ext cx="4457700" cy="2428875"/>
        </a:xfrm>
        <a:prstGeom prst="roundRect">
          <a:avLst>
            <a:gd name="adj" fmla="val 7255"/>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400051</xdr:colOff>
      <xdr:row>9</xdr:row>
      <xdr:rowOff>171450</xdr:rowOff>
    </xdr:from>
    <xdr:to>
      <xdr:col>15</xdr:col>
      <xdr:colOff>381000</xdr:colOff>
      <xdr:row>22</xdr:row>
      <xdr:rowOff>123825</xdr:rowOff>
    </xdr:to>
    <xdr:sp macro="" textlink="">
      <xdr:nvSpPr>
        <xdr:cNvPr id="16" name="Rectangle: Rounded Corners 15">
          <a:extLst>
            <a:ext uri="{FF2B5EF4-FFF2-40B4-BE49-F238E27FC236}">
              <a16:creationId xmlns:a16="http://schemas.microsoft.com/office/drawing/2014/main" id="{5F9E7AB4-9ED1-418A-AE66-53D194279AAE}"/>
            </a:ext>
          </a:extLst>
        </xdr:cNvPr>
        <xdr:cNvSpPr/>
      </xdr:nvSpPr>
      <xdr:spPr>
        <a:xfrm>
          <a:off x="6019801" y="1885950"/>
          <a:ext cx="3638549" cy="2428875"/>
        </a:xfrm>
        <a:prstGeom prst="roundRect">
          <a:avLst>
            <a:gd name="adj" fmla="val 7255"/>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495301</xdr:colOff>
      <xdr:row>9</xdr:row>
      <xdr:rowOff>180975</xdr:rowOff>
    </xdr:from>
    <xdr:to>
      <xdr:col>20</xdr:col>
      <xdr:colOff>361950</xdr:colOff>
      <xdr:row>22</xdr:row>
      <xdr:rowOff>133350</xdr:rowOff>
    </xdr:to>
    <xdr:sp macro="" textlink="">
      <xdr:nvSpPr>
        <xdr:cNvPr id="17" name="Rectangle: Rounded Corners 16">
          <a:extLst>
            <a:ext uri="{FF2B5EF4-FFF2-40B4-BE49-F238E27FC236}">
              <a16:creationId xmlns:a16="http://schemas.microsoft.com/office/drawing/2014/main" id="{C3D1518C-FDC4-4C2F-8E9A-CE7829268AAC}"/>
            </a:ext>
          </a:extLst>
        </xdr:cNvPr>
        <xdr:cNvSpPr/>
      </xdr:nvSpPr>
      <xdr:spPr>
        <a:xfrm>
          <a:off x="9772651" y="1895475"/>
          <a:ext cx="2914649" cy="2428875"/>
        </a:xfrm>
        <a:prstGeom prst="roundRect">
          <a:avLst>
            <a:gd name="adj" fmla="val 7255"/>
          </a:avLst>
        </a:prstGeom>
        <a:solidFill>
          <a:schemeClr val="bg1"/>
        </a:solidFill>
        <a:ln>
          <a:noFill/>
        </a:ln>
        <a:effectLst>
          <a:outerShdw blurRad="152400" dist="38100" dir="5400000" algn="t" rotWithShape="0">
            <a:srgbClr val="0F1F3D">
              <a:alpha val="14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28575</xdr:colOff>
      <xdr:row>4</xdr:row>
      <xdr:rowOff>66674</xdr:rowOff>
    </xdr:from>
    <xdr:to>
      <xdr:col>4</xdr:col>
      <xdr:colOff>333375</xdr:colOff>
      <xdr:row>5</xdr:row>
      <xdr:rowOff>76199</xdr:rowOff>
    </xdr:to>
    <xdr:sp macro="" textlink="">
      <xdr:nvSpPr>
        <xdr:cNvPr id="18" name="Rectangle 17">
          <a:extLst>
            <a:ext uri="{FF2B5EF4-FFF2-40B4-BE49-F238E27FC236}">
              <a16:creationId xmlns:a16="http://schemas.microsoft.com/office/drawing/2014/main" id="{47E1EE5D-0A27-EA03-B9B5-4F6B02AC88FE}"/>
            </a:ext>
          </a:extLst>
        </xdr:cNvPr>
        <xdr:cNvSpPr/>
      </xdr:nvSpPr>
      <xdr:spPr>
        <a:xfrm>
          <a:off x="1990725" y="828674"/>
          <a:ext cx="914400" cy="200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Total</a:t>
          </a:r>
          <a:r>
            <a:rPr lang="en-IN" sz="1100" b="1" baseline="0">
              <a:solidFill>
                <a:srgbClr val="475569"/>
              </a:solidFill>
            </a:rPr>
            <a:t> Orders</a:t>
          </a:r>
          <a:endParaRPr lang="en-IN" sz="1100" b="1">
            <a:solidFill>
              <a:srgbClr val="475569"/>
            </a:solidFill>
          </a:endParaRPr>
        </a:p>
      </xdr:txBody>
    </xdr:sp>
    <xdr:clientData/>
  </xdr:twoCellAnchor>
  <xdr:twoCellAnchor>
    <xdr:from>
      <xdr:col>6</xdr:col>
      <xdr:colOff>85725</xdr:colOff>
      <xdr:row>4</xdr:row>
      <xdr:rowOff>66675</xdr:rowOff>
    </xdr:from>
    <xdr:to>
      <xdr:col>7</xdr:col>
      <xdr:colOff>390525</xdr:colOff>
      <xdr:row>5</xdr:row>
      <xdr:rowOff>76200</xdr:rowOff>
    </xdr:to>
    <xdr:sp macro="" textlink="">
      <xdr:nvSpPr>
        <xdr:cNvPr id="24" name="Rectangle 23">
          <a:extLst>
            <a:ext uri="{FF2B5EF4-FFF2-40B4-BE49-F238E27FC236}">
              <a16:creationId xmlns:a16="http://schemas.microsoft.com/office/drawing/2014/main" id="{A0D4EC3F-DCF6-4FA6-9400-93CBBCE67E11}"/>
            </a:ext>
          </a:extLst>
        </xdr:cNvPr>
        <xdr:cNvSpPr/>
      </xdr:nvSpPr>
      <xdr:spPr>
        <a:xfrm>
          <a:off x="3876675" y="828675"/>
          <a:ext cx="914400" cy="200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Total</a:t>
          </a:r>
          <a:r>
            <a:rPr lang="en-IN" sz="1100" b="1" baseline="0">
              <a:solidFill>
                <a:srgbClr val="475569"/>
              </a:solidFill>
            </a:rPr>
            <a:t> Sales</a:t>
          </a:r>
          <a:endParaRPr lang="en-IN" sz="1100" b="1">
            <a:solidFill>
              <a:srgbClr val="475569"/>
            </a:solidFill>
          </a:endParaRPr>
        </a:p>
      </xdr:txBody>
    </xdr:sp>
    <xdr:clientData/>
  </xdr:twoCellAnchor>
  <xdr:twoCellAnchor>
    <xdr:from>
      <xdr:col>9</xdr:col>
      <xdr:colOff>190500</xdr:colOff>
      <xdr:row>4</xdr:row>
      <xdr:rowOff>95250</xdr:rowOff>
    </xdr:from>
    <xdr:to>
      <xdr:col>10</xdr:col>
      <xdr:colOff>495300</xdr:colOff>
      <xdr:row>5</xdr:row>
      <xdr:rowOff>104775</xdr:rowOff>
    </xdr:to>
    <xdr:sp macro="" textlink="">
      <xdr:nvSpPr>
        <xdr:cNvPr id="25" name="Rectangle 24">
          <a:extLst>
            <a:ext uri="{FF2B5EF4-FFF2-40B4-BE49-F238E27FC236}">
              <a16:creationId xmlns:a16="http://schemas.microsoft.com/office/drawing/2014/main" id="{A6FAEA1A-1604-43F0-B645-9149F60AA611}"/>
            </a:ext>
          </a:extLst>
        </xdr:cNvPr>
        <xdr:cNvSpPr/>
      </xdr:nvSpPr>
      <xdr:spPr>
        <a:xfrm>
          <a:off x="5810250" y="857250"/>
          <a:ext cx="914400" cy="200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Total</a:t>
          </a:r>
          <a:r>
            <a:rPr lang="en-IN" sz="1100" b="1" baseline="0">
              <a:solidFill>
                <a:srgbClr val="475569"/>
              </a:solidFill>
            </a:rPr>
            <a:t> Profit</a:t>
          </a:r>
          <a:endParaRPr lang="en-IN" sz="1100" b="1">
            <a:solidFill>
              <a:srgbClr val="475569"/>
            </a:solidFill>
          </a:endParaRPr>
        </a:p>
      </xdr:txBody>
    </xdr:sp>
    <xdr:clientData/>
  </xdr:twoCellAnchor>
  <xdr:twoCellAnchor>
    <xdr:from>
      <xdr:col>12</xdr:col>
      <xdr:colOff>304799</xdr:colOff>
      <xdr:row>4</xdr:row>
      <xdr:rowOff>76200</xdr:rowOff>
    </xdr:from>
    <xdr:to>
      <xdr:col>14</xdr:col>
      <xdr:colOff>361950</xdr:colOff>
      <xdr:row>5</xdr:row>
      <xdr:rowOff>133350</xdr:rowOff>
    </xdr:to>
    <xdr:sp macro="" textlink="">
      <xdr:nvSpPr>
        <xdr:cNvPr id="26" name="Rectangle 25">
          <a:extLst>
            <a:ext uri="{FF2B5EF4-FFF2-40B4-BE49-F238E27FC236}">
              <a16:creationId xmlns:a16="http://schemas.microsoft.com/office/drawing/2014/main" id="{B1B01347-A195-4F75-8BCE-1470FB5F96B6}"/>
            </a:ext>
          </a:extLst>
        </xdr:cNvPr>
        <xdr:cNvSpPr/>
      </xdr:nvSpPr>
      <xdr:spPr>
        <a:xfrm>
          <a:off x="7753349" y="838200"/>
          <a:ext cx="1276351" cy="247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Total</a:t>
          </a:r>
          <a:r>
            <a:rPr lang="en-IN" sz="1100" b="1" baseline="0">
              <a:solidFill>
                <a:srgbClr val="475569"/>
              </a:solidFill>
            </a:rPr>
            <a:t> Customers</a:t>
          </a:r>
          <a:endParaRPr lang="en-IN" sz="1100" b="1">
            <a:solidFill>
              <a:srgbClr val="475569"/>
            </a:solidFill>
          </a:endParaRPr>
        </a:p>
      </xdr:txBody>
    </xdr:sp>
    <xdr:clientData/>
  </xdr:twoCellAnchor>
  <xdr:twoCellAnchor>
    <xdr:from>
      <xdr:col>15</xdr:col>
      <xdr:colOff>314324</xdr:colOff>
      <xdr:row>4</xdr:row>
      <xdr:rowOff>76200</xdr:rowOff>
    </xdr:from>
    <xdr:to>
      <xdr:col>17</xdr:col>
      <xdr:colOff>457200</xdr:colOff>
      <xdr:row>5</xdr:row>
      <xdr:rowOff>133349</xdr:rowOff>
    </xdr:to>
    <xdr:sp macro="" textlink="">
      <xdr:nvSpPr>
        <xdr:cNvPr id="28" name="Rectangle 27">
          <a:extLst>
            <a:ext uri="{FF2B5EF4-FFF2-40B4-BE49-F238E27FC236}">
              <a16:creationId xmlns:a16="http://schemas.microsoft.com/office/drawing/2014/main" id="{0155E972-773F-4604-B504-C4B1BA83EC73}"/>
            </a:ext>
          </a:extLst>
        </xdr:cNvPr>
        <xdr:cNvSpPr/>
      </xdr:nvSpPr>
      <xdr:spPr>
        <a:xfrm>
          <a:off x="9591674" y="838200"/>
          <a:ext cx="1362076" cy="24764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Avg</a:t>
          </a:r>
          <a:r>
            <a:rPr lang="en-IN" sz="1100" b="1" baseline="0">
              <a:solidFill>
                <a:srgbClr val="475569"/>
              </a:solidFill>
            </a:rPr>
            <a:t> Order Value</a:t>
          </a:r>
          <a:endParaRPr lang="en-IN" sz="1100" b="1">
            <a:solidFill>
              <a:srgbClr val="475569"/>
            </a:solidFill>
          </a:endParaRPr>
        </a:p>
      </xdr:txBody>
    </xdr:sp>
    <xdr:clientData/>
  </xdr:twoCellAnchor>
  <xdr:twoCellAnchor>
    <xdr:from>
      <xdr:col>18</xdr:col>
      <xdr:colOff>342899</xdr:colOff>
      <xdr:row>4</xdr:row>
      <xdr:rowOff>85725</xdr:rowOff>
    </xdr:from>
    <xdr:to>
      <xdr:col>20</xdr:col>
      <xdr:colOff>38099</xdr:colOff>
      <xdr:row>5</xdr:row>
      <xdr:rowOff>161925</xdr:rowOff>
    </xdr:to>
    <xdr:sp macro="" textlink="">
      <xdr:nvSpPr>
        <xdr:cNvPr id="29" name="Rectangle 28">
          <a:extLst>
            <a:ext uri="{FF2B5EF4-FFF2-40B4-BE49-F238E27FC236}">
              <a16:creationId xmlns:a16="http://schemas.microsoft.com/office/drawing/2014/main" id="{B88FBA1D-344D-47F8-A0F3-4B3BB0E20C85}"/>
            </a:ext>
          </a:extLst>
        </xdr:cNvPr>
        <xdr:cNvSpPr/>
      </xdr:nvSpPr>
      <xdr:spPr>
        <a:xfrm>
          <a:off x="11449049" y="847725"/>
          <a:ext cx="914400" cy="2667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rgbClr val="475569"/>
              </a:solidFill>
            </a:rPr>
            <a:t>Avg</a:t>
          </a:r>
          <a:r>
            <a:rPr lang="en-IN" sz="1100" b="1" baseline="0">
              <a:solidFill>
                <a:srgbClr val="475569"/>
              </a:solidFill>
            </a:rPr>
            <a:t> Rating</a:t>
          </a:r>
          <a:endParaRPr lang="en-IN" sz="1100" b="1">
            <a:solidFill>
              <a:srgbClr val="475569"/>
            </a:solidFill>
          </a:endParaRPr>
        </a:p>
      </xdr:txBody>
    </xdr:sp>
    <xdr:clientData/>
  </xdr:twoCellAnchor>
  <xdr:twoCellAnchor editAs="oneCell">
    <xdr:from>
      <xdr:col>22</xdr:col>
      <xdr:colOff>0</xdr:colOff>
      <xdr:row>4</xdr:row>
      <xdr:rowOff>0</xdr:rowOff>
    </xdr:from>
    <xdr:to>
      <xdr:col>22</xdr:col>
      <xdr:colOff>304800</xdr:colOff>
      <xdr:row>5</xdr:row>
      <xdr:rowOff>114300</xdr:rowOff>
    </xdr:to>
    <xdr:sp macro="" textlink="">
      <xdr:nvSpPr>
        <xdr:cNvPr id="4097" name="AutoShape 1" descr="Generated image: Glossy Green Shopping Cart Icon">
          <a:extLst>
            <a:ext uri="{FF2B5EF4-FFF2-40B4-BE49-F238E27FC236}">
              <a16:creationId xmlns:a16="http://schemas.microsoft.com/office/drawing/2014/main" id="{5BF55581-9ABF-C7A1-F494-281C2E88D6CB}"/>
            </a:ext>
          </a:extLst>
        </xdr:cNvPr>
        <xdr:cNvSpPr>
          <a:spLocks noChangeAspect="1" noChangeArrowheads="1"/>
        </xdr:cNvSpPr>
      </xdr:nvSpPr>
      <xdr:spPr bwMode="auto">
        <a:xfrm>
          <a:off x="1354455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123825</xdr:colOff>
      <xdr:row>4</xdr:row>
      <xdr:rowOff>18377</xdr:rowOff>
    </xdr:from>
    <xdr:to>
      <xdr:col>3</xdr:col>
      <xdr:colOff>85725</xdr:colOff>
      <xdr:row>7</xdr:row>
      <xdr:rowOff>1904</xdr:rowOff>
    </xdr:to>
    <xdr:pic>
      <xdr:nvPicPr>
        <xdr:cNvPr id="33" name="Picture 32">
          <a:extLst>
            <a:ext uri="{FF2B5EF4-FFF2-40B4-BE49-F238E27FC236}">
              <a16:creationId xmlns:a16="http://schemas.microsoft.com/office/drawing/2014/main" id="{DF0F8073-6A00-6BC6-7C64-80E51C45C9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5" y="780377"/>
          <a:ext cx="571500" cy="553122"/>
        </a:xfrm>
        <a:prstGeom prst="rect">
          <a:avLst/>
        </a:prstGeom>
      </xdr:spPr>
    </xdr:pic>
    <xdr:clientData/>
  </xdr:twoCellAnchor>
  <xdr:twoCellAnchor editAs="oneCell">
    <xdr:from>
      <xdr:col>8</xdr:col>
      <xdr:colOff>276226</xdr:colOff>
      <xdr:row>4</xdr:row>
      <xdr:rowOff>28575</xdr:rowOff>
    </xdr:from>
    <xdr:to>
      <xdr:col>9</xdr:col>
      <xdr:colOff>227674</xdr:colOff>
      <xdr:row>6</xdr:row>
      <xdr:rowOff>171450</xdr:rowOff>
    </xdr:to>
    <xdr:pic>
      <xdr:nvPicPr>
        <xdr:cNvPr id="37" name="Picture 36">
          <a:extLst>
            <a:ext uri="{FF2B5EF4-FFF2-40B4-BE49-F238E27FC236}">
              <a16:creationId xmlns:a16="http://schemas.microsoft.com/office/drawing/2014/main" id="{4006306D-0407-B13B-8985-63701EE178A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86376" y="790575"/>
          <a:ext cx="561048" cy="523875"/>
        </a:xfrm>
        <a:prstGeom prst="rect">
          <a:avLst/>
        </a:prstGeom>
      </xdr:spPr>
    </xdr:pic>
    <xdr:clientData/>
  </xdr:twoCellAnchor>
  <xdr:twoCellAnchor editAs="oneCell">
    <xdr:from>
      <xdr:col>11</xdr:col>
      <xdr:colOff>371476</xdr:colOff>
      <xdr:row>4</xdr:row>
      <xdr:rowOff>5199</xdr:rowOff>
    </xdr:from>
    <xdr:to>
      <xdr:col>12</xdr:col>
      <xdr:colOff>347467</xdr:colOff>
      <xdr:row>7</xdr:row>
      <xdr:rowOff>0</xdr:rowOff>
    </xdr:to>
    <xdr:pic>
      <xdr:nvPicPr>
        <xdr:cNvPr id="51" name="Picture 50">
          <a:extLst>
            <a:ext uri="{FF2B5EF4-FFF2-40B4-BE49-F238E27FC236}">
              <a16:creationId xmlns:a16="http://schemas.microsoft.com/office/drawing/2014/main" id="{B25FDC1D-3347-9003-BE8E-53734A6405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10426" y="767199"/>
          <a:ext cx="585591" cy="566301"/>
        </a:xfrm>
        <a:prstGeom prst="rect">
          <a:avLst/>
        </a:prstGeom>
      </xdr:spPr>
    </xdr:pic>
    <xdr:clientData/>
  </xdr:twoCellAnchor>
  <xdr:twoCellAnchor editAs="oneCell">
    <xdr:from>
      <xdr:col>14</xdr:col>
      <xdr:colOff>409576</xdr:colOff>
      <xdr:row>4</xdr:row>
      <xdr:rowOff>19050</xdr:rowOff>
    </xdr:from>
    <xdr:to>
      <xdr:col>15</xdr:col>
      <xdr:colOff>352425</xdr:colOff>
      <xdr:row>6</xdr:row>
      <xdr:rowOff>169750</xdr:rowOff>
    </xdr:to>
    <xdr:pic>
      <xdr:nvPicPr>
        <xdr:cNvPr id="53" name="Picture 52">
          <a:extLst>
            <a:ext uri="{FF2B5EF4-FFF2-40B4-BE49-F238E27FC236}">
              <a16:creationId xmlns:a16="http://schemas.microsoft.com/office/drawing/2014/main" id="{B1617E3E-CC74-25B8-513E-F21ECEE53A4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77326" y="781050"/>
          <a:ext cx="552449" cy="531700"/>
        </a:xfrm>
        <a:prstGeom prst="rect">
          <a:avLst/>
        </a:prstGeom>
      </xdr:spPr>
    </xdr:pic>
    <xdr:clientData/>
  </xdr:twoCellAnchor>
  <xdr:twoCellAnchor editAs="oneCell">
    <xdr:from>
      <xdr:col>17</xdr:col>
      <xdr:colOff>428626</xdr:colOff>
      <xdr:row>4</xdr:row>
      <xdr:rowOff>28575</xdr:rowOff>
    </xdr:from>
    <xdr:to>
      <xdr:col>18</xdr:col>
      <xdr:colOff>369887</xdr:colOff>
      <xdr:row>6</xdr:row>
      <xdr:rowOff>171450</xdr:rowOff>
    </xdr:to>
    <xdr:pic>
      <xdr:nvPicPr>
        <xdr:cNvPr id="55" name="Picture 54">
          <a:extLst>
            <a:ext uri="{FF2B5EF4-FFF2-40B4-BE49-F238E27FC236}">
              <a16:creationId xmlns:a16="http://schemas.microsoft.com/office/drawing/2014/main" id="{B8E4E379-5AFD-DC33-762C-546858B3CA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925176" y="790575"/>
          <a:ext cx="550861" cy="523875"/>
        </a:xfrm>
        <a:prstGeom prst="rect">
          <a:avLst/>
        </a:prstGeom>
      </xdr:spPr>
    </xdr:pic>
    <xdr:clientData/>
  </xdr:twoCellAnchor>
  <xdr:twoCellAnchor>
    <xdr:from>
      <xdr:col>3</xdr:col>
      <xdr:colOff>28575</xdr:colOff>
      <xdr:row>5</xdr:row>
      <xdr:rowOff>47625</xdr:rowOff>
    </xdr:from>
    <xdr:to>
      <xdr:col>4</xdr:col>
      <xdr:colOff>333375</xdr:colOff>
      <xdr:row>6</xdr:row>
      <xdr:rowOff>57150</xdr:rowOff>
    </xdr:to>
    <xdr:sp macro="" textlink="Dashboard!$B$10">
      <xdr:nvSpPr>
        <xdr:cNvPr id="59" name="Rectangle 58">
          <a:extLst>
            <a:ext uri="{FF2B5EF4-FFF2-40B4-BE49-F238E27FC236}">
              <a16:creationId xmlns:a16="http://schemas.microsoft.com/office/drawing/2014/main" id="{F6F40A5A-0027-4B92-99AF-7EA29C509411}"/>
            </a:ext>
          </a:extLst>
        </xdr:cNvPr>
        <xdr:cNvSpPr/>
      </xdr:nvSpPr>
      <xdr:spPr>
        <a:xfrm>
          <a:off x="1990725" y="1000125"/>
          <a:ext cx="914400" cy="2000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1999DF5-075C-4E35-95C7-A0F96BB3A927}" type="TxLink">
            <a:rPr lang="en-US" sz="1100" b="0" i="0" u="none" strike="noStrike">
              <a:solidFill>
                <a:srgbClr val="000000"/>
              </a:solidFill>
              <a:latin typeface="Calibri"/>
              <a:cs typeface="Calibri"/>
            </a:rPr>
            <a:pPr algn="l"/>
            <a:t> </a:t>
          </a:fld>
          <a:endParaRPr lang="en-IN" sz="1100" b="1">
            <a:solidFill>
              <a:srgbClr val="475569"/>
            </a:solidFill>
          </a:endParaRPr>
        </a:p>
      </xdr:txBody>
    </xdr:sp>
    <xdr:clientData/>
  </xdr:twoCellAnchor>
  <xdr:twoCellAnchor editAs="oneCell">
    <xdr:from>
      <xdr:col>5</xdr:col>
      <xdr:colOff>188486</xdr:colOff>
      <xdr:row>4</xdr:row>
      <xdr:rowOff>22727</xdr:rowOff>
    </xdr:from>
    <xdr:to>
      <xdr:col>6</xdr:col>
      <xdr:colOff>133350</xdr:colOff>
      <xdr:row>6</xdr:row>
      <xdr:rowOff>177926</xdr:rowOff>
    </xdr:to>
    <xdr:pic>
      <xdr:nvPicPr>
        <xdr:cNvPr id="63" name="Picture 62">
          <a:extLst>
            <a:ext uri="{FF2B5EF4-FFF2-40B4-BE49-F238E27FC236}">
              <a16:creationId xmlns:a16="http://schemas.microsoft.com/office/drawing/2014/main" id="{C3B83DB0-B215-BC70-11D8-1170B510E8C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69836" y="784727"/>
          <a:ext cx="554464" cy="536199"/>
        </a:xfrm>
        <a:prstGeom prst="rect">
          <a:avLst/>
        </a:prstGeom>
      </xdr:spPr>
    </xdr:pic>
    <xdr:clientData/>
  </xdr:twoCellAnchor>
  <xdr:twoCellAnchor>
    <xdr:from>
      <xdr:col>3</xdr:col>
      <xdr:colOff>28575</xdr:colOff>
      <xdr:row>5</xdr:row>
      <xdr:rowOff>9525</xdr:rowOff>
    </xdr:from>
    <xdr:to>
      <xdr:col>4</xdr:col>
      <xdr:colOff>438150</xdr:colOff>
      <xdr:row>7</xdr:row>
      <xdr:rowOff>133350</xdr:rowOff>
    </xdr:to>
    <xdr:sp macro="" textlink="Pivot!B10">
      <xdr:nvSpPr>
        <xdr:cNvPr id="4098" name="Rectangle 4097">
          <a:extLst>
            <a:ext uri="{FF2B5EF4-FFF2-40B4-BE49-F238E27FC236}">
              <a16:creationId xmlns:a16="http://schemas.microsoft.com/office/drawing/2014/main" id="{E44ADE4F-CD62-499C-9085-5467B1A1EFB6}"/>
            </a:ext>
          </a:extLst>
        </xdr:cNvPr>
        <xdr:cNvSpPr/>
      </xdr:nvSpPr>
      <xdr:spPr>
        <a:xfrm>
          <a:off x="1990725" y="962025"/>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54BF697-DA0E-4AA0-B6B6-0EF4499CDCCE}" type="TxLink">
            <a:rPr lang="en-US" sz="2000" b="1" i="0" u="none" strike="noStrike">
              <a:solidFill>
                <a:srgbClr val="000000"/>
              </a:solidFill>
              <a:latin typeface="Calibri"/>
              <a:cs typeface="Calibri"/>
            </a:rPr>
            <a:pPr algn="l"/>
            <a:t>1018</a:t>
          </a:fld>
          <a:endParaRPr lang="en-IN" sz="2000" b="1">
            <a:solidFill>
              <a:schemeClr val="tx1"/>
            </a:solidFill>
          </a:endParaRPr>
        </a:p>
      </xdr:txBody>
    </xdr:sp>
    <xdr:clientData/>
  </xdr:twoCellAnchor>
  <xdr:twoCellAnchor>
    <xdr:from>
      <xdr:col>6</xdr:col>
      <xdr:colOff>47625</xdr:colOff>
      <xdr:row>5</xdr:row>
      <xdr:rowOff>9525</xdr:rowOff>
    </xdr:from>
    <xdr:to>
      <xdr:col>7</xdr:col>
      <xdr:colOff>457200</xdr:colOff>
      <xdr:row>7</xdr:row>
      <xdr:rowOff>133350</xdr:rowOff>
    </xdr:to>
    <xdr:sp macro="" textlink="Pivot!B11">
      <xdr:nvSpPr>
        <xdr:cNvPr id="4099" name="Rectangle 4098">
          <a:extLst>
            <a:ext uri="{FF2B5EF4-FFF2-40B4-BE49-F238E27FC236}">
              <a16:creationId xmlns:a16="http://schemas.microsoft.com/office/drawing/2014/main" id="{335F7BA7-A5B2-49E8-BE58-6DDDE6EBE7E7}"/>
            </a:ext>
          </a:extLst>
        </xdr:cNvPr>
        <xdr:cNvSpPr/>
      </xdr:nvSpPr>
      <xdr:spPr>
        <a:xfrm>
          <a:off x="3838575" y="962025"/>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E3AF4DC-05DD-4C84-AB17-E96E8416B200}" type="TxLink">
            <a:rPr lang="en-US" sz="2000" b="1" i="0" u="none" strike="noStrike">
              <a:solidFill>
                <a:srgbClr val="000000"/>
              </a:solidFill>
              <a:latin typeface="Calibri"/>
              <a:cs typeface="Calibri"/>
            </a:rPr>
            <a:pPr algn="l"/>
            <a:t>$1301K</a:t>
          </a:fld>
          <a:endParaRPr lang="en-IN" sz="2000" b="1">
            <a:solidFill>
              <a:schemeClr val="tx1"/>
            </a:solidFill>
          </a:endParaRPr>
        </a:p>
      </xdr:txBody>
    </xdr:sp>
    <xdr:clientData/>
  </xdr:twoCellAnchor>
  <xdr:twoCellAnchor>
    <xdr:from>
      <xdr:col>9</xdr:col>
      <xdr:colOff>152400</xdr:colOff>
      <xdr:row>5</xdr:row>
      <xdr:rowOff>28575</xdr:rowOff>
    </xdr:from>
    <xdr:to>
      <xdr:col>10</xdr:col>
      <xdr:colOff>561975</xdr:colOff>
      <xdr:row>7</xdr:row>
      <xdr:rowOff>152400</xdr:rowOff>
    </xdr:to>
    <xdr:sp macro="" textlink="Pivot!B12">
      <xdr:nvSpPr>
        <xdr:cNvPr id="4102" name="Rectangle 4101">
          <a:extLst>
            <a:ext uri="{FF2B5EF4-FFF2-40B4-BE49-F238E27FC236}">
              <a16:creationId xmlns:a16="http://schemas.microsoft.com/office/drawing/2014/main" id="{D1DACC96-CA67-4BD9-B19B-42D967F6D7F5}"/>
            </a:ext>
          </a:extLst>
        </xdr:cNvPr>
        <xdr:cNvSpPr/>
      </xdr:nvSpPr>
      <xdr:spPr>
        <a:xfrm>
          <a:off x="5772150" y="981075"/>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BD74A48-4D1D-4B47-9619-14295B1FC8CA}" type="TxLink">
            <a:rPr lang="en-US" sz="2000" b="1" i="0" u="none" strike="noStrike">
              <a:solidFill>
                <a:srgbClr val="000000"/>
              </a:solidFill>
              <a:latin typeface="Calibri"/>
              <a:cs typeface="Calibri"/>
            </a:rPr>
            <a:pPr algn="l"/>
            <a:t>$419K</a:t>
          </a:fld>
          <a:endParaRPr lang="en-IN" sz="2000" b="1">
            <a:solidFill>
              <a:schemeClr val="tx1"/>
            </a:solidFill>
          </a:endParaRPr>
        </a:p>
      </xdr:txBody>
    </xdr:sp>
    <xdr:clientData/>
  </xdr:twoCellAnchor>
  <xdr:twoCellAnchor>
    <xdr:from>
      <xdr:col>12</xdr:col>
      <xdr:colOff>276225</xdr:colOff>
      <xdr:row>4</xdr:row>
      <xdr:rowOff>180975</xdr:rowOff>
    </xdr:from>
    <xdr:to>
      <xdr:col>14</xdr:col>
      <xdr:colOff>76200</xdr:colOff>
      <xdr:row>7</xdr:row>
      <xdr:rowOff>114300</xdr:rowOff>
    </xdr:to>
    <xdr:sp macro="" textlink="Pivot!B13">
      <xdr:nvSpPr>
        <xdr:cNvPr id="4103" name="Rectangle 4102">
          <a:extLst>
            <a:ext uri="{FF2B5EF4-FFF2-40B4-BE49-F238E27FC236}">
              <a16:creationId xmlns:a16="http://schemas.microsoft.com/office/drawing/2014/main" id="{DE6712F2-2944-4ADA-9766-CD29EB6D7989}"/>
            </a:ext>
          </a:extLst>
        </xdr:cNvPr>
        <xdr:cNvSpPr/>
      </xdr:nvSpPr>
      <xdr:spPr>
        <a:xfrm>
          <a:off x="7724775" y="942975"/>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714E488-0CCA-47C8-87D5-C3A99BC9E4D4}" type="TxLink">
            <a:rPr lang="en-US" sz="2000" b="1" i="0" u="none" strike="noStrike">
              <a:solidFill>
                <a:srgbClr val="000000"/>
              </a:solidFill>
              <a:latin typeface="Calibri"/>
              <a:cs typeface="Calibri"/>
            </a:rPr>
            <a:pPr algn="l"/>
            <a:t>1018</a:t>
          </a:fld>
          <a:endParaRPr lang="en-IN" sz="2000" b="1">
            <a:solidFill>
              <a:schemeClr val="tx1"/>
            </a:solidFill>
          </a:endParaRPr>
        </a:p>
      </xdr:txBody>
    </xdr:sp>
    <xdr:clientData/>
  </xdr:twoCellAnchor>
  <xdr:twoCellAnchor>
    <xdr:from>
      <xdr:col>15</xdr:col>
      <xdr:colOff>295275</xdr:colOff>
      <xdr:row>5</xdr:row>
      <xdr:rowOff>0</xdr:rowOff>
    </xdr:from>
    <xdr:to>
      <xdr:col>17</xdr:col>
      <xdr:colOff>95250</xdr:colOff>
      <xdr:row>7</xdr:row>
      <xdr:rowOff>123825</xdr:rowOff>
    </xdr:to>
    <xdr:sp macro="" textlink="Pivot!B14">
      <xdr:nvSpPr>
        <xdr:cNvPr id="4104" name="Rectangle 4103">
          <a:extLst>
            <a:ext uri="{FF2B5EF4-FFF2-40B4-BE49-F238E27FC236}">
              <a16:creationId xmlns:a16="http://schemas.microsoft.com/office/drawing/2014/main" id="{0EB47BDB-A5E7-4231-BDE7-BFD1A83E7262}"/>
            </a:ext>
          </a:extLst>
        </xdr:cNvPr>
        <xdr:cNvSpPr/>
      </xdr:nvSpPr>
      <xdr:spPr>
        <a:xfrm>
          <a:off x="9572625" y="952500"/>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6123B89-1CEC-4EEE-BFE9-89DA1BCF5B06}" type="TxLink">
            <a:rPr lang="en-US" sz="2000" b="1" i="0" u="none" strike="noStrike">
              <a:solidFill>
                <a:srgbClr val="000000"/>
              </a:solidFill>
              <a:latin typeface="Calibri"/>
              <a:cs typeface="Calibri"/>
            </a:rPr>
            <a:pPr algn="l"/>
            <a:t>$1.28K</a:t>
          </a:fld>
          <a:endParaRPr lang="en-IN" sz="2000" b="1">
            <a:solidFill>
              <a:schemeClr val="tx1"/>
            </a:solidFill>
          </a:endParaRPr>
        </a:p>
      </xdr:txBody>
    </xdr:sp>
    <xdr:clientData/>
  </xdr:twoCellAnchor>
  <xdr:twoCellAnchor>
    <xdr:from>
      <xdr:col>18</xdr:col>
      <xdr:colOff>323850</xdr:colOff>
      <xdr:row>5</xdr:row>
      <xdr:rowOff>9525</xdr:rowOff>
    </xdr:from>
    <xdr:to>
      <xdr:col>20</xdr:col>
      <xdr:colOff>123825</xdr:colOff>
      <xdr:row>7</xdr:row>
      <xdr:rowOff>133350</xdr:rowOff>
    </xdr:to>
    <xdr:sp macro="" textlink="Pivot!B15">
      <xdr:nvSpPr>
        <xdr:cNvPr id="4106" name="Rectangle 4105">
          <a:extLst>
            <a:ext uri="{FF2B5EF4-FFF2-40B4-BE49-F238E27FC236}">
              <a16:creationId xmlns:a16="http://schemas.microsoft.com/office/drawing/2014/main" id="{850EF810-99AE-4F6C-AF4E-E143C4D67987}"/>
            </a:ext>
          </a:extLst>
        </xdr:cNvPr>
        <xdr:cNvSpPr/>
      </xdr:nvSpPr>
      <xdr:spPr>
        <a:xfrm>
          <a:off x="11430000" y="962025"/>
          <a:ext cx="10191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1E2E189-73C8-4731-9E0B-82D7AECD66A1}" type="TxLink">
            <a:rPr lang="en-US" sz="2000" b="1" i="0" u="none" strike="noStrike">
              <a:solidFill>
                <a:srgbClr val="000000"/>
              </a:solidFill>
              <a:latin typeface="Calibri"/>
              <a:cs typeface="Calibri"/>
            </a:rPr>
            <a:pPr algn="l"/>
            <a:t>3.06</a:t>
          </a:fld>
          <a:endParaRPr lang="en-IN" sz="2000" b="1">
            <a:solidFill>
              <a:schemeClr val="tx1"/>
            </a:solidFill>
          </a:endParaRPr>
        </a:p>
      </xdr:txBody>
    </xdr:sp>
    <xdr:clientData/>
  </xdr:twoCellAnchor>
  <xdr:twoCellAnchor>
    <xdr:from>
      <xdr:col>2</xdr:col>
      <xdr:colOff>95250</xdr:colOff>
      <xdr:row>10</xdr:row>
      <xdr:rowOff>9525</xdr:rowOff>
    </xdr:from>
    <xdr:to>
      <xdr:col>9</xdr:col>
      <xdr:colOff>285750</xdr:colOff>
      <xdr:row>22</xdr:row>
      <xdr:rowOff>114300</xdr:rowOff>
    </xdr:to>
    <xdr:graphicFrame macro="">
      <xdr:nvGraphicFramePr>
        <xdr:cNvPr id="4107" name="Chart 4106">
          <a:extLst>
            <a:ext uri="{FF2B5EF4-FFF2-40B4-BE49-F238E27FC236}">
              <a16:creationId xmlns:a16="http://schemas.microsoft.com/office/drawing/2014/main" id="{7BE416DE-7A20-4831-A327-023034F637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400050</xdr:colOff>
      <xdr:row>9</xdr:row>
      <xdr:rowOff>180975</xdr:rowOff>
    </xdr:from>
    <xdr:to>
      <xdr:col>15</xdr:col>
      <xdr:colOff>381000</xdr:colOff>
      <xdr:row>22</xdr:row>
      <xdr:rowOff>85725</xdr:rowOff>
    </xdr:to>
    <xdr:graphicFrame macro="">
      <xdr:nvGraphicFramePr>
        <xdr:cNvPr id="4108" name="Chart 4107">
          <a:extLst>
            <a:ext uri="{FF2B5EF4-FFF2-40B4-BE49-F238E27FC236}">
              <a16:creationId xmlns:a16="http://schemas.microsoft.com/office/drawing/2014/main" id="{C72C4D8A-3B62-4B48-9B62-FE120A26E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495301</xdr:colOff>
      <xdr:row>9</xdr:row>
      <xdr:rowOff>171451</xdr:rowOff>
    </xdr:from>
    <xdr:to>
      <xdr:col>20</xdr:col>
      <xdr:colOff>361951</xdr:colOff>
      <xdr:row>22</xdr:row>
      <xdr:rowOff>85725</xdr:rowOff>
    </xdr:to>
    <mc:AlternateContent xmlns:mc="http://schemas.openxmlformats.org/markup-compatibility/2006">
      <mc:Choice xmlns:cx4="http://schemas.microsoft.com/office/drawing/2016/5/10/chartex" Requires="cx4">
        <xdr:graphicFrame macro="">
          <xdr:nvGraphicFramePr>
            <xdr:cNvPr id="4109" name="Chart 4108">
              <a:extLst>
                <a:ext uri="{FF2B5EF4-FFF2-40B4-BE49-F238E27FC236}">
                  <a16:creationId xmlns:a16="http://schemas.microsoft.com/office/drawing/2014/main" id="{5894739B-4091-4940-864C-ED729E6361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9806941" y="1817371"/>
              <a:ext cx="2914650" cy="22917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142875</xdr:colOff>
      <xdr:row>23</xdr:row>
      <xdr:rowOff>66674</xdr:rowOff>
    </xdr:from>
    <xdr:to>
      <xdr:col>8</xdr:col>
      <xdr:colOff>161925</xdr:colOff>
      <xdr:row>37</xdr:row>
      <xdr:rowOff>123825</xdr:rowOff>
    </xdr:to>
    <xdr:sp macro="" textlink="">
      <xdr:nvSpPr>
        <xdr:cNvPr id="4111" name="Rectangle: Rounded Corners 4110">
          <a:extLst>
            <a:ext uri="{FF2B5EF4-FFF2-40B4-BE49-F238E27FC236}">
              <a16:creationId xmlns:a16="http://schemas.microsoft.com/office/drawing/2014/main" id="{C909781C-CDC7-ACE0-076D-43F9C9A536D0}"/>
            </a:ext>
          </a:extLst>
        </xdr:cNvPr>
        <xdr:cNvSpPr/>
      </xdr:nvSpPr>
      <xdr:spPr>
        <a:xfrm>
          <a:off x="1495425" y="4448174"/>
          <a:ext cx="3676650" cy="2733676"/>
        </a:xfrm>
        <a:prstGeom prst="roundRect">
          <a:avLst>
            <a:gd name="adj" fmla="val 4000"/>
          </a:avLst>
        </a:prstGeom>
        <a:noFill/>
        <a:ln w="15875">
          <a:solidFill>
            <a:srgbClr val="C7D2E4"/>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2</xdr:col>
      <xdr:colOff>219074</xdr:colOff>
      <xdr:row>23</xdr:row>
      <xdr:rowOff>85725</xdr:rowOff>
    </xdr:from>
    <xdr:to>
      <xdr:col>6</xdr:col>
      <xdr:colOff>228599</xdr:colOff>
      <xdr:row>24</xdr:row>
      <xdr:rowOff>171450</xdr:rowOff>
    </xdr:to>
    <xdr:sp macro="" textlink="">
      <xdr:nvSpPr>
        <xdr:cNvPr id="4112" name="Rectangle 4111">
          <a:extLst>
            <a:ext uri="{FF2B5EF4-FFF2-40B4-BE49-F238E27FC236}">
              <a16:creationId xmlns:a16="http://schemas.microsoft.com/office/drawing/2014/main" id="{2F550D78-BF69-2255-5868-47B96BEBE0F7}"/>
            </a:ext>
          </a:extLst>
        </xdr:cNvPr>
        <xdr:cNvSpPr/>
      </xdr:nvSpPr>
      <xdr:spPr>
        <a:xfrm>
          <a:off x="1571624" y="4467225"/>
          <a:ext cx="2447925"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IN" sz="1400" b="1">
              <a:solidFill>
                <a:schemeClr val="tx1"/>
              </a:solidFill>
            </a:rPr>
            <a:t>TOP 10 PRODUCTS BY SALES</a:t>
          </a:r>
        </a:p>
      </xdr:txBody>
    </xdr:sp>
    <xdr:clientData/>
  </xdr:twoCellAnchor>
  <xdr:twoCellAnchor>
    <xdr:from>
      <xdr:col>8</xdr:col>
      <xdr:colOff>228601</xdr:colOff>
      <xdr:row>23</xdr:row>
      <xdr:rowOff>57150</xdr:rowOff>
    </xdr:from>
    <xdr:to>
      <xdr:col>12</xdr:col>
      <xdr:colOff>352425</xdr:colOff>
      <xdr:row>37</xdr:row>
      <xdr:rowOff>114301</xdr:rowOff>
    </xdr:to>
    <xdr:sp macro="" textlink="">
      <xdr:nvSpPr>
        <xdr:cNvPr id="4113" name="Rectangle: Rounded Corners 4112">
          <a:extLst>
            <a:ext uri="{FF2B5EF4-FFF2-40B4-BE49-F238E27FC236}">
              <a16:creationId xmlns:a16="http://schemas.microsoft.com/office/drawing/2014/main" id="{1150CDDD-A499-42D2-AD5E-26290DB7164F}"/>
            </a:ext>
          </a:extLst>
        </xdr:cNvPr>
        <xdr:cNvSpPr/>
      </xdr:nvSpPr>
      <xdr:spPr>
        <a:xfrm>
          <a:off x="5238751" y="4438650"/>
          <a:ext cx="2562224" cy="2743201"/>
        </a:xfrm>
        <a:prstGeom prst="roundRect">
          <a:avLst>
            <a:gd name="adj" fmla="val 4000"/>
          </a:avLst>
        </a:prstGeom>
        <a:noFill/>
        <a:ln w="15875">
          <a:solidFill>
            <a:srgbClr val="C7D2E4"/>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16</xdr:col>
      <xdr:colOff>371475</xdr:colOff>
      <xdr:row>23</xdr:row>
      <xdr:rowOff>57150</xdr:rowOff>
    </xdr:from>
    <xdr:to>
      <xdr:col>20</xdr:col>
      <xdr:colOff>342900</xdr:colOff>
      <xdr:row>37</xdr:row>
      <xdr:rowOff>114301</xdr:rowOff>
    </xdr:to>
    <xdr:sp macro="" textlink="">
      <xdr:nvSpPr>
        <xdr:cNvPr id="4116" name="Rectangle: Rounded Corners 4115">
          <a:extLst>
            <a:ext uri="{FF2B5EF4-FFF2-40B4-BE49-F238E27FC236}">
              <a16:creationId xmlns:a16="http://schemas.microsoft.com/office/drawing/2014/main" id="{B5310A8C-61E8-4BCB-B602-6C84781A47EA}"/>
            </a:ext>
          </a:extLst>
        </xdr:cNvPr>
        <xdr:cNvSpPr/>
      </xdr:nvSpPr>
      <xdr:spPr>
        <a:xfrm>
          <a:off x="10258425" y="4438650"/>
          <a:ext cx="2409825" cy="2743201"/>
        </a:xfrm>
        <a:prstGeom prst="roundRect">
          <a:avLst>
            <a:gd name="adj" fmla="val 4000"/>
          </a:avLst>
        </a:prstGeom>
        <a:noFill/>
        <a:ln w="15875">
          <a:solidFill>
            <a:srgbClr val="C7D2E4"/>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12</xdr:col>
      <xdr:colOff>409577</xdr:colOff>
      <xdr:row>23</xdr:row>
      <xdr:rowOff>47625</xdr:rowOff>
    </xdr:from>
    <xdr:to>
      <xdr:col>16</xdr:col>
      <xdr:colOff>295275</xdr:colOff>
      <xdr:row>37</xdr:row>
      <xdr:rowOff>104776</xdr:rowOff>
    </xdr:to>
    <xdr:sp macro="" textlink="">
      <xdr:nvSpPr>
        <xdr:cNvPr id="4117" name="Rectangle: Rounded Corners 4116">
          <a:extLst>
            <a:ext uri="{FF2B5EF4-FFF2-40B4-BE49-F238E27FC236}">
              <a16:creationId xmlns:a16="http://schemas.microsoft.com/office/drawing/2014/main" id="{93E69CA8-5AF0-4992-874D-29388C623553}"/>
            </a:ext>
          </a:extLst>
        </xdr:cNvPr>
        <xdr:cNvSpPr/>
      </xdr:nvSpPr>
      <xdr:spPr>
        <a:xfrm>
          <a:off x="7858127" y="4429125"/>
          <a:ext cx="2324098" cy="2743201"/>
        </a:xfrm>
        <a:prstGeom prst="roundRect">
          <a:avLst>
            <a:gd name="adj" fmla="val 4000"/>
          </a:avLst>
        </a:prstGeom>
        <a:noFill/>
        <a:ln w="15875">
          <a:solidFill>
            <a:srgbClr val="C7D2E4"/>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8</xdr:col>
      <xdr:colOff>209551</xdr:colOff>
      <xdr:row>23</xdr:row>
      <xdr:rowOff>85724</xdr:rowOff>
    </xdr:from>
    <xdr:to>
      <xdr:col>12</xdr:col>
      <xdr:colOff>352425</xdr:colOff>
      <xdr:row>25</xdr:row>
      <xdr:rowOff>76200</xdr:rowOff>
    </xdr:to>
    <xdr:sp macro="" textlink="">
      <xdr:nvSpPr>
        <xdr:cNvPr id="4119" name="Rectangle 4118">
          <a:extLst>
            <a:ext uri="{FF2B5EF4-FFF2-40B4-BE49-F238E27FC236}">
              <a16:creationId xmlns:a16="http://schemas.microsoft.com/office/drawing/2014/main" id="{8F10956D-7BBB-4146-8E75-34C6034B9E7B}"/>
            </a:ext>
          </a:extLst>
        </xdr:cNvPr>
        <xdr:cNvSpPr/>
      </xdr:nvSpPr>
      <xdr:spPr>
        <a:xfrm>
          <a:off x="5219701" y="4467224"/>
          <a:ext cx="2581274" cy="3810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IN" sz="1400" b="1">
              <a:solidFill>
                <a:schemeClr val="tx1"/>
              </a:solidFill>
            </a:rPr>
            <a:t>TOP 10 CUSTOMERS</a:t>
          </a:r>
          <a:r>
            <a:rPr lang="en-IN" sz="1400" b="1" baseline="0">
              <a:solidFill>
                <a:schemeClr val="tx1"/>
              </a:solidFill>
            </a:rPr>
            <a:t> </a:t>
          </a:r>
          <a:r>
            <a:rPr lang="en-IN" sz="1400" b="1">
              <a:solidFill>
                <a:schemeClr val="tx1"/>
              </a:solidFill>
            </a:rPr>
            <a:t>BY SALES</a:t>
          </a:r>
        </a:p>
      </xdr:txBody>
    </xdr:sp>
    <xdr:clientData/>
  </xdr:twoCellAnchor>
  <xdr:twoCellAnchor>
    <xdr:from>
      <xdr:col>12</xdr:col>
      <xdr:colOff>406400</xdr:colOff>
      <xdr:row>23</xdr:row>
      <xdr:rowOff>38100</xdr:rowOff>
    </xdr:from>
    <xdr:to>
      <xdr:col>16</xdr:col>
      <xdr:colOff>285750</xdr:colOff>
      <xdr:row>37</xdr:row>
      <xdr:rowOff>95250</xdr:rowOff>
    </xdr:to>
    <xdr:graphicFrame macro="">
      <xdr:nvGraphicFramePr>
        <xdr:cNvPr id="4120" name="Chart 4119">
          <a:extLst>
            <a:ext uri="{FF2B5EF4-FFF2-40B4-BE49-F238E27FC236}">
              <a16:creationId xmlns:a16="http://schemas.microsoft.com/office/drawing/2014/main" id="{F05FF981-AF0B-4A45-8E58-7A34C4FAA0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330200</xdr:colOff>
      <xdr:row>23</xdr:row>
      <xdr:rowOff>50800</xdr:rowOff>
    </xdr:from>
    <xdr:to>
      <xdr:col>20</xdr:col>
      <xdr:colOff>323850</xdr:colOff>
      <xdr:row>37</xdr:row>
      <xdr:rowOff>133349</xdr:rowOff>
    </xdr:to>
    <xdr:graphicFrame macro="">
      <xdr:nvGraphicFramePr>
        <xdr:cNvPr id="4121" name="Chart 4120">
          <a:extLst>
            <a:ext uri="{FF2B5EF4-FFF2-40B4-BE49-F238E27FC236}">
              <a16:creationId xmlns:a16="http://schemas.microsoft.com/office/drawing/2014/main" id="{D2114C37-29D1-4D36-957F-0EF0CA800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41275</xdr:colOff>
      <xdr:row>11</xdr:row>
      <xdr:rowOff>107949</xdr:rowOff>
    </xdr:from>
    <xdr:to>
      <xdr:col>1</xdr:col>
      <xdr:colOff>568325</xdr:colOff>
      <xdr:row>31</xdr:row>
      <xdr:rowOff>46182</xdr:rowOff>
    </xdr:to>
    <mc:AlternateContent xmlns:mc="http://schemas.openxmlformats.org/markup-compatibility/2006" xmlns:a14="http://schemas.microsoft.com/office/drawing/2010/main">
      <mc:Choice Requires="a14">
        <xdr:graphicFrame macro="">
          <xdr:nvGraphicFramePr>
            <xdr:cNvPr id="4131" name="Month">
              <a:extLst>
                <a:ext uri="{FF2B5EF4-FFF2-40B4-BE49-F238E27FC236}">
                  <a16:creationId xmlns:a16="http://schemas.microsoft.com/office/drawing/2014/main" id="{7FACC0F3-65B6-42EF-98C0-0B8648765E7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1275" y="2139949"/>
              <a:ext cx="1138959" cy="3655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387350</xdr:colOff>
      <xdr:row>0</xdr:row>
      <xdr:rowOff>50800</xdr:rowOff>
    </xdr:from>
    <xdr:to>
      <xdr:col>20</xdr:col>
      <xdr:colOff>374650</xdr:colOff>
      <xdr:row>3</xdr:row>
      <xdr:rowOff>76200</xdr:rowOff>
    </xdr:to>
    <xdr:pic macro="[0]!Module3.ToggleFullScreen">
      <xdr:nvPicPr>
        <xdr:cNvPr id="4133" name="Picture 4132">
          <a:extLst>
            <a:ext uri="{FF2B5EF4-FFF2-40B4-BE49-F238E27FC236}">
              <a16:creationId xmlns:a16="http://schemas.microsoft.com/office/drawing/2014/main" id="{DFB31283-51CA-28FC-2702-C3011F50515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109450" y="50800"/>
          <a:ext cx="596900" cy="596900"/>
        </a:xfrm>
        <a:prstGeom prst="rect">
          <a:avLst/>
        </a:prstGeom>
      </xdr:spPr>
    </xdr:pic>
    <xdr:clientData/>
  </xdr:twoCellAnchor>
  <xdr:twoCellAnchor editAs="oneCell">
    <xdr:from>
      <xdr:col>18</xdr:col>
      <xdr:colOff>431800</xdr:colOff>
      <xdr:row>0</xdr:row>
      <xdr:rowOff>69850</xdr:rowOff>
    </xdr:from>
    <xdr:to>
      <xdr:col>19</xdr:col>
      <xdr:colOff>355600</xdr:colOff>
      <xdr:row>3</xdr:row>
      <xdr:rowOff>31750</xdr:rowOff>
    </xdr:to>
    <xdr:pic macro="[0]!Module4.RefreshDashboard">
      <xdr:nvPicPr>
        <xdr:cNvPr id="4135" name="Picture 4134">
          <a:extLst>
            <a:ext uri="{FF2B5EF4-FFF2-40B4-BE49-F238E27FC236}">
              <a16:creationId xmlns:a16="http://schemas.microsoft.com/office/drawing/2014/main" id="{A302126C-4D2A-22D6-819E-C9D2D436056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544300" y="69850"/>
          <a:ext cx="533400" cy="533400"/>
        </a:xfrm>
        <a:prstGeom prst="rect">
          <a:avLst/>
        </a:prstGeom>
      </xdr:spPr>
    </xdr:pic>
    <xdr:clientData/>
  </xdr:twoCellAnchor>
  <xdr:twoCellAnchor editAs="oneCell">
    <xdr:from>
      <xdr:col>0</xdr:col>
      <xdr:colOff>13289</xdr:colOff>
      <xdr:row>0</xdr:row>
      <xdr:rowOff>0</xdr:rowOff>
    </xdr:from>
    <xdr:to>
      <xdr:col>1</xdr:col>
      <xdr:colOff>742950</xdr:colOff>
      <xdr:row>10</xdr:row>
      <xdr:rowOff>47625</xdr:rowOff>
    </xdr:to>
    <xdr:pic>
      <xdr:nvPicPr>
        <xdr:cNvPr id="23" name="Picture 22">
          <a:extLst>
            <a:ext uri="{FF2B5EF4-FFF2-40B4-BE49-F238E27FC236}">
              <a16:creationId xmlns:a16="http://schemas.microsoft.com/office/drawing/2014/main" id="{290B1046-4119-486C-AB6C-1D158E23C98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289" y="0"/>
          <a:ext cx="1339261" cy="1857375"/>
        </a:xfrm>
        <a:prstGeom prst="rect">
          <a:avLst/>
        </a:prstGeom>
      </xdr:spPr>
    </xdr:pic>
    <xdr:clientData/>
  </xdr:twoCellAnchor>
  <xdr:twoCellAnchor>
    <xdr:from>
      <xdr:col>2</xdr:col>
      <xdr:colOff>314300</xdr:colOff>
      <xdr:row>4</xdr:row>
      <xdr:rowOff>19050</xdr:rowOff>
    </xdr:from>
    <xdr:to>
      <xdr:col>4</xdr:col>
      <xdr:colOff>409600</xdr:colOff>
      <xdr:row>4</xdr:row>
      <xdr:rowOff>73050</xdr:rowOff>
    </xdr:to>
    <xdr:sp macro="" textlink="">
      <xdr:nvSpPr>
        <xdr:cNvPr id="9001" name="KPI Accent 1">
          <a:extLst>
            <a:ext uri="{FF2B5EF4-FFF2-40B4-BE49-F238E27FC236}">
              <a16:creationId xmlns:a16="http://schemas.microsoft.com/office/drawing/2014/main" id="{00000000-0008-0000-0000-000029230000}"/>
            </a:ext>
          </a:extLst>
        </xdr:cNvPr>
        <xdr:cNvSpPr/>
      </xdr:nvSpPr>
      <xdr:spPr>
        <a:xfrm>
          <a:off x="0" y="0"/>
          <a:ext cx="0" cy="0"/>
        </a:xfrm>
        <a:prstGeom prst="rect">
          <a:avLst/>
        </a:prstGeom>
        <a:solidFill>
          <a:srgbClr val="2563EB"/>
        </a:solidFill>
        <a:ln>
          <a:noFill/>
        </a:ln>
      </xdr:spPr>
    </xdr:sp>
    <xdr:clientData/>
  </xdr:twoCellAnchor>
  <xdr:twoCellAnchor>
    <xdr:from>
      <xdr:col>5</xdr:col>
      <xdr:colOff>390500</xdr:colOff>
      <xdr:row>4</xdr:row>
      <xdr:rowOff>9525</xdr:rowOff>
    </xdr:from>
    <xdr:to>
      <xdr:col>7</xdr:col>
      <xdr:colOff>485800</xdr:colOff>
      <xdr:row>4</xdr:row>
      <xdr:rowOff>63525</xdr:rowOff>
    </xdr:to>
    <xdr:sp macro="" textlink="">
      <xdr:nvSpPr>
        <xdr:cNvPr id="9002" name="KPI Accent 2">
          <a:extLst>
            <a:ext uri="{FF2B5EF4-FFF2-40B4-BE49-F238E27FC236}">
              <a16:creationId xmlns:a16="http://schemas.microsoft.com/office/drawing/2014/main" id="{00000000-0008-0000-0000-00002A230000}"/>
            </a:ext>
          </a:extLst>
        </xdr:cNvPr>
        <xdr:cNvSpPr/>
      </xdr:nvSpPr>
      <xdr:spPr>
        <a:xfrm>
          <a:off x="0" y="0"/>
          <a:ext cx="0" cy="0"/>
        </a:xfrm>
        <a:prstGeom prst="rect">
          <a:avLst/>
        </a:prstGeom>
        <a:solidFill>
          <a:srgbClr val="0D9488"/>
        </a:solidFill>
        <a:ln>
          <a:noFill/>
        </a:ln>
      </xdr:spPr>
    </xdr:sp>
    <xdr:clientData/>
  </xdr:twoCellAnchor>
  <xdr:twoCellAnchor>
    <xdr:from>
      <xdr:col>8</xdr:col>
      <xdr:colOff>466700</xdr:colOff>
      <xdr:row>4</xdr:row>
      <xdr:rowOff>19050</xdr:rowOff>
    </xdr:from>
    <xdr:to>
      <xdr:col>10</xdr:col>
      <xdr:colOff>562000</xdr:colOff>
      <xdr:row>4</xdr:row>
      <xdr:rowOff>73050</xdr:rowOff>
    </xdr:to>
    <xdr:sp macro="" textlink="">
      <xdr:nvSpPr>
        <xdr:cNvPr id="9003" name="KPI Accent 3">
          <a:extLst>
            <a:ext uri="{FF2B5EF4-FFF2-40B4-BE49-F238E27FC236}">
              <a16:creationId xmlns:a16="http://schemas.microsoft.com/office/drawing/2014/main" id="{00000000-0008-0000-0000-00002B230000}"/>
            </a:ext>
          </a:extLst>
        </xdr:cNvPr>
        <xdr:cNvSpPr/>
      </xdr:nvSpPr>
      <xdr:spPr>
        <a:xfrm>
          <a:off x="0" y="0"/>
          <a:ext cx="0" cy="0"/>
        </a:xfrm>
        <a:prstGeom prst="rect">
          <a:avLst/>
        </a:prstGeom>
        <a:solidFill>
          <a:srgbClr val="D97706"/>
        </a:solidFill>
        <a:ln>
          <a:noFill/>
        </a:ln>
      </xdr:spPr>
    </xdr:sp>
    <xdr:clientData/>
  </xdr:twoCellAnchor>
  <xdr:twoCellAnchor>
    <xdr:from>
      <xdr:col>11</xdr:col>
      <xdr:colOff>561950</xdr:colOff>
      <xdr:row>4</xdr:row>
      <xdr:rowOff>28575</xdr:rowOff>
    </xdr:from>
    <xdr:to>
      <xdr:col>14</xdr:col>
      <xdr:colOff>47650</xdr:colOff>
      <xdr:row>4</xdr:row>
      <xdr:rowOff>82575</xdr:rowOff>
    </xdr:to>
    <xdr:sp macro="" textlink="">
      <xdr:nvSpPr>
        <xdr:cNvPr id="9004" name="KPI Accent 4">
          <a:extLst>
            <a:ext uri="{FF2B5EF4-FFF2-40B4-BE49-F238E27FC236}">
              <a16:creationId xmlns:a16="http://schemas.microsoft.com/office/drawing/2014/main" id="{00000000-0008-0000-0000-00002C230000}"/>
            </a:ext>
          </a:extLst>
        </xdr:cNvPr>
        <xdr:cNvSpPr/>
      </xdr:nvSpPr>
      <xdr:spPr>
        <a:xfrm>
          <a:off x="0" y="0"/>
          <a:ext cx="0" cy="0"/>
        </a:xfrm>
        <a:prstGeom prst="rect">
          <a:avLst/>
        </a:prstGeom>
        <a:solidFill>
          <a:srgbClr val="8B5CF6"/>
        </a:solidFill>
        <a:ln>
          <a:noFill/>
        </a:ln>
      </xdr:spPr>
    </xdr:sp>
    <xdr:clientData/>
  </xdr:twoCellAnchor>
  <xdr:twoCellAnchor>
    <xdr:from>
      <xdr:col>14</xdr:col>
      <xdr:colOff>609575</xdr:colOff>
      <xdr:row>4</xdr:row>
      <xdr:rowOff>19050</xdr:rowOff>
    </xdr:from>
    <xdr:to>
      <xdr:col>17</xdr:col>
      <xdr:colOff>95275</xdr:colOff>
      <xdr:row>4</xdr:row>
      <xdr:rowOff>73050</xdr:rowOff>
    </xdr:to>
    <xdr:sp macro="" textlink="">
      <xdr:nvSpPr>
        <xdr:cNvPr id="9005" name="KPI Accent 5">
          <a:extLst>
            <a:ext uri="{FF2B5EF4-FFF2-40B4-BE49-F238E27FC236}">
              <a16:creationId xmlns:a16="http://schemas.microsoft.com/office/drawing/2014/main" id="{00000000-0008-0000-0000-00002D230000}"/>
            </a:ext>
          </a:extLst>
        </xdr:cNvPr>
        <xdr:cNvSpPr/>
      </xdr:nvSpPr>
      <xdr:spPr>
        <a:xfrm>
          <a:off x="0" y="0"/>
          <a:ext cx="0" cy="0"/>
        </a:xfrm>
        <a:prstGeom prst="rect">
          <a:avLst/>
        </a:prstGeom>
        <a:solidFill>
          <a:srgbClr val="475569"/>
        </a:solidFill>
        <a:ln>
          <a:noFill/>
        </a:ln>
      </xdr:spPr>
    </xdr:sp>
    <xdr:clientData/>
  </xdr:twoCellAnchor>
  <xdr:twoCellAnchor>
    <xdr:from>
      <xdr:col>18</xdr:col>
      <xdr:colOff>9500</xdr:colOff>
      <xdr:row>4</xdr:row>
      <xdr:rowOff>9525</xdr:rowOff>
    </xdr:from>
    <xdr:to>
      <xdr:col>20</xdr:col>
      <xdr:colOff>104800</xdr:colOff>
      <xdr:row>4</xdr:row>
      <xdr:rowOff>63525</xdr:rowOff>
    </xdr:to>
    <xdr:sp macro="" textlink="">
      <xdr:nvSpPr>
        <xdr:cNvPr id="9006" name="KPI Accent 6">
          <a:extLst>
            <a:ext uri="{FF2B5EF4-FFF2-40B4-BE49-F238E27FC236}">
              <a16:creationId xmlns:a16="http://schemas.microsoft.com/office/drawing/2014/main" id="{00000000-0008-0000-0000-00002E230000}"/>
            </a:ext>
          </a:extLst>
        </xdr:cNvPr>
        <xdr:cNvSpPr/>
      </xdr:nvSpPr>
      <xdr:spPr>
        <a:xfrm>
          <a:off x="0" y="0"/>
          <a:ext cx="0" cy="0"/>
        </a:xfrm>
        <a:prstGeom prst="rect">
          <a:avLst/>
        </a:prstGeom>
        <a:solidFill>
          <a:srgbClr val="F43F5E"/>
        </a:solidFill>
        <a:ln>
          <a:noFill/>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 tech" refreshedDate="46311.791871064815" createdVersion="8" refreshedVersion="8" minRefreshableVersion="3" recordCount="1018" xr:uid="{202868B9-95DC-43C2-982E-0B6F87C0E101}">
  <cacheSource type="worksheet">
    <worksheetSource name="Table1"/>
  </cacheSource>
  <cacheFields count="28">
    <cacheField name="Order id" numFmtId="0">
      <sharedItems/>
    </cacheField>
    <cacheField name="Order Date" numFmtId="14">
      <sharedItems containsSemiMixedTypes="0" containsNonDate="0" containsDate="1" containsString="0" minDate="2024-01-01T00:00:00" maxDate="2026-06-20T00:00:00"/>
    </cacheField>
    <cacheField name="Customer ID" numFmtId="0">
      <sharedItems/>
    </cacheField>
    <cacheField name="Customer Name" numFmtId="0">
      <sharedItems count="2035">
        <s v="Aaliyah Campbell"/>
        <s v="Aaliyah Collins"/>
        <s v="Aaliyah Ellis"/>
        <s v="Aaliyah Medina"/>
        <s v="Aaliyah Morgan"/>
        <s v="Aaliyah Ross"/>
        <s v="Aaliyah Wood"/>
        <s v="Aaron Chen"/>
        <s v="Aaron Guzman"/>
        <s v="Aaron Martin"/>
        <s v="Aaron Morgan"/>
        <s v="Aaron Romero"/>
        <s v="Abigail Aguilar"/>
        <s v="Abigail Guzman"/>
        <s v="Abigail Long"/>
        <s v="Abigail Simpson"/>
        <s v="Adam Burns"/>
        <s v="Adam Chen"/>
        <s v="Adam McDonald"/>
        <s v="Adam Ortiz"/>
        <s v="Adam Porter"/>
        <s v="Adam Watson"/>
        <s v="Adam Woods"/>
        <s v="Addison Campbell"/>
        <s v="Addison Davis"/>
        <s v="Addison Diaz"/>
        <s v="Addison Graham"/>
        <s v="Addison Lopez"/>
        <s v="Addison Ortiz"/>
        <s v="Adeline Cox"/>
        <s v="Adeline Jones"/>
        <s v="Adeline Owens"/>
        <s v="Adeline Reed"/>
        <s v="Adeline Ward"/>
        <s v="Aiden Bailey"/>
        <s v="Aiden Brown"/>
        <s v="Aiden Cook"/>
        <s v="Aiden Gordon"/>
        <s v="Aiden Nguyen"/>
        <s v="Aiden Sanchez"/>
        <s v="Alexa Evans"/>
        <s v="Alexa Fernandez"/>
        <s v="Alexa Gonzales"/>
        <s v="Alexa Jones"/>
        <s v="Alexa Moore"/>
        <s v="Alexa Walker"/>
        <s v="Alexander Barnes"/>
        <s v="Alexander Moore"/>
        <s v="Alexander Nguyen"/>
        <s v="Alexander Thompson"/>
        <s v="Alexander Wallace"/>
        <s v="Alice Barnes"/>
        <s v="Alice Crawford"/>
        <s v="Alice Fernandez"/>
        <s v="Alice Jordan"/>
        <s v="Alice Medina"/>
        <s v="Alice Reynolds"/>
        <s v="Allison Robinson"/>
        <s v="Allison Vasquez"/>
        <s v="Amelia Gonzalez"/>
        <s v="Amelia Murray"/>
        <s v="Amelia Roberts"/>
        <s v="Andrew Bennett"/>
        <s v="Andrew Patterson"/>
        <s v="Andrew Reed"/>
        <s v="Andrew Sanchez"/>
        <s v="Andrew Washington"/>
        <s v="Anna Nguyen"/>
        <s v="Anna Ortiz"/>
        <s v="Anna Richardson"/>
        <s v="Anna Rivera"/>
        <s v="Anna Sullivan"/>
        <s v="Anthony Anderson"/>
        <s v="Anthony Ellis"/>
        <s v="Anthony Evans"/>
        <s v="Anthony Russell"/>
        <s v="Anthony Sanders"/>
        <s v="Aria Aguilar"/>
        <s v="Aria Campbell"/>
        <s v="Aria Cole"/>
        <s v="Aria Johnson"/>
        <s v="Aria Mitchell"/>
        <s v="Aria Powell"/>
        <s v="Aria Ramos"/>
        <s v="Aria Sullivan"/>
        <s v="Aria Vasquez"/>
        <s v="Ariana Gonzalez"/>
        <s v="Ariana Kennedy"/>
        <s v="Ariana McDonald"/>
        <s v="Ariana Miller"/>
        <s v="Ariana Murray"/>
        <s v="Ariana Nguyen"/>
        <s v="Ariana Owens"/>
        <s v="Ariana Porter"/>
        <s v="Ariana Rogers"/>
        <s v="Arianna Baker"/>
        <s v="Arianna Chambers"/>
        <s v="Arianna Cox"/>
        <s v="Arianna Hamilton"/>
        <s v="Arianna Hayes"/>
        <s v="Arianna Hunter"/>
        <s v="Arianna Kim"/>
        <s v="Arianna Patel"/>
        <s v="Arianna Perez"/>
        <s v="Arianna Reed"/>
        <s v="Arianna Romero"/>
        <s v="Arianna Sanchez"/>
        <s v="Athena Chen"/>
        <s v="Athena Sanchez"/>
        <s v="Athena Thompson"/>
        <s v="Aubree Anderson"/>
        <s v="Aubree Cole"/>
        <s v="Aubree Marshall"/>
        <s v="Aubree Murray"/>
        <s v="Aubree Patterson"/>
        <s v="Aubree Reyes"/>
        <s v="Aubree Vargas"/>
        <s v="Aubrey Fernandez"/>
        <s v="Aubrey Flores"/>
        <s v="Aubrey Hughes"/>
        <s v="Aubrey Owens"/>
        <s v="Aubrey Romero"/>
        <s v="Aubrey Simpson"/>
        <s v="Aubrey Tran"/>
        <s v="Audrey Collins"/>
        <s v="Audrey Freeman"/>
        <s v="Audrey Guzman"/>
        <s v="Audrey Moore"/>
        <s v="Audrey Morales"/>
        <s v="Audrey Rogers"/>
        <s v="Audrey Stevens"/>
        <s v="Audrey Washington"/>
        <s v="Autumn Castro"/>
        <s v="Autumn Edwards"/>
        <s v="Autumn Thompson"/>
        <s v="Ava Clark"/>
        <s v="Ava Cooper"/>
        <s v="Ava Jimenez"/>
        <s v="Ava Miller"/>
        <s v="Ava Reyes"/>
        <s v="Benjamin Castro"/>
        <s v="Benjamin Diaz"/>
        <s v="Benjamin Flores"/>
        <s v="Benjamin Gordon"/>
        <s v="Benjamin Mendoza"/>
        <s v="Benjamin Price"/>
        <s v="Benjamin Thomas"/>
        <s v="Benjamin Vargas"/>
        <s v="Brandon Garcia"/>
        <s v="Brandon Gonzalez"/>
        <s v="Brandon Hamilton"/>
        <s v="Brandon Henry"/>
        <s v="Brandon Long"/>
        <s v="Brandon Richardson"/>
        <s v="Brandon Thompson"/>
        <s v="Brian Gibson"/>
        <s v="Brian Kelly"/>
        <s v="Brian Myers"/>
        <s v="Brian Tran"/>
        <s v="Brooklyn Hall"/>
        <s v="Camila Garcia"/>
        <s v="Camila Hall"/>
        <s v="Camila Hayes"/>
        <s v="Camila Jenkins"/>
        <s v="Camila Nelson"/>
        <s v="Camila Stewart"/>
        <s v="Camila Wells"/>
        <s v="Camila Young"/>
        <s v="Caroline Freeman"/>
        <s v="Caroline McDonald"/>
        <s v="Caroline Ramirez"/>
        <s v="Caroline Rivera"/>
        <s v="Caroline Tran"/>
        <s v="Caroline Wood"/>
        <s v="Caroline Woods"/>
        <s v="Charles Anderson"/>
        <s v="Charles Graham"/>
        <s v="Charles Howard"/>
        <s v="Charles King"/>
        <s v="Charles Morales"/>
        <s v="Charles Nelson"/>
        <s v="Charles Porter"/>
        <s v="Charles Rodriguez"/>
        <s v="Charlotte Allen"/>
        <s v="Charlotte Henderson"/>
        <s v="Charlotte Lee"/>
        <s v="Charlotte Patel"/>
        <s v="Charlotte Phillips"/>
        <s v="Charlotte Sullivan"/>
        <s v="Charlotte Tran"/>
        <s v="Chloe Adams"/>
        <s v="Chloe Hayes"/>
        <s v="Chloe Wilson"/>
        <s v="Christopher Cole"/>
        <s v="Christopher Diaz"/>
        <s v="Christopher Gibson"/>
        <s v="Christopher Harris"/>
        <s v="Christopher Robinson"/>
        <s v="Christopher Russell"/>
        <s v="Christopher Webb"/>
        <s v="Claire Anderson"/>
        <s v="Claire Castro"/>
        <s v="Claire Ford"/>
        <s v="Claire Ramirez"/>
        <s v="Claire Reynolds"/>
        <s v="Claire Wilson"/>
        <s v="Cora Allen"/>
        <s v="Cora Butler"/>
        <s v="Cora Diaz"/>
        <s v="Cora Lewis"/>
        <s v="Cora Mitchell"/>
        <s v="Cora Roberts"/>
        <s v="Cora Ruiz"/>
        <s v="Cora Simpson"/>
        <s v="Cora Torres"/>
        <s v="Daniel Davis"/>
        <s v="Daniel Guzman"/>
        <s v="Daniel Harrison"/>
        <s v="Daniel Jenkins"/>
        <s v="Daniel Sanchez"/>
        <s v="Daniel Thompson"/>
        <s v="David Bennett"/>
        <s v="David Campbell"/>
        <s v="David Freeman"/>
        <s v="David Perry"/>
        <s v="Dennis Butler"/>
        <s v="Dennis Edwards"/>
        <s v="Donald Carter"/>
        <s v="Donald Garcia"/>
        <s v="Donald Kim"/>
        <s v="Donald Reyes"/>
        <s v="Donald Webb"/>
        <s v="Donald Wood"/>
        <s v="Douglas Porter"/>
        <s v="Douglas Ramirez"/>
        <s v="Douglas Ramos"/>
        <s v="Douglas Stewart"/>
        <s v="Douglas Thompson"/>
        <s v="Edward Bell"/>
        <s v="Edward Hunter"/>
        <s v="Edward Perez"/>
        <s v="Edward Stewart"/>
        <s v="Edward Vargas"/>
        <s v="Eleanor Cook"/>
        <s v="Eleanor Edwards"/>
        <s v="Eleanor Morgan"/>
        <s v="Elena Baker"/>
        <s v="Elena Brown"/>
        <s v="Elena Foster"/>
        <s v="Elena Graham"/>
        <s v="Elena Henry"/>
        <s v="Elena Morris"/>
        <s v="Elena Webb"/>
        <s v="Eliana Hughes"/>
        <s v="Eliana Myers"/>
        <s v="Eliana Russell"/>
        <s v="Eliana Stevens"/>
        <s v="Elijah Gordon"/>
        <s v="Elijah Owens"/>
        <s v="Elijah Perez"/>
        <s v="Elijah Reyes"/>
        <s v="Elijah Watson"/>
        <s v="Elizabeth Martinez"/>
        <s v="Elizabeth Olson"/>
        <s v="Elizabeth Ramos"/>
        <s v="Elizabeth Woods"/>
        <s v="Emilia Gordon"/>
        <s v="Emilia Lee"/>
        <s v="Emilia Mitchell"/>
        <s v="Emilia Perry"/>
        <s v="Emilia Sanders"/>
        <s v="Emilia Thomas"/>
        <s v="Emily Collins"/>
        <s v="Emily Crawford"/>
        <s v="Emily Ellis"/>
        <s v="Emily Jordan"/>
        <s v="Emily Miller"/>
        <s v="Emily Murray"/>
        <s v="Emma Myers"/>
        <s v="Emma Nguyen"/>
        <s v="Eric Brown"/>
        <s v="Eric Harris"/>
        <s v="Eric Howard"/>
        <s v="Eric Martinez"/>
        <s v="Eric Robinson"/>
        <s v="Eric Sanchez"/>
        <s v="Ethan Castillo"/>
        <s v="Ethan Chavez"/>
        <s v="Ethan Davis"/>
        <s v="Ethan Diaz"/>
        <s v="Ethan Gibson"/>
        <s v="Ethan Guzman"/>
        <s v="Ethan Lewis"/>
        <s v="Ethan Long"/>
        <s v="Ethan Martin"/>
        <s v="Ethan Russell"/>
        <s v="Ethan Scott"/>
        <s v="Ethan Thompson"/>
        <s v="Eva Flores"/>
        <s v="Eva Gray"/>
        <s v="Eva Hughes"/>
        <s v="Eva Patterson"/>
        <s v="Eva Ramirez"/>
        <s v="Eva Taylor"/>
        <s v="Eva Wallace"/>
        <s v="Evelyn Jones"/>
        <s v="Evelyn Jordan"/>
        <s v="Evelyn Martin"/>
        <s v="Evelyn Nelson"/>
        <s v="Evelyn Patel"/>
        <s v="Evelyn Stevens"/>
        <s v="Everly Chen"/>
        <s v="Everly Jimenez"/>
        <s v="Everly Kennedy"/>
        <s v="Everly Morris"/>
        <s v="Everly Phillips"/>
        <s v="Everly Porter"/>
        <s v="Everly Thomas"/>
        <s v="Everly Thompson"/>
        <s v="Everly Vargas"/>
        <s v="Everly Vasquez"/>
        <s v="Everly Wilson"/>
        <s v="Everly Wright"/>
        <s v="Frank Davis"/>
        <s v="Frank Foster"/>
        <s v="Frank Gibson"/>
        <s v="Frank Griffin"/>
        <s v="Frank Long"/>
        <s v="Frank Mendoza"/>
        <s v="Frank Miller"/>
        <s v="Frank Patterson"/>
        <s v="Frank Phillips"/>
        <s v="Gabriella Davis"/>
        <s v="Gabriella Fisher"/>
        <s v="Gabriella Griffin"/>
        <s v="Gabriella Guzman"/>
        <s v="Gabriella Henderson"/>
        <s v="Gabriella Jimenez"/>
        <s v="Gabriella Marshall"/>
        <s v="Gabriella Medina"/>
        <s v="Gabriella Mendoza"/>
        <s v="Gabriella Owens"/>
        <s v="Gabriella Porter"/>
        <s v="Gabriella Taylor"/>
        <s v="Gary Adams"/>
        <s v="Gary Baker"/>
        <s v="Gary Tran"/>
        <s v="Gary Vargas"/>
        <s v="Genesis Alexander"/>
        <s v="Genesis Anderson"/>
        <s v="Genesis Castro"/>
        <s v="Genesis Guzman"/>
        <s v="Genesis Henry"/>
        <s v="Genesis Medina"/>
        <s v="Genesis Powell"/>
        <s v="Genesis Watson"/>
        <s v="George Castillo"/>
        <s v="George Smith"/>
        <s v="George Turner"/>
        <s v="George West"/>
        <s v="George Wood"/>
        <s v="George Young"/>
        <s v="Gianna Garcia"/>
        <s v="Gianna Graham"/>
        <s v="Gianna Morgan"/>
        <s v="Gianna Scott"/>
        <s v="Gianna Turner"/>
        <s v="Grace Edwards"/>
        <s v="Grace Fisher"/>
        <s v="Grace Harrison"/>
        <s v="Grace Kim"/>
        <s v="Grace Watson"/>
        <s v="Gregory Cook"/>
        <s v="Gregory Foster"/>
        <s v="Gregory Jackson"/>
        <s v="Gregory Miller"/>
        <s v="Gregory Morris"/>
        <s v="Gregory Robinson"/>
        <s v="Gregory Sanders"/>
        <s v="Gregory Washington"/>
        <s v="Gregory Webb"/>
        <s v="Hailey Adams"/>
        <s v="Hailey Bell"/>
        <s v="Hailey Castro"/>
        <s v="Hailey Cook"/>
        <s v="Hailey Gomez"/>
        <s v="Hailey Gordon"/>
        <s v="Hailey Lewis"/>
        <s v="Hailey Peterson"/>
        <s v="Hailey Vargas"/>
        <s v="Hannah Bennett"/>
        <s v="Hannah Butler"/>
        <s v="Hannah Cooper"/>
        <s v="Hannah Fisher"/>
        <s v="Hannah Gonzalez"/>
        <s v="Hannah Harrison"/>
        <s v="Hannah Kennedy"/>
        <s v="Hannah Martinez"/>
        <s v="Harper Gray"/>
        <s v="Harper Jackson"/>
        <s v="Harper Johnson"/>
        <s v="Harper Miller"/>
        <s v="Harper Moore"/>
        <s v="Harper Patel"/>
        <s v="Harper Robinson"/>
        <s v="Harper Sanchez"/>
        <s v="Henry Cole"/>
        <s v="Henry Coleman"/>
        <s v="Henry Gibson"/>
        <s v="Henry Long"/>
        <s v="Henry Lopez"/>
        <s v="Henry Mendoza"/>
        <s v="Henry Murray"/>
        <s v="Henry Ortiz"/>
        <s v="Henry Romero"/>
        <s v="Henry Stevens"/>
        <s v="Henry Tran"/>
        <s v="Henry Washington"/>
        <s v="Isabella Cook"/>
        <s v="Isabella Cox"/>
        <s v="Isabella Davis"/>
        <s v="Isabella Diaz"/>
        <s v="Isabella Hamilton"/>
        <s v="Isabella Harris"/>
        <s v="Isabella Martin"/>
        <s v="Isabella Romero"/>
        <s v="Isabella Simmons"/>
        <s v="Isabelle Bailey"/>
        <s v="Isabelle Ortiz"/>
        <s v="Isabelle Phillips"/>
        <s v="Isabelle Porter"/>
        <s v="Isabelle Rivera"/>
        <s v="Isabelle Wright"/>
        <s v="Ivy Barnes"/>
        <s v="Ivy Cox"/>
        <s v="Ivy Diaz"/>
        <s v="Ivy Gonzalez"/>
        <s v="Ivy Kelly"/>
        <s v="Ivy Perez"/>
        <s v="Ivy Reyes"/>
        <s v="Jack Barnes"/>
        <s v="Jack King"/>
        <s v="Jack Long"/>
        <s v="Jack Lopez"/>
        <s v="Jack Patel"/>
        <s v="Jack Stewart"/>
        <s v="Jack Sullivan"/>
        <s v="Jackson Alvarez"/>
        <s v="Jackson Evans"/>
        <s v="Jackson Taylor"/>
        <s v="Jackson White"/>
        <s v="Jackson Wright"/>
        <s v="Jacob Bennett"/>
        <s v="Jacob Foster"/>
        <s v="Jacob Hunter"/>
        <s v="Jacob James"/>
        <s v="Jacob Jimenez"/>
        <s v="Jacob McDonald"/>
        <s v="Jacob Romero"/>
        <s v="Jade Evans"/>
        <s v="Jade Porter"/>
        <s v="Jade Reed"/>
        <s v="Jade Ward"/>
        <s v="James Clark"/>
        <s v="James Marshall"/>
        <s v="James Medina"/>
        <s v="James Mendez"/>
        <s v="James Myers"/>
        <s v="James West"/>
        <s v="Jason Reynolds"/>
        <s v="Jason Sanchez"/>
        <s v="Jason Young"/>
        <s v="Jeffrey Adams"/>
        <s v="Jeffrey Jimenez"/>
        <s v="Jeffrey Lee"/>
        <s v="Jeffrey Myers"/>
        <s v="Jeffrey Thompson"/>
        <s v="Jerry Chavez"/>
        <s v="Jerry Cook"/>
        <s v="Jerry Fernandez"/>
        <s v="Jerry Ortiz"/>
        <s v="Jerry Reynolds"/>
        <s v="Jerry Tucker"/>
        <s v="Jerry West"/>
        <s v="John Baker"/>
        <s v="John Evans"/>
        <s v="John Garcia"/>
        <s v="John Gomez"/>
        <s v="John James"/>
        <s v="John Mendoza"/>
        <s v="John Russell"/>
        <s v="Jonathan Allen"/>
        <s v="Jonathan Collins"/>
        <s v="Jonathan Davis"/>
        <s v="Jonathan Johnson"/>
        <s v="Jonathan Phillips"/>
        <s v="Jose Collins"/>
        <s v="Jose James"/>
        <s v="Jose Johnson"/>
        <s v="Jose Patterson"/>
        <s v="Jose Reynolds"/>
        <s v="Joseph Hall"/>
        <s v="Joseph Miller"/>
        <s v="Joseph Nelson"/>
        <s v="Joseph Perez"/>
        <s v="Joseph Simmons"/>
        <s v="Joshua Ford"/>
        <s v="Joshua Harrison"/>
        <s v="Joshua Kennedy"/>
        <s v="Joshua Marshall"/>
        <s v="Joshua Mendez"/>
        <s v="Joshua Murphy"/>
        <s v="Joshua Ruiz"/>
        <s v="Joshua Stevens"/>
        <s v="Joshua Young"/>
        <s v="Julia Bennett"/>
        <s v="Julia Clark"/>
        <s v="Julia Gordon"/>
        <s v="Julia Gray"/>
        <s v="Julia Ortiz"/>
        <s v="Julia Roberts"/>
        <s v="Justin Bell"/>
        <s v="Justin Garcia"/>
        <s v="Justin Parker"/>
        <s v="Justin Sanchez"/>
        <s v="Kaylee Butler"/>
        <s v="Kaylee Long"/>
        <s v="Kaylee Perez"/>
        <s v="Kaylee Price"/>
        <s v="Kennedy James"/>
        <s v="Kennedy Long"/>
        <s v="Kennedy Vargas"/>
        <s v="Kennedy West"/>
        <s v="Kenneth Adams"/>
        <s v="Kenneth Brooks"/>
        <s v="Kenneth Campbell"/>
        <s v="Kenneth Gomez"/>
        <s v="Kenneth Lopez"/>
        <s v="Kenneth Moore"/>
        <s v="Kenneth Ortiz"/>
        <s v="Kenneth Washington"/>
        <s v="Kevin Campbell"/>
        <s v="Kevin Diaz"/>
        <s v="Kevin Flores"/>
        <s v="Kevin Ortiz"/>
        <s v="Kinsley Chen"/>
        <s v="Kinsley Stevens"/>
        <s v="Kinsley Williams"/>
        <s v="Kyle Gutierrez"/>
        <s v="Kyle Nelson"/>
        <s v="Kyle Ruiz"/>
        <s v="Kyle Taylor"/>
        <s v="Kyle Wright"/>
        <s v="Larry Ford"/>
        <s v="Larry Griffin"/>
        <s v="Larry Taylor"/>
        <s v="Larry Tucker"/>
        <s v="Larry Woods"/>
        <s v="Layla Burns"/>
        <s v="Layla Moore"/>
        <s v="Layla Ramirez"/>
        <s v="Layla Scott"/>
        <s v="Layla Taylor"/>
        <s v="Layla Turner"/>
        <s v="Layla Walker"/>
        <s v="Leah Aguilar"/>
        <s v="Leah Cook"/>
        <s v="Leah Davis"/>
        <s v="Leah Myers"/>
        <s v="Liam Collins"/>
        <s v="Liam Jimenez"/>
        <s v="Liam Reyes"/>
        <s v="Liam Sanders"/>
        <s v="Liam West"/>
        <s v="Lillian Bennett"/>
        <s v="Lillian Castillo"/>
        <s v="Lillian Foster"/>
        <s v="Lillian Lee"/>
        <s v="Lillian Moore"/>
        <s v="Lillian Morales"/>
        <s v="Lillian White"/>
        <s v="Lily Allen"/>
        <s v="Lily Bennett"/>
        <s v="Lily Coleman"/>
        <s v="Lily Hamilton"/>
        <s v="Lily Kennedy"/>
        <s v="Lily Thomas"/>
        <s v="Logan Alexander"/>
        <s v="Logan Henry"/>
        <s v="Logan Morales"/>
        <s v="Logan Nguyen"/>
        <s v="Logan Peterson"/>
        <s v="Lucas Coleman"/>
        <s v="Lucas Ellis"/>
        <s v="Lucas Myers"/>
        <s v="Lucas Torres"/>
        <s v="Lucas Woods"/>
        <s v="Lucy Aguilar"/>
        <s v="Lucy Griffin"/>
        <s v="Lucy Harris"/>
        <s v="Lucy Hughes"/>
        <s v="Lucy Morales"/>
        <s v="Lucy Nelson"/>
        <s v="Lucy Reynolds"/>
        <s v="Luna Flores"/>
        <s v="Luna Green"/>
        <s v="Lydia Crawford"/>
        <s v="Lydia Hall"/>
        <s v="Lydia Hamilton"/>
        <s v="Lydia Jones"/>
        <s v="Lydia Rivera"/>
        <s v="Lydia Thompson"/>
        <s v="Lydia Webb"/>
        <s v="Madelyn Crawford"/>
        <s v="Madelyn Hamilton"/>
        <s v="Madelyn Martin"/>
        <s v="Madelyn Ruiz"/>
        <s v="Madison Chen"/>
        <s v="Madison Hughes"/>
        <s v="Madison James"/>
        <s v="Madison Martin"/>
        <s v="Madison Rogers"/>
        <s v="Maria Hernandez"/>
        <s v="Maria Howard"/>
        <s v="Maria Mendoza"/>
        <s v="Maria Peterson"/>
        <s v="Maria Sullivan"/>
        <s v="Maria Walker"/>
        <s v="Mark Baker"/>
        <s v="Mark Garcia"/>
        <s v="Mark Guzman"/>
        <s v="Mark Ortiz"/>
        <s v="Mark Simmons"/>
        <s v="Mason Howard"/>
        <s v="Mason Kim"/>
        <s v="Mason Rogers"/>
        <s v="Mason White"/>
        <s v="Matthew Brown"/>
        <s v="Matthew Hall"/>
        <s v="Matthew Hamilton"/>
        <s v="Matthew James"/>
        <s v="Matthew Martinez"/>
        <s v="Matthew Smith"/>
        <s v="Maya Chavez"/>
        <s v="Maya Collins"/>
        <s v="Maya Hunter"/>
        <s v="Maya Jordan"/>
        <s v="Maya Ortiz"/>
        <s v="Melanie Clark"/>
        <s v="Melanie Crawford"/>
        <s v="Melanie Mendoza"/>
        <s v="Melanie Romero"/>
        <s v="Mia Hunter"/>
        <s v="Mia Lewis"/>
        <s v="Mia Vargas"/>
        <s v="Michael Campbell"/>
        <s v="Michael Castillo"/>
        <s v="Michael Coleman"/>
        <s v="Michael Cox"/>
        <s v="Michael Gordon"/>
        <s v="Michael Griffin"/>
        <s v="Michael Murphy"/>
        <s v="Michael Robinson"/>
        <s v="Michael Rodriguez"/>
        <s v="Michael Simmons"/>
        <s v="Mila Burns"/>
        <s v="Mila Chavez"/>
        <s v="Mila Jackson"/>
        <s v="Mila Long"/>
        <s v="Mila Nelson"/>
        <s v="Mila White"/>
        <s v="Naomi Brown"/>
        <s v="Naomi Cole"/>
        <s v="Naomi Moore"/>
        <s v="Naomi Morris"/>
        <s v="Naomi Phillips"/>
        <s v="Naomi Smith"/>
        <s v="Natalie Chavez"/>
        <s v="Natalie Hernandez"/>
        <s v="Natalie Patel"/>
        <s v="Natalie Perry"/>
        <s v="Natalie Porter"/>
        <s v="Natalie Ward"/>
        <s v="Nathan Allen"/>
        <s v="Nathan Bailey"/>
        <s v="Nathan Freeman"/>
        <s v="Nathan Gordon"/>
        <s v="Nathan Graham"/>
        <s v="Nathan James"/>
        <s v="Nathan Kim"/>
        <s v="Nathan Mendez"/>
        <s v="Nathan Morgan"/>
        <s v="Nathan Patterson"/>
        <s v="Nevaeh Aguilar"/>
        <s v="Nevaeh Hamilton"/>
        <s v="Nevaeh Martin"/>
        <s v="Nevaeh Ward"/>
        <s v="Nicholas Ellis"/>
        <s v="Nicholas Jackson"/>
        <s v="Nicholas Romero"/>
        <s v="Nicholas Turner"/>
        <s v="Noah Jones"/>
        <s v="Noah Simmons"/>
        <s v="Noah Vargas"/>
        <s v="Nora Johnson"/>
        <s v="Nora Kim"/>
        <s v="Nora Medina"/>
        <s v="Nora Stevens"/>
        <s v="Nora Thompson"/>
        <s v="Oliver Anderson"/>
        <s v="Oliver Cruz"/>
        <s v="Oliver Jones"/>
        <s v="Oliver Ramos"/>
        <s v="Oliver Robinson"/>
        <s v="Olivia Hughes"/>
        <s v="Olivia Jordan"/>
        <s v="Olivia Lopez"/>
        <s v="Olivia Moore"/>
        <s v="Olivia Tucker"/>
        <s v="Olivia Washington"/>
        <s v="Paisley Harris"/>
        <s v="Paisley Mendez"/>
        <s v="Paisley Peterson"/>
        <s v="Patrick Baker"/>
        <s v="Patrick Chambers"/>
        <s v="Patrick Edwards"/>
        <s v="Patrick Ellis"/>
        <s v="Patrick Ortiz"/>
        <s v="Paul Chambers"/>
        <s v="Paul Davis"/>
        <s v="Paul Murray"/>
        <s v="Paul Phillips"/>
        <s v="Paul Turner"/>
        <s v="Penelope Aguilar"/>
        <s v="Penelope Johnson"/>
        <s v="Penelope Morris"/>
        <s v="Penelope Peterson"/>
        <s v="Penelope Price"/>
        <s v="Penelope Rogers"/>
        <s v="Penelope Tran"/>
        <s v="Peter Brown"/>
        <s v="Peter Cooper"/>
        <s v="Peter Diaz"/>
        <s v="Peter Jones"/>
        <s v="Peter Long"/>
        <s v="Peter Patterson"/>
        <s v="Peter Perez"/>
        <s v="Peter Thomas"/>
        <s v="Piper Barnes"/>
        <s v="Piper Cook"/>
        <s v="Piper Fisher"/>
        <s v="Piper Vargas"/>
        <s v="Quinn Collins"/>
        <s v="Quinn Cox"/>
        <s v="Quinn Hayes"/>
        <s v="Quinn Martinez"/>
        <s v="Quinn Mitchell"/>
        <s v="Quinn Stevens"/>
        <s v="Raymond Bailey"/>
        <s v="Raymond Foster"/>
        <s v="Raymond Gonzales"/>
        <s v="Raymond Nelson"/>
        <s v="Raymond Price"/>
        <s v="Richard Bailey"/>
        <s v="Richard Guzman"/>
        <s v="Richard James"/>
        <s v="Richard Lewis"/>
        <s v="Richard Walker"/>
        <s v="Richard Wright"/>
        <s v="Richard Young"/>
        <s v="Riley Jordan"/>
        <s v="Riley Vargas"/>
        <s v="Riley White"/>
        <s v="Robert Cole"/>
        <s v="Robert Griffin"/>
        <s v="Robert Hunter"/>
        <s v="Robert Nelson"/>
        <s v="Robert Roberts"/>
        <s v="Robert Simpson"/>
        <s v="Ronald Gonzales"/>
        <s v="Ronald Green"/>
        <s v="Ronald Jones"/>
        <s v="Ronald Kelly"/>
        <s v="Ronald Kennedy"/>
        <s v="Ronald Long"/>
        <s v="Ronald Miller"/>
        <s v="Ronald Simmons"/>
        <s v="Ronald Vasquez"/>
        <s v="Ruby Butler"/>
        <s v="Ruby Castillo"/>
        <s v="Ruby Nelson"/>
        <s v="Ruby Powell"/>
        <s v="Ruby Ross"/>
        <s v="Ruby Russell"/>
        <s v="Ruby Sullivan"/>
        <s v="Ryan Crawford"/>
        <s v="Ryan Foster"/>
        <s v="Ryan Harris"/>
        <s v="Ryan Richardson"/>
        <s v="Rylee Butler"/>
        <s v="Rylee Gomez"/>
        <s v="Rylee Hayes"/>
        <s v="Rylee Phillips"/>
        <s v="Sadie Bennett"/>
        <s v="Sadie Roberts"/>
        <s v="Sadie Rogers"/>
        <s v="Sadie Ruiz"/>
        <s v="Samuel Crawford"/>
        <s v="Samuel Diaz"/>
        <s v="Samuel Lee"/>
        <s v="Samuel Lopez"/>
        <s v="Samuel Russell"/>
        <s v="Samuel Vasquez"/>
        <s v="Samuel Walker"/>
        <s v="Samuel Ward"/>
        <s v="Sarah Johnson"/>
        <s v="Sarah Marshall"/>
        <s v="Sarah Parker"/>
        <s v="Sarah Rodriguez"/>
        <s v="Sarah Sanchez"/>
        <s v="Sarah Torres"/>
        <s v="Savannah Butler"/>
        <s v="Savannah Cole"/>
        <s v="Savannah Gonzalez"/>
        <s v="Savannah Gordon"/>
        <s v="Savannah Jackson"/>
        <s v="Savannah King"/>
        <s v="Savannah Lewis"/>
        <s v="Savannah McDonald"/>
        <s v="Savannah Mitchell"/>
        <s v="Savannah Nelson"/>
        <s v="Savannah Peterson"/>
        <s v="Savannah Powell"/>
        <s v="Savannah Romero"/>
        <s v="Savannah Walker"/>
        <s v="Scarlett Butler"/>
        <s v="Scarlett Griffin"/>
        <s v="Scarlett Sanchez"/>
        <s v="Scarlett Tucker"/>
        <s v="Scott Jordan"/>
        <s v="Scott Moore"/>
        <s v="Scott Woods"/>
        <s v="Serenity Henry"/>
        <s v="Serenity Miller"/>
        <s v="Skylar Castro"/>
        <s v="Skylar Mendoza"/>
        <s v="Sofia Brown"/>
        <s v="Sofia Fisher"/>
        <s v="Sofia Jones"/>
        <s v="Sofia Peterson"/>
        <s v="Sofia Scott"/>
        <s v="Sofia Ward"/>
        <s v="Sophia Alvarez"/>
        <s v="Sophia Diaz"/>
        <s v="Sophia Gordon"/>
        <s v="Sophia Myers"/>
        <s v="Sophia Ramirez"/>
        <s v="Sophia Scott"/>
        <s v="Sophia Watson"/>
        <s v="Sophia Wilson"/>
        <s v="Stella Smith"/>
        <s v="Stella Webb"/>
        <s v="Stephen Fernandez"/>
        <s v="Stephen Graham"/>
        <s v="Stephen Moore"/>
        <s v="Stephen Powell"/>
        <s v="Stephen Thomas"/>
        <s v="Stephen Wilson"/>
        <s v="Stephen Wright"/>
        <s v="Steven Medina"/>
        <s v="Steven Morgan"/>
        <s v="Steven Romero"/>
        <s v="Steven Wright"/>
        <s v="Thomas Bailey"/>
        <s v="Thomas Chambers"/>
        <s v="Thomas Graham"/>
        <s v="Thomas Hill"/>
        <s v="Timothy Fisher"/>
        <s v="Timothy Marshall"/>
        <s v="Timothy Mendoza"/>
        <s v="Timothy Patel"/>
        <s v="Timothy Rogers"/>
        <s v="Tyler Allen"/>
        <s v="Tyler Fernandez"/>
        <s v="Tyler Graham"/>
        <s v="Tyler Gray"/>
        <s v="Tyler Hayes"/>
        <s v="Tyler Henderson"/>
        <s v="Tyler Henry"/>
        <s v="Tyler Reed"/>
        <s v="Tyler Romero"/>
        <s v="Valentina Allen"/>
        <s v="Valentina Chen"/>
        <s v="Valentina Cooper"/>
        <s v="Valentina Gordon"/>
        <s v="Valentina Jimenez"/>
        <s v="Valentina Jones"/>
        <s v="Valentina Murphy"/>
        <s v="Valentina Parker"/>
        <s v="Valentina Rodriguez"/>
        <s v="Valentina Thompson"/>
        <s v="Valentina Turner"/>
        <s v="Victoria Edwards"/>
        <s v="Victoria Kim"/>
        <s v="Victoria Miller"/>
        <s v="Victoria Parker"/>
        <s v="Victoria Porter"/>
        <s v="Victoria Romero"/>
        <s v="Victoria Scott"/>
        <s v="Victoria Stevens"/>
        <s v="Victoria Vargas"/>
        <s v="William Chen"/>
        <s v="William Davis"/>
        <s v="William Evans"/>
        <s v="William Hayes"/>
        <s v="William McDonald"/>
        <s v="William Reynolds"/>
        <s v="William Robinson"/>
        <s v="William Wood"/>
        <s v="Willow Harrison"/>
        <s v="Willow Jones"/>
        <s v="Willow Lewis"/>
        <s v="Willow Patel"/>
        <s v="Willow Price"/>
        <s v="Willow Sanchez"/>
        <s v="Willow Sullivan"/>
        <s v="Zachary Barnes"/>
        <s v="Zachary Burns"/>
        <s v="Zachary Griffin"/>
        <s v="Zachary Hall"/>
        <s v="Zachary Lewis"/>
        <s v="Zachary Parker"/>
        <s v="Zachary Robinson"/>
        <s v="Zoe Fisher"/>
        <s v="Zoe Henry"/>
        <s v="Zoe Patterson"/>
        <s v="Zoe Roberts"/>
        <s v="Zoe Turner"/>
        <s v="Zoey Diaz"/>
        <s v="Zoey Fisher"/>
        <s v="Zoey Foster"/>
        <s v="Zoey Griffin"/>
        <s v="Zoey Jenkins"/>
        <s v="Zoey Jordan"/>
        <s v="Zoey Reyes"/>
        <s v="Zoey Sanchez"/>
        <s v="Jack Smith" u="1"/>
        <s v="Jack Johnson" u="1"/>
        <s v="Jack Williams" u="1"/>
        <s v="Jack Brown" u="1"/>
        <s v="Jack Jones" u="1"/>
        <s v="Jack Garcia" u="1"/>
        <s v="Jack Miller" u="1"/>
        <s v="Jack Davis" u="1"/>
        <s v="Jack Rodriguez" u="1"/>
        <s v="Jack Martinez" u="1"/>
        <s v="Jack Hernandez" u="1"/>
        <s v="Jack Gonzalez" u="1"/>
        <s v="Jack Wilson" u="1"/>
        <s v="Jack Anderson" u="1"/>
        <s v="Jack Thomas" u="1"/>
        <s v="Jack Taylor" u="1"/>
        <s v="Jack Moore" u="1"/>
        <s v="Jack Jackson" u="1"/>
        <s v="Jack Martin" u="1"/>
        <s v="Jack Sharma" u="1"/>
        <s v="Jack Reddy" u="1"/>
        <s v="Jack Gupta" u="1"/>
        <s v="Jack Verma" u="1"/>
        <s v="Jack Singh" u="1"/>
        <s v="Jack Kumar" u="1"/>
        <s v="Jack Wang" u="1"/>
        <s v="Jack Li" u="1"/>
        <s v="Jack Zhang" u="1"/>
        <s v="Jack Liu" u="1"/>
        <s v="Jack Chen" u="1"/>
        <s v="Jack Kim" u="1"/>
        <s v="Jack Park" u="1"/>
        <s v="Jack Tanaka" u="1"/>
        <s v="Jack Sato" u="1"/>
        <s v="Jack Fernandez" u="1"/>
        <s v="Jack Silva" u="1"/>
        <s v="Jack Costa" u="1"/>
        <s v="Jack Ali" u="1"/>
        <s v="Jack Hassan" u="1"/>
        <s v="Jack Kabaj" u="1"/>
        <s v="Jack Rahman" u="1"/>
        <s v="Jack Ahmadi" u="1"/>
        <s v="Jack Pham" u="1"/>
        <s v="Jack Kasdi" u="1"/>
        <s v="Jack White" u="1"/>
        <s v="Jack Clark" u="1"/>
        <s v="Jack Lewis" u="1"/>
        <s v="Emma Smith" u="1"/>
        <s v="Emma Johnson" u="1"/>
        <s v="Emma Williams" u="1"/>
        <s v="Emma Brown" u="1"/>
        <s v="Emma Jones" u="1"/>
        <s v="Emma Garcia" u="1"/>
        <s v="Emma Miller" u="1"/>
        <s v="Emma Davis" u="1"/>
        <s v="Emma Rodriguez" u="1"/>
        <s v="Emma Martinez" u="1"/>
        <s v="Emma Hernandez" u="1"/>
        <s v="Emma Lopez" u="1"/>
        <s v="Emma Gonzalez" u="1"/>
        <s v="Emma Wilson" u="1"/>
        <s v="Emma Anderson" u="1"/>
        <s v="Emma Thomas" u="1"/>
        <s v="Emma Taylor" u="1"/>
        <s v="Emma Moore" u="1"/>
        <s v="Emma Jackson" u="1"/>
        <s v="Emma Martin" u="1"/>
        <s v="Emma Sharma" u="1"/>
        <s v="Emma Patel" u="1"/>
        <s v="Emma Reddy" u="1"/>
        <s v="Emma Gupta" u="1"/>
        <s v="Emma Verma" u="1"/>
        <s v="Emma Singh" u="1"/>
        <s v="Emma Kumar" u="1"/>
        <s v="Emma Wang" u="1"/>
        <s v="Emma Li" u="1"/>
        <s v="Emma Zhang" u="1"/>
        <s v="Emma Liu" u="1"/>
        <s v="Emma Chen" u="1"/>
        <s v="Emma Kim" u="1"/>
        <s v="Emma Park" u="1"/>
        <s v="Emma Tanaka" u="1"/>
        <s v="Emma Sato" u="1"/>
        <s v="Emma Fernandez" u="1"/>
        <s v="Emma Silva" u="1"/>
        <s v="Emma Costa" u="1"/>
        <s v="Emma Ali" u="1"/>
        <s v="Emma Hassan" u="1"/>
        <s v="Emma Kabaj" u="1"/>
        <s v="Emma Rahman" u="1"/>
        <s v="Emma Ahmadi" u="1"/>
        <s v="Emma Pham" u="1"/>
        <s v="Emma Kasdi" u="1"/>
        <s v="Emma White" u="1"/>
        <s v="Emma Clark" u="1"/>
        <s v="Emma Lewis" u="1"/>
        <s v="Liam Smith" u="1"/>
        <s v="Liam Johnson" u="1"/>
        <s v="Liam Williams" u="1"/>
        <s v="Liam Brown" u="1"/>
        <s v="Liam Jones" u="1"/>
        <s v="Liam Garcia" u="1"/>
        <s v="Liam Miller" u="1"/>
        <s v="Liam Davis" u="1"/>
        <s v="Liam Rodriguez" u="1"/>
        <s v="Liam Martinez" u="1"/>
        <s v="Liam Hernandez" u="1"/>
        <s v="Liam Lopez" u="1"/>
        <s v="Liam Gonzalez" u="1"/>
        <s v="Liam Wilson" u="1"/>
        <s v="Liam Anderson" u="1"/>
        <s v="Liam Thomas" u="1"/>
        <s v="Liam Taylor" u="1"/>
        <s v="Liam Moore" u="1"/>
        <s v="Liam Jackson" u="1"/>
        <s v="Liam Martin" u="1"/>
        <s v="Liam Sharma" u="1"/>
        <s v="Liam Patel" u="1"/>
        <s v="Liam Reddy" u="1"/>
        <s v="Liam Gupta" u="1"/>
        <s v="Liam Verma" u="1"/>
        <s v="Liam Singh" u="1"/>
        <s v="Liam Kumar" u="1"/>
        <s v="Liam Wang" u="1"/>
        <s v="Liam Li" u="1"/>
        <s v="Liam Zhang" u="1"/>
        <s v="Liam Liu" u="1"/>
        <s v="Liam Chen" u="1"/>
        <s v="Liam Kim" u="1"/>
        <s v="Liam Park" u="1"/>
        <s v="Liam Tanaka" u="1"/>
        <s v="Liam Sato" u="1"/>
        <s v="Liam Fernandez" u="1"/>
        <s v="Liam Silva" u="1"/>
        <s v="Liam Costa" u="1"/>
        <s v="Liam Ali" u="1"/>
        <s v="Liam Hassan" u="1"/>
        <s v="Liam Kabaj" u="1"/>
        <s v="Liam Rahman" u="1"/>
        <s v="Liam Ahmadi" u="1"/>
        <s v="Liam Pham" u="1"/>
        <s v="Liam Kasdi" u="1"/>
        <s v="Liam White" u="1"/>
        <s v="Liam Clark" u="1"/>
        <s v="Liam Lewis" u="1"/>
        <s v="Olivia Smith" u="1"/>
        <s v="Olivia Johnson" u="1"/>
        <s v="Olivia Williams" u="1"/>
        <s v="Olivia Brown" u="1"/>
        <s v="Olivia Jones" u="1"/>
        <s v="Olivia Garcia" u="1"/>
        <s v="Olivia Miller" u="1"/>
        <s v="Olivia Davis" u="1"/>
        <s v="Olivia Rodriguez" u="1"/>
        <s v="Olivia Martinez" u="1"/>
        <s v="Olivia Hernandez" u="1"/>
        <s v="Olivia Gonzalez" u="1"/>
        <s v="Olivia Wilson" u="1"/>
        <s v="Olivia Anderson" u="1"/>
        <s v="Olivia Thomas" u="1"/>
        <s v="Olivia Taylor" u="1"/>
        <s v="Olivia Jackson" u="1"/>
        <s v="Olivia Martin" u="1"/>
        <s v="Olivia Sharma" u="1"/>
        <s v="Olivia Patel" u="1"/>
        <s v="Olivia Reddy" u="1"/>
        <s v="Olivia Gupta" u="1"/>
        <s v="Olivia Verma" u="1"/>
        <s v="Olivia Singh" u="1"/>
        <s v="Olivia Kumar" u="1"/>
        <s v="Olivia Wang" u="1"/>
        <s v="Olivia Li" u="1"/>
        <s v="Olivia Zhang" u="1"/>
        <s v="Olivia Liu" u="1"/>
        <s v="Olivia Chen" u="1"/>
        <s v="Olivia Kim" u="1"/>
        <s v="Olivia Park" u="1"/>
        <s v="Olivia Tanaka" u="1"/>
        <s v="Olivia Sato" u="1"/>
        <s v="Olivia Fernandez" u="1"/>
        <s v="Olivia Silva" u="1"/>
        <s v="Olivia Costa" u="1"/>
        <s v="Olivia Ali" u="1"/>
        <s v="Olivia Hassan" u="1"/>
        <s v="Olivia Kabaj" u="1"/>
        <s v="Olivia Rahman" u="1"/>
        <s v="Olivia Ahmadi" u="1"/>
        <s v="Olivia Pham" u="1"/>
        <s v="Olivia Kasdi" u="1"/>
        <s v="Olivia White" u="1"/>
        <s v="Olivia Clark" u="1"/>
        <s v="Olivia Lewis" u="1"/>
        <s v="Aarav Smith" u="1"/>
        <s v="Aarav Johnson" u="1"/>
        <s v="Aarav Williams" u="1"/>
        <s v="Aarav Brown" u="1"/>
        <s v="Aarav Jones" u="1"/>
        <s v="Aarav Garcia" u="1"/>
        <s v="Aarav Miller" u="1"/>
        <s v="Aarav Davis" u="1"/>
        <s v="Aarav Rodriguez" u="1"/>
        <s v="Aarav Martinez" u="1"/>
        <s v="Aarav Hernandez" u="1"/>
        <s v="Aarav Lopez" u="1"/>
        <s v="Aarav Gonzalez" u="1"/>
        <s v="Aarav Wilson" u="1"/>
        <s v="Aarav Anderson" u="1"/>
        <s v="Aarav Thomas" u="1"/>
        <s v="Aarav Taylor" u="1"/>
        <s v="Aarav Moore" u="1"/>
        <s v="Aarav Jackson" u="1"/>
        <s v="Aarav Martin" u="1"/>
        <s v="Aarav Sharma" u="1"/>
        <s v="Aarav Patel" u="1"/>
        <s v="Aarav Reddy" u="1"/>
        <s v="Aarav Gupta" u="1"/>
        <s v="Aarav Verma" u="1"/>
        <s v="Aarav Singh" u="1"/>
        <s v="Aarav Kumar" u="1"/>
        <s v="Aarav Wang" u="1"/>
        <s v="Aarav Li" u="1"/>
        <s v="Aarav Zhang" u="1"/>
        <s v="Aarav Liu" u="1"/>
        <s v="Aarav Chen" u="1"/>
        <s v="Aarav Kim" u="1"/>
        <s v="Aarav Park" u="1"/>
        <s v="Aarav Tanaka" u="1"/>
        <s v="Aarav Sato" u="1"/>
        <s v="Aarav Fernandez" u="1"/>
        <s v="Aarav Silva" u="1"/>
        <s v="Aarav Costa" u="1"/>
        <s v="Aarav Ali" u="1"/>
        <s v="Aarav Hassan" u="1"/>
        <s v="Aarav Kabaj" u="1"/>
        <s v="Aarav Rahman" u="1"/>
        <s v="Aarav Ahmadi" u="1"/>
        <s v="Aarav Pham" u="1"/>
        <s v="Aarav Kasdi" u="1"/>
        <s v="Aarav White" u="1"/>
        <s v="Aarav Clark" u="1"/>
        <s v="Aarav Lewis" u="1"/>
        <s v="Priya Smith" u="1"/>
        <s v="Priya Johnson" u="1"/>
        <s v="Priya Williams" u="1"/>
        <s v="Priya Brown" u="1"/>
        <s v="Priya Jones" u="1"/>
        <s v="Priya Garcia" u="1"/>
        <s v="Priya Miller" u="1"/>
        <s v="Priya Davis" u="1"/>
        <s v="Priya Rodriguez" u="1"/>
        <s v="Priya Martinez" u="1"/>
        <s v="Priya Hernandez" u="1"/>
        <s v="Priya Lopez" u="1"/>
        <s v="Priya Gonzalez" u="1"/>
        <s v="Priya Wilson" u="1"/>
        <s v="Priya Anderson" u="1"/>
        <s v="Priya Thomas" u="1"/>
        <s v="Priya Taylor" u="1"/>
        <s v="Priya Moore" u="1"/>
        <s v="Priya Jackson" u="1"/>
        <s v="Priya Martin" u="1"/>
        <s v="Priya Sharma" u="1"/>
        <s v="Priya Patel" u="1"/>
        <s v="Priya Reddy" u="1"/>
        <s v="Priya Gupta" u="1"/>
        <s v="Priya Verma" u="1"/>
        <s v="Priya Singh" u="1"/>
        <s v="Priya Kumar" u="1"/>
        <s v="Priya Wang" u="1"/>
        <s v="Priya Li" u="1"/>
        <s v="Priya Zhang" u="1"/>
        <s v="Priya Liu" u="1"/>
        <s v="Priya Chen" u="1"/>
        <s v="Priya Kim" u="1"/>
        <s v="Priya Park" u="1"/>
        <s v="Priya Tanaka" u="1"/>
        <s v="Priya Sato" u="1"/>
        <s v="Priya Fernandez" u="1"/>
        <s v="Priya Silva" u="1"/>
        <s v="Priya Costa" u="1"/>
        <s v="Priya Ali" u="1"/>
        <s v="Priya Hassan" u="1"/>
        <s v="Priya Kabaj" u="1"/>
        <s v="Priya Rahman" u="1"/>
        <s v="Priya Ahmadi" u="1"/>
        <s v="Priya Pham" u="1"/>
        <s v="Priya Kasdi" u="1"/>
        <s v="Priya White" u="1"/>
        <s v="Priya Clark" u="1"/>
        <s v="Priya Lewis" u="1"/>
        <s v="Rahul Smith" u="1"/>
        <s v="Rahul Johnson" u="1"/>
        <s v="Rahul Williams" u="1"/>
        <s v="Rahul Brown" u="1"/>
        <s v="Rahul Jones" u="1"/>
        <s v="Rahul Garcia" u="1"/>
        <s v="Rahul Miller" u="1"/>
        <s v="Rahul Davis" u="1"/>
        <s v="Rahul Rodriguez" u="1"/>
        <s v="Rahul Martinez" u="1"/>
        <s v="Rahul Hernandez" u="1"/>
        <s v="Rahul Lopez" u="1"/>
        <s v="Rahul Gonzalez" u="1"/>
        <s v="Rahul Wilson" u="1"/>
        <s v="Rahul Anderson" u="1"/>
        <s v="Rahul Thomas" u="1"/>
        <s v="Rahul Taylor" u="1"/>
        <s v="Rahul Moore" u="1"/>
        <s v="Rahul Jackson" u="1"/>
        <s v="Rahul Martin" u="1"/>
        <s v="Rahul Sharma" u="1"/>
        <s v="Rahul Patel" u="1"/>
        <s v="Rahul Reddy" u="1"/>
        <s v="Rahul Gupta" u="1"/>
        <s v="Rahul Verma" u="1"/>
        <s v="Rahul Singh" u="1"/>
        <s v="Rahul Kumar" u="1"/>
        <s v="Rahul Wang" u="1"/>
        <s v="Rahul Li" u="1"/>
        <s v="Rahul Zhang" u="1"/>
        <s v="Rahul Liu" u="1"/>
        <s v="Rahul Chen" u="1"/>
        <s v="Rahul Kim" u="1"/>
        <s v="Rahul Park" u="1"/>
        <s v="Rahul Tanaka" u="1"/>
        <s v="Rahul Sato" u="1"/>
        <s v="Rahul Fernandez" u="1"/>
        <s v="Rahul Silva" u="1"/>
        <s v="Rahul Costa" u="1"/>
        <s v="Rahul Ali" u="1"/>
        <s v="Rahul Hassan" u="1"/>
        <s v="Rahul Kabaj" u="1"/>
        <s v="Rahul Rahman" u="1"/>
        <s v="Rahul Ahmadi" u="1"/>
        <s v="Rahul Pham" u="1"/>
        <s v="Rahul Kasdi" u="1"/>
        <s v="Rahul White" u="1"/>
        <s v="Rahul Clark" u="1"/>
        <s v="Rahul Lewis" u="1"/>
        <s v="Ananya Smith" u="1"/>
        <s v="Ananya Johnson" u="1"/>
        <s v="Ananya Williams" u="1"/>
        <s v="Ananya Brown" u="1"/>
        <s v="Ananya Jones" u="1"/>
        <s v="Ananya Garcia" u="1"/>
        <s v="Ananya Miller" u="1"/>
        <s v="Ananya Davis" u="1"/>
        <s v="Ananya Rodriguez" u="1"/>
        <s v="Ananya Martinez" u="1"/>
        <s v="Ananya Hernandez" u="1"/>
        <s v="Ananya Lopez" u="1"/>
        <s v="Ananya Gonzalez" u="1"/>
        <s v="Ananya Wilson" u="1"/>
        <s v="Ananya Anderson" u="1"/>
        <s v="Ananya Thomas" u="1"/>
        <s v="Ananya Taylor" u="1"/>
        <s v="Ananya Moore" u="1"/>
        <s v="Ananya Jackson" u="1"/>
        <s v="Ananya Martin" u="1"/>
        <s v="Ananya Sharma" u="1"/>
        <s v="Ananya Patel" u="1"/>
        <s v="Ananya Reddy" u="1"/>
        <s v="Ananya Gupta" u="1"/>
        <s v="Ananya Verma" u="1"/>
        <s v="Ananya Singh" u="1"/>
        <s v="Ananya Kumar" u="1"/>
        <s v="Ananya Wang" u="1"/>
        <s v="Ananya Li" u="1"/>
        <s v="Ananya Zhang" u="1"/>
        <s v="Ananya Liu" u="1"/>
        <s v="Ananya Chen" u="1"/>
        <s v="Ananya Kim" u="1"/>
        <s v="Ananya Park" u="1"/>
        <s v="Ananya Tanaka" u="1"/>
        <s v="Ananya Sato" u="1"/>
        <s v="Ananya Fernandez" u="1"/>
        <s v="Ananya Silva" u="1"/>
        <s v="Ananya Costa" u="1"/>
        <s v="Ananya Ali" u="1"/>
        <s v="Ananya Hassan" u="1"/>
        <s v="Ananya Kabaj" u="1"/>
        <s v="Ananya Rahman" u="1"/>
        <s v="Ananya Ahmadi" u="1"/>
        <s v="Ananya Pham" u="1"/>
        <s v="Ananya Kasdi" u="1"/>
        <s v="Ananya White" u="1"/>
        <s v="Ananya Clark" u="1"/>
        <s v="Ananya Lewis" u="1"/>
        <s v="Wei Smith" u="1"/>
        <s v="Wei Johnson" u="1"/>
        <s v="Wei Williams" u="1"/>
        <s v="Wei Brown" u="1"/>
        <s v="Wei Jones" u="1"/>
        <s v="Wei Garcia" u="1"/>
        <s v="Wei Miller" u="1"/>
        <s v="Wei Davis" u="1"/>
        <s v="Wei Rodriguez" u="1"/>
        <s v="Wei Martinez" u="1"/>
        <s v="Wei Hernandez" u="1"/>
        <s v="Wei Lopez" u="1"/>
        <s v="Wei Gonzalez" u="1"/>
        <s v="Wei Wilson" u="1"/>
        <s v="Wei Anderson" u="1"/>
        <s v="Wei Thomas" u="1"/>
        <s v="Wei Taylor" u="1"/>
        <s v="Wei Moore" u="1"/>
        <s v="Wei Jackson" u="1"/>
        <s v="Wei Martin" u="1"/>
        <s v="Wei Sharma" u="1"/>
        <s v="Wei Patel" u="1"/>
        <s v="Wei Reddy" u="1"/>
        <s v="Wei Gupta" u="1"/>
        <s v="Wei Verma" u="1"/>
        <s v="Wei Singh" u="1"/>
        <s v="Wei Kumar" u="1"/>
        <s v="Wei Wang" u="1"/>
        <s v="Wei Li" u="1"/>
        <s v="Wei Zhang" u="1"/>
        <s v="Wei Liu" u="1"/>
        <s v="Wei Chen" u="1"/>
        <s v="Wei Kim" u="1"/>
        <s v="Wei Park" u="1"/>
        <s v="Wei Tanaka" u="1"/>
        <s v="Wei Sato" u="1"/>
        <s v="Wei Fernandez" u="1"/>
        <s v="Wei Silva" u="1"/>
        <s v="Wei Costa" u="1"/>
        <s v="Wei Ali" u="1"/>
        <s v="Wei Hassan" u="1"/>
        <s v="Wei Kabaj" u="1"/>
        <s v="Wei Rahman" u="1"/>
        <s v="Wei Ahmadi" u="1"/>
        <s v="Wei Pham" u="1"/>
        <s v="Wei Kasdi" u="1"/>
        <s v="Wei White" u="1"/>
        <s v="Wei Clark" u="1"/>
        <s v="Wei Lewis" u="1"/>
        <s v="Li Smith" u="1"/>
        <s v="Li Johnson" u="1"/>
        <s v="Li Williams" u="1"/>
        <s v="Li Brown" u="1"/>
        <s v="Li Jones" u="1"/>
        <s v="Li Garcia" u="1"/>
        <s v="Li Miller" u="1"/>
        <s v="Li Davis" u="1"/>
        <s v="Li Rodriguez" u="1"/>
        <s v="Li Martinez" u="1"/>
        <s v="Li Hernandez" u="1"/>
        <s v="Li Lopez" u="1"/>
        <s v="Li Gonzalez" u="1"/>
        <s v="Li Wilson" u="1"/>
        <s v="Li Anderson" u="1"/>
        <s v="Li Thomas" u="1"/>
        <s v="Li Taylor" u="1"/>
        <s v="Li Moore" u="1"/>
        <s v="Li Jackson" u="1"/>
        <s v="Li Martin" u="1"/>
        <s v="Li Sharma" u="1"/>
        <s v="Li Patel" u="1"/>
        <s v="Li Reddy" u="1"/>
        <s v="Li Gupta" u="1"/>
        <s v="Li Verma" u="1"/>
        <s v="Li Singh" u="1"/>
        <s v="Li Kumar" u="1"/>
        <s v="Li Wang" u="1"/>
        <s v="Li Li" u="1"/>
        <s v="Li Zhang" u="1"/>
        <s v="Li Liu" u="1"/>
        <s v="Li Chen" u="1"/>
        <s v="Li Kim" u="1"/>
        <s v="Li Park" u="1"/>
        <s v="Li Tanaka" u="1"/>
        <s v="Li Sato" u="1"/>
        <s v="Li Fernandez" u="1"/>
        <s v="Li Silva" u="1"/>
        <s v="Li Costa" u="1"/>
        <s v="Li Ali" u="1"/>
        <s v="Li Hassan" u="1"/>
        <s v="Li Kabaj" u="1"/>
        <s v="Li Rahman" u="1"/>
        <s v="Li Ahmadi" u="1"/>
        <s v="Li Pham" u="1"/>
        <s v="Li Kasdi" u="1"/>
        <s v="Li White" u="1"/>
        <s v="Li Clark" u="1"/>
        <s v="Li Lewis" u="1"/>
        <s v="Chen Smith" u="1"/>
        <s v="Chen Johnson" u="1"/>
        <s v="Chen Williams" u="1"/>
        <s v="Chen Brown" u="1"/>
        <s v="Chen Jones" u="1"/>
        <s v="Chen Garcia" u="1"/>
        <s v="Chen Miller" u="1"/>
        <s v="Chen Davis" u="1"/>
        <s v="Chen Rodriguez" u="1"/>
        <s v="Chen Martinez" u="1"/>
        <s v="Chen Hernandez" u="1"/>
        <s v="Chen Lopez" u="1"/>
        <s v="Chen Gonzalez" u="1"/>
        <s v="Chen Wilson" u="1"/>
        <s v="Chen Anderson" u="1"/>
        <s v="Chen Thomas" u="1"/>
        <s v="Chen Taylor" u="1"/>
        <s v="Chen Moore" u="1"/>
        <s v="Chen Jackson" u="1"/>
        <s v="Chen Martin" u="1"/>
        <s v="Chen Sharma" u="1"/>
        <s v="Chen Patel" u="1"/>
        <s v="Chen Reddy" u="1"/>
        <s v="Chen Gupta" u="1"/>
        <s v="Chen Verma" u="1"/>
        <s v="Chen Singh" u="1"/>
        <s v="Chen Kumar" u="1"/>
        <s v="Chen Wang" u="1"/>
        <s v="Chen Li" u="1"/>
        <s v="Chen Zhang" u="1"/>
        <s v="Chen Liu" u="1"/>
        <s v="Chen Chen" u="1"/>
        <s v="Chen Kim" u="1"/>
        <s v="Chen Park" u="1"/>
        <s v="Chen Tanaka" u="1"/>
        <s v="Chen Sato" u="1"/>
        <s v="Chen Fernandez" u="1"/>
        <s v="Chen Silva" u="1"/>
        <s v="Chen Costa" u="1"/>
        <s v="Chen Ali" u="1"/>
        <s v="Chen Hassan" u="1"/>
        <s v="Chen Kabaj" u="1"/>
        <s v="Chen Rahman" u="1"/>
        <s v="Chen Ahmadi" u="1"/>
        <s v="Chen Pham" u="1"/>
        <s v="Chen Kasdi" u="1"/>
        <s v="Chen White" u="1"/>
        <s v="Chen Clark" u="1"/>
        <s v="Chen Lewis" u="1"/>
        <s v="Mei Smith" u="1"/>
        <s v="Mei Johnson" u="1"/>
        <s v="Mei Williams" u="1"/>
        <s v="Mei Brown" u="1"/>
        <s v="Mei Jones" u="1"/>
        <s v="Mei Garcia" u="1"/>
        <s v="Mei Miller" u="1"/>
        <s v="Mei Davis" u="1"/>
        <s v="Mei Rodriguez" u="1"/>
        <s v="Mei Martinez" u="1"/>
        <s v="Mei Hernandez" u="1"/>
        <s v="Mei Lopez" u="1"/>
        <s v="Mei Gonzalez" u="1"/>
        <s v="Mei Wilson" u="1"/>
        <s v="Mei Anderson" u="1"/>
        <s v="Mei Thomas" u="1"/>
        <s v="Mei Taylor" u="1"/>
        <s v="Mei Moore" u="1"/>
        <s v="Mei Jackson" u="1"/>
        <s v="Mei Martin" u="1"/>
        <s v="Mei Sharma" u="1"/>
        <s v="Mei Patel" u="1"/>
        <s v="Mei Reddy" u="1"/>
        <s v="Mei Gupta" u="1"/>
        <s v="Mei Verma" u="1"/>
        <s v="Mei Singh" u="1"/>
        <s v="Mei Kumar" u="1"/>
        <s v="Mei Wang" u="1"/>
        <s v="Mei Li" u="1"/>
        <s v="Mei Zhang" u="1"/>
        <s v="Mei Liu" u="1"/>
        <s v="Mei Chen" u="1"/>
        <s v="Mei Kim" u="1"/>
        <s v="Mei Park" u="1"/>
        <s v="Mei Tanaka" u="1"/>
        <s v="Mei Sato" u="1"/>
        <s v="Mei Fernandez" u="1"/>
        <s v="Mei Silva" u="1"/>
        <s v="Mei Costa" u="1"/>
        <s v="Mei Ali" u="1"/>
        <s v="Mei Hassan" u="1"/>
        <s v="Mei Kabaj" u="1"/>
        <s v="Mei Rahman" u="1"/>
        <s v="Mei Ahmadi" u="1"/>
        <s v="Mei Pham" u="1"/>
        <s v="Mei Kasdi" u="1"/>
        <s v="Mei White" u="1"/>
        <s v="Mei Clark" u="1"/>
        <s v="Mei Lewis" u="1"/>
        <s v="Carlos Smith" u="1"/>
        <s v="Carlos Johnson" u="1"/>
        <s v="Carlos Williams" u="1"/>
        <s v="Carlos Brown" u="1"/>
        <s v="Carlos Jones" u="1"/>
        <s v="Carlos Garcia" u="1"/>
        <s v="Carlos Miller" u="1"/>
        <s v="Carlos Davis" u="1"/>
        <s v="Carlos Rodriguez" u="1"/>
        <s v="Carlos Martinez" u="1"/>
        <s v="Carlos Hernandez" u="1"/>
        <s v="Carlos Lopez" u="1"/>
        <s v="Carlos Gonzalez" u="1"/>
        <s v="Carlos Wilson" u="1"/>
        <s v="Carlos Anderson" u="1"/>
        <s v="Carlos Thomas" u="1"/>
        <s v="Carlos Taylor" u="1"/>
        <s v="Carlos Moore" u="1"/>
        <s v="Carlos Jackson" u="1"/>
        <s v="Carlos Martin" u="1"/>
        <s v="Carlos Sharma" u="1"/>
        <s v="Carlos Patel" u="1"/>
        <s v="Carlos Reddy" u="1"/>
        <s v="Carlos Gupta" u="1"/>
        <s v="Carlos Verma" u="1"/>
        <s v="Carlos Singh" u="1"/>
        <s v="Carlos Kumar" u="1"/>
        <s v="Carlos Wang" u="1"/>
        <s v="Carlos Li" u="1"/>
        <s v="Carlos Zhang" u="1"/>
        <s v="Carlos Liu" u="1"/>
        <s v="Carlos Chen" u="1"/>
        <s v="Carlos Kim" u="1"/>
        <s v="Carlos Park" u="1"/>
        <s v="Carlos Tanaka" u="1"/>
        <s v="Carlos Sato" u="1"/>
        <s v="Carlos Fernandez" u="1"/>
        <s v="Carlos Silva" u="1"/>
        <s v="Carlos Costa" u="1"/>
        <s v="Carlos Ali" u="1"/>
        <s v="Carlos Hassan" u="1"/>
        <s v="Carlos Kabaj" u="1"/>
        <s v="Carlos Rahman" u="1"/>
        <s v="Carlos Ahmadi" u="1"/>
        <s v="Carlos Pham" u="1"/>
        <s v="Carlos Kasdi" u="1"/>
        <s v="Carlos White" u="1"/>
        <s v="Carlos Clark" u="1"/>
        <s v="Carlos Lewis" u="1"/>
        <s v="Sofia Smith" u="1"/>
        <s v="Sofia Johnson" u="1"/>
        <s v="Sofia Williams" u="1"/>
        <s v="Sofia Garcia" u="1"/>
        <s v="Sofia Miller" u="1"/>
        <s v="Sofia Davis" u="1"/>
        <s v="Sofia Rodriguez" u="1"/>
        <s v="Sofia Martinez" u="1"/>
        <s v="Sofia Hernandez" u="1"/>
        <s v="Sofia Lopez" u="1"/>
        <s v="Sofia Gonzalez" u="1"/>
        <s v="Sofia Wilson" u="1"/>
        <s v="Sofia Anderson" u="1"/>
        <s v="Sofia Thomas" u="1"/>
        <s v="Sofia Taylor" u="1"/>
        <s v="Sofia Moore" u="1"/>
        <s v="Sofia Jackson" u="1"/>
        <s v="Sofia Martin" u="1"/>
        <s v="Sofia Sharma" u="1"/>
        <s v="Sofia Patel" u="1"/>
        <s v="Sofia Reddy" u="1"/>
        <s v="Sofia Gupta" u="1"/>
        <s v="Sofia Verma" u="1"/>
        <s v="Sofia Singh" u="1"/>
        <s v="Sofia Kumar" u="1"/>
        <s v="Sofia Wang" u="1"/>
        <s v="Sofia Li" u="1"/>
        <s v="Sofia Zhang" u="1"/>
        <s v="Sofia Liu" u="1"/>
        <s v="Sofia Chen" u="1"/>
        <s v="Sofia Kim" u="1"/>
        <s v="Sofia Park" u="1"/>
        <s v="Sofia Tanaka" u="1"/>
        <s v="Sofia Sato" u="1"/>
        <s v="Sofia Fernandez" u="1"/>
        <s v="Sofia Silva" u="1"/>
        <s v="Sofia Costa" u="1"/>
        <s v="Sofia Ali" u="1"/>
        <s v="Sofia Hassan" u="1"/>
        <s v="Sofia Kabaj" u="1"/>
        <s v="Sofia Rahman" u="1"/>
        <s v="Sofia Ahmadi" u="1"/>
        <s v="Sofia Pham" u="1"/>
        <s v="Sofia Kasdi" u="1"/>
        <s v="Sofia White" u="1"/>
        <s v="Sofia Clark" u="1"/>
        <s v="Sofia Lewis" u="1"/>
        <s v="Mateo Smith" u="1"/>
        <s v="Mateo Johnson" u="1"/>
        <s v="Mateo Williams" u="1"/>
        <s v="Mateo Brown" u="1"/>
        <s v="Mateo Jones" u="1"/>
        <s v="Mateo Garcia" u="1"/>
        <s v="Mateo Miller" u="1"/>
        <s v="Mateo Davis" u="1"/>
        <s v="Mateo Rodriguez" u="1"/>
        <s v="Mateo Martinez" u="1"/>
        <s v="Mateo Hernandez" u="1"/>
        <s v="Mateo Lopez" u="1"/>
        <s v="Mateo Gonzalez" u="1"/>
        <s v="Mateo Wilson" u="1"/>
        <s v="Mateo Anderson" u="1"/>
        <s v="Mateo Thomas" u="1"/>
        <s v="Mateo Taylor" u="1"/>
        <s v="Mateo Moore" u="1"/>
        <s v="Mateo Jackson" u="1"/>
        <s v="Mateo Martin" u="1"/>
        <s v="Mateo Sharma" u="1"/>
        <s v="Mateo Patel" u="1"/>
        <s v="Mateo Reddy" u="1"/>
        <s v="Mateo Gupta" u="1"/>
        <s v="Mateo Verma" u="1"/>
        <s v="Mateo Singh" u="1"/>
        <s v="Mateo Kumar" u="1"/>
        <s v="Mateo Wang" u="1"/>
        <s v="Mateo Li" u="1"/>
        <s v="Mateo Zhang" u="1"/>
        <s v="Mateo Liu" u="1"/>
        <s v="Mateo Chen" u="1"/>
        <s v="Mateo Kim" u="1"/>
        <s v="Mateo Park" u="1"/>
        <s v="Mateo Tanaka" u="1"/>
        <s v="Mateo Sato" u="1"/>
        <s v="Mateo Fernandez" u="1"/>
        <s v="Mateo Silva" u="1"/>
        <s v="Mateo Costa" u="1"/>
        <s v="Mateo Ali" u="1"/>
        <s v="Mateo Hassan" u="1"/>
        <s v="Mateo Kabaj" u="1"/>
        <s v="Mateo Rahman" u="1"/>
        <s v="Mateo Ahmadi" u="1"/>
        <s v="Mateo Pham" u="1"/>
        <s v="Mateo Kasdi" u="1"/>
        <s v="Mateo White" u="1"/>
        <s v="Mateo Clark" u="1"/>
        <s v="Mateo Lewis" u="1"/>
        <s v="Valentina Smith" u="1"/>
        <s v="Valentina Johnson" u="1"/>
        <s v="Valentina Williams" u="1"/>
        <s v="Valentina Brown" u="1"/>
        <s v="Valentina Garcia" u="1"/>
        <s v="Valentina Miller" u="1"/>
        <s v="Valentina Davis" u="1"/>
        <s v="Valentina Martinez" u="1"/>
        <s v="Valentina Hernandez" u="1"/>
        <s v="Valentina Lopez" u="1"/>
        <s v="Valentina Gonzalez" u="1"/>
        <s v="Valentina Wilson" u="1"/>
        <s v="Valentina Anderson" u="1"/>
        <s v="Valentina Thomas" u="1"/>
        <s v="Valentina Taylor" u="1"/>
        <s v="Valentina Moore" u="1"/>
        <s v="Valentina Jackson" u="1"/>
        <s v="Valentina Martin" u="1"/>
        <s v="Valentina Sharma" u="1"/>
        <s v="Valentina Patel" u="1"/>
        <s v="Valentina Reddy" u="1"/>
        <s v="Valentina Gupta" u="1"/>
        <s v="Valentina Verma" u="1"/>
        <s v="Valentina Singh" u="1"/>
        <s v="Valentina Kumar" u="1"/>
        <s v="Valentina Wang" u="1"/>
        <s v="Valentina Li" u="1"/>
        <s v="Valentina Zhang" u="1"/>
        <s v="Valentina Liu" u="1"/>
        <s v="Valentina Kim" u="1"/>
        <s v="Valentina Park" u="1"/>
        <s v="Valentina Tanaka" u="1"/>
        <s v="Valentina Sato" u="1"/>
        <s v="Valentina Fernandez" u="1"/>
        <s v="Valentina Silva" u="1"/>
        <s v="Valentina Costa" u="1"/>
        <s v="Valentina Ali" u="1"/>
        <s v="Valentina Hassan" u="1"/>
        <s v="Valentina Kabaj" u="1"/>
        <s v="Valentina Rahman" u="1"/>
        <s v="Valentina Ahmadi" u="1"/>
        <s v="Valentina Pham" u="1"/>
        <s v="Valentina Kasdi" u="1"/>
        <s v="Valentina White" u="1"/>
        <s v="Valentina Clark" u="1"/>
        <s v="Valentina Lewis" u="1"/>
        <s v="Mohammed Smith" u="1"/>
        <s v="Mohammed Johnson" u="1"/>
        <s v="Mohammed Williams" u="1"/>
        <s v="Mohammed Brown" u="1"/>
        <s v="Mohammed Jones" u="1"/>
        <s v="Mohammed Garcia" u="1"/>
        <s v="Mohammed Miller" u="1"/>
        <s v="Mohammed Davis" u="1"/>
        <s v="Mohammed Rodriguez" u="1"/>
        <s v="Mohammed Martinez" u="1"/>
        <s v="Mohammed Hernandez" u="1"/>
        <s v="Mohammed Lopez" u="1"/>
        <s v="Mohammed Gonzalez" u="1"/>
        <s v="Mohammed Wilson" u="1"/>
        <s v="Mohammed Anderson" u="1"/>
        <s v="Mohammed Thomas" u="1"/>
        <s v="Mohammed Taylor" u="1"/>
        <s v="Mohammed Moore" u="1"/>
        <s v="Mohammed Jackson" u="1"/>
        <s v="Mohammed Martin" u="1"/>
        <s v="Mohammed Sharma" u="1"/>
        <s v="Mohammed Patel" u="1"/>
        <s v="Mohammed Reddy" u="1"/>
        <s v="Mohammed Gupta" u="1"/>
        <s v="Mohammed Verma" u="1"/>
        <s v="Mohammed Singh" u="1"/>
        <s v="Mohammed Kumar" u="1"/>
        <s v="Mohammed Wang" u="1"/>
        <s v="Mohammed Li" u="1"/>
        <s v="Mohammed Zhang" u="1"/>
        <s v="Mohammed Liu" u="1"/>
        <s v="Mohammed Chen" u="1"/>
        <s v="Mohammed Kim" u="1"/>
        <s v="Mohammed Park" u="1"/>
        <s v="Mohammed Tanaka" u="1"/>
        <s v="Mohammed Sato" u="1"/>
        <s v="Mohammed Fernandez" u="1"/>
        <s v="Mohammed Silva" u="1"/>
        <s v="Mohammed Costa" u="1"/>
        <s v="Mohammed Ali" u="1"/>
        <s v="Mohammed Hassan" u="1"/>
        <s v="Mohammed Kabaj" u="1"/>
        <s v="Mohammed Rahman" u="1"/>
        <s v="Mohammed Ahmadi" u="1"/>
        <s v="Mohammed Pham" u="1"/>
        <s v="Mohammed Kasdi" u="1"/>
        <s v="Mohammed White" u="1"/>
        <s v="Mohammed Clark" u="1"/>
        <s v="Mohammed Lewis" u="1"/>
        <s v="Fatima Smith" u="1"/>
        <s v="Fatima Johnson" u="1"/>
        <s v="Fatima Williams" u="1"/>
        <s v="Fatima Brown" u="1"/>
        <s v="Fatima Jones" u="1"/>
        <s v="Fatima Garcia" u="1"/>
        <s v="Fatima Miller" u="1"/>
        <s v="Fatima Davis" u="1"/>
        <s v="Fatima Rodriguez" u="1"/>
        <s v="Fatima Martinez" u="1"/>
        <s v="Fatima Hernandez" u="1"/>
        <s v="Fatima Lopez" u="1"/>
        <s v="Fatima Gonzalez" u="1"/>
        <s v="Fatima Wilson" u="1"/>
        <s v="Fatima Anderson" u="1"/>
        <s v="Fatima Thomas" u="1"/>
        <s v="Fatima Taylor" u="1"/>
        <s v="Fatima Moore" u="1"/>
        <s v="Fatima Jackson" u="1"/>
        <s v="Fatima Martin" u="1"/>
        <s v="Fatima Sharma" u="1"/>
        <s v="Fatima Patel" u="1"/>
        <s v="Fatima Reddy" u="1"/>
        <s v="Fatima Gupta" u="1"/>
        <s v="Fatima Verma" u="1"/>
        <s v="Fatima Singh" u="1"/>
        <s v="Fatima Kumar" u="1"/>
        <s v="Fatima Wang" u="1"/>
        <s v="Fatima Li" u="1"/>
        <s v="Fatima Zhang" u="1"/>
        <s v="Fatima Liu" u="1"/>
        <s v="Fatima Chen" u="1"/>
        <s v="Fatima Kim" u="1"/>
        <s v="Fatima Park" u="1"/>
        <s v="Fatima Tanaka" u="1"/>
        <s v="Fatima Sato" u="1"/>
        <s v="Fatima Fernandez" u="1"/>
        <s v="Fatima Silva" u="1"/>
        <s v="Fatima Costa" u="1"/>
        <s v="Fatima Ali" u="1"/>
        <s v="Fatima Hassan" u="1"/>
        <s v="Fatima Kabaj" u="1"/>
        <s v="Fatima Rahman" u="1"/>
        <s v="Fatima Ahmadi" u="1"/>
        <s v="Fatima Pham" u="1"/>
        <s v="Fatima Kasdi" u="1"/>
        <s v="Fatima White" u="1"/>
        <s v="Fatima Clark" u="1"/>
        <s v="Fatima Lewis" u="1"/>
        <s v="Omar Smith" u="1"/>
        <s v="Omar Johnson" u="1"/>
        <s v="Omar Williams" u="1"/>
        <s v="Omar Brown" u="1"/>
        <s v="Omar Jones" u="1"/>
        <s v="Omar Garcia" u="1"/>
        <s v="Omar Miller" u="1"/>
        <s v="Omar Davis" u="1"/>
        <s v="Omar Rodriguez" u="1"/>
        <s v="Omar Martinez" u="1"/>
        <s v="Omar Hernandez" u="1"/>
        <s v="Omar Lopez" u="1"/>
        <s v="Omar Gonzalez" u="1"/>
        <s v="Omar Wilson" u="1"/>
        <s v="Omar Anderson" u="1"/>
        <s v="Omar Thomas" u="1"/>
        <s v="Omar Taylor" u="1"/>
        <s v="Omar Moore" u="1"/>
        <s v="Omar Jackson" u="1"/>
        <s v="Omar Martin" u="1"/>
        <s v="Omar Sharma" u="1"/>
        <s v="Omar Patel" u="1"/>
        <s v="Omar Reddy" u="1"/>
        <s v="Omar Gupta" u="1"/>
        <s v="Omar Verma" u="1"/>
        <s v="Omar Singh" u="1"/>
        <s v="Omar Kumar" u="1"/>
        <s v="Omar Wang" u="1"/>
        <s v="Omar Li" u="1"/>
        <s v="Omar Zhang" u="1"/>
        <s v="Omar Liu" u="1"/>
        <s v="Omar Chen" u="1"/>
        <s v="Omar Kim" u="1"/>
        <s v="Omar Park" u="1"/>
        <s v="Omar Tanaka" u="1"/>
        <s v="Omar Sato" u="1"/>
        <s v="Omar Fernandez" u="1"/>
        <s v="Omar Silva" u="1"/>
        <s v="Omar Costa" u="1"/>
        <s v="Omar Ali" u="1"/>
        <s v="Omar Hassan" u="1"/>
        <s v="Omar Kabaj" u="1"/>
        <s v="Omar Rahman" u="1"/>
        <s v="Omar Ahmadi" u="1"/>
        <s v="Omar Pham" u="1"/>
        <s v="Omar Kasdi" u="1"/>
        <s v="Omar White" u="1"/>
        <s v="Omar Clark" u="1"/>
        <s v="Omar Lewis" u="1"/>
        <s v="Noah Smith" u="1"/>
        <s v="Noah Johnson" u="1"/>
        <s v="Noah Williams" u="1"/>
        <s v="Noah Brown" u="1"/>
        <s v="Noah Garcia" u="1"/>
        <s v="Noah Miller" u="1"/>
        <s v="Noah Gonzalez" u="1"/>
        <s v="Noah Wilson" u="1"/>
        <s v="Noah Anderson" u="1"/>
        <s v="Noah Thomas" u="1"/>
        <s v="Noah Taylor" u="1"/>
        <s v="Noah Moore" u="1"/>
        <s v="Noah Jackson" u="1"/>
        <s v="Noah Martin" u="1"/>
        <s v="Aisha Sharma" u="1"/>
        <s v="Wei Nguyen" u="1"/>
        <s v="James Kumar" u="1"/>
        <s v="James Tanaka" u="1"/>
        <s v="Omar Nguyen" u="1"/>
        <s v="James Ali" u="1"/>
        <s v="James Anderson" u="1"/>
        <s v="James Smith" u="1"/>
        <s v="Aisha Silva" u="1"/>
        <s v="Jack Khan" u="1"/>
        <s v="Aisha Nguyen" u="1"/>
        <s v="Aisha Wilson" u="1"/>
        <s v="James Garcia" u="1"/>
        <s v="James Johnson" u="1"/>
        <s v="Liam Khan" u="1"/>
        <s v="James Jackson" u="1"/>
        <s v="Aisha Davis" u="1"/>
        <s v="Aisha Patel" u="1"/>
        <s v="James Gonzalez" u="1"/>
        <s v="Aisha Verma" u="1"/>
        <s v="Sofia Khan" u="1"/>
        <s v="Mohammed Tran" u="1"/>
        <s v="Emma Khan" u="1"/>
        <s v="Aisha Tran" u="1"/>
        <s v="James Singh" u="1"/>
        <s v="James Lewis" u="1"/>
        <s v="Li Khan" u="1"/>
        <s v="Valentina Tran" u="1"/>
        <s v="Aarav Nguyen" u="1"/>
        <s v="Omar Tran" u="1"/>
        <s v="Aisha Kim" u="1"/>
        <s v="Ananya Tran" u="1"/>
        <s v="Aisha Kumar" u="1"/>
        <s v="James Liu" u="1"/>
        <s v="Aisha Tanaka" u="1"/>
        <s v="James Rahman" u="1"/>
        <s v="Fatima Tran" u="1"/>
        <s v="Carlos Nguyen" u="1"/>
        <s v="Mohammed Khan" u="1"/>
        <s v="Aisha Ali" u="1"/>
        <s v="Aisha Anderson" u="1"/>
        <s v="Aisha Smith" u="1"/>
        <s v="James Khan" u="1"/>
        <s v="Aarav Tran" u="1"/>
        <s v="Rahul Nguyen" u="1"/>
        <s v="Aisha Garcia" u="1"/>
        <s v="James Williams" u="1"/>
        <s v="Mateo Nguyen" u="1"/>
        <s v="James Pham" u="1"/>
        <s v="Jack Nguyen" u="1"/>
        <s v="Aisha Johnson" u="1"/>
        <s v="Chen Khan" u="1"/>
        <s v="Aisha Jackson" u="1"/>
        <s v="Valentina Nguyen" u="1"/>
        <s v="Aisha Gonzalez" u="1"/>
        <s v="James Taylor" u="1"/>
        <s v="Ananya Khan" u="1"/>
        <s v="Liam Nguyen" u="1"/>
        <s v="Fatima Khan" u="1"/>
        <s v="James Moore" u="1"/>
        <s v="James Wang" u="1"/>
        <s v="Aisha Singh" u="1"/>
        <s v="James Chen" u="1"/>
        <s v="Rahul Tran" u="1"/>
        <s v="James Fernandez" u="1"/>
        <s v="James Miller" u="1"/>
        <s v="Mateo Tran" u="1"/>
        <s v="Aisha Lewis" u="1"/>
        <s v="James Hernandez" u="1"/>
        <s v="Olivia Nguyen" u="1"/>
        <s v="Priya Nguyen" u="1"/>
        <s v="James Park" u="1"/>
        <s v="James Sato" u="1"/>
        <s v="James Costa" u="1"/>
        <s v="James Martin" u="1"/>
        <s v="Aisha Liu" u="1"/>
        <s v="James Hassan" u="1"/>
        <s v="Aisha Rahman" u="1"/>
        <s v="James Brown" u="1"/>
        <s v="Jack Tran" u="1"/>
        <s v="Aisha Khan" u="1"/>
        <s v="Priya Tran" u="1"/>
        <s v="Aisha Williams" u="1"/>
        <s v="Aisha Pham" u="1"/>
        <s v="James Thomas" u="1"/>
        <s v="Liam Tran" u="1"/>
        <s v="Aisha Taylor" u="1"/>
        <s v="Chen Nguyen" u="1"/>
        <s v="Aisha Moore" u="1"/>
        <s v="James Zhang" u="1"/>
        <s v="Aisha Wang" u="1"/>
        <s v="James Jones" u="1"/>
        <s v="Emma Tran" u="1"/>
        <s v="Aisha Chen" u="1"/>
        <s v="Aisha Fernandez" u="1"/>
        <s v="Li Tran" u="1"/>
        <s v="James Li" u="1"/>
        <s v="Aisha Miller" u="1"/>
        <s v="Aisha Hernandez" u="1"/>
        <s v="Aarav Khan" u="1"/>
        <s v="Aisha Park" u="1"/>
        <s v="Aisha Sato" u="1"/>
        <s v="Aisha Costa" u="1"/>
        <s v="Aisha Martin" u="1"/>
        <s v="Aisha Hassan" u="1"/>
        <s v="Sofia Nguyen" u="1"/>
        <s v="James Lopez" u="1"/>
        <s v="Carlos Tran" u="1"/>
        <s v="Aisha Brown" u="1"/>
        <s v="James Reddy" u="1"/>
        <s v="James Gupta" u="1"/>
        <s v="James White" u="1"/>
        <s v="Rahul Khan" u="1"/>
        <s v="Mateo Khan" u="1"/>
        <s v="James Rodriguez" u="1"/>
        <s v="James Martinez" u="1"/>
        <s v="Omar Khan" u="1"/>
        <s v="Aisha Thomas" u="1"/>
        <s v="Chen Tran" u="1"/>
        <s v="Ananya Nguyen" u="1"/>
        <s v="Mohammed Nguyen" u="1"/>
        <s v="James Sharma" u="1"/>
        <s v="Sofia Tran" u="1"/>
        <s v="Fatima Nguyen" u="1"/>
        <s v="Mei Khan" u="1"/>
        <s v="Aisha Zhang" u="1"/>
        <s v="Carlos Khan" u="1"/>
        <s v="Aisha Jones" u="1"/>
        <s v="James Silva" u="1"/>
        <s v="James Nguyen" u="1"/>
        <s v="James Wilson" u="1"/>
        <s v="Aisha Li" u="1"/>
        <s v="Mei Tran" u="1"/>
        <s v="Olivia Tran" u="1"/>
        <s v="Priya Khan" u="1"/>
        <s v="Wei Khan" u="1"/>
        <s v="James Davis" u="1"/>
        <s v="James Patel" u="1"/>
        <s v="Valentina Khan" u="1"/>
        <s v="Li Nguyen" u="1"/>
        <s v="James Verma" u="1"/>
        <s v="Aisha Lopez" u="1"/>
        <s v="Wei Tran" u="1"/>
        <s v="James Tran" u="1"/>
        <s v="Mei Nguyen" u="1"/>
        <s v="Aisha Reddy" u="1"/>
        <s v="Aisha Gupta" u="1"/>
        <s v="Aisha White" u="1"/>
        <s v="Aisha Rodriguez" u="1"/>
        <s v="Aisha Clark" u="1"/>
        <s v="Aisha Martinez" u="1"/>
        <s v="Olivia Khan" u="1"/>
        <s v="James Kim" u="1"/>
      </sharedItems>
    </cacheField>
    <cacheField name="Ship Date" numFmtId="14">
      <sharedItems containsSemiMixedTypes="0" containsNonDate="0" containsDate="1" containsString="0" minDate="2024-01-04T00:00:00" maxDate="2026-06-25T00:00:00"/>
    </cacheField>
    <cacheField name="Product Name" numFmtId="0">
      <sharedItems count="10">
        <s v="Kurtha"/>
        <s v="Polo"/>
        <s v="Yoga Mat"/>
        <s v="Mixer"/>
        <s v="Galaxy A55"/>
        <s v="Chair"/>
        <s v="Biscuits"/>
        <s v="Inspiron"/>
        <s v="Runner"/>
        <s v="Face Wash"/>
      </sharedItems>
    </cacheField>
    <cacheField name="Category" numFmtId="0">
      <sharedItems count="6">
        <s v="Beauty"/>
        <s v="Fashion"/>
        <s v="Sports"/>
        <s v="Home"/>
        <s v="Electronics"/>
        <s v="Grocery"/>
      </sharedItems>
    </cacheField>
    <cacheField name="Sub Category" numFmtId="0">
      <sharedItems/>
    </cacheField>
    <cacheField name="State" numFmtId="0">
      <sharedItems count="25">
        <s v="Massachusetts"/>
        <s v="California"/>
        <s v="Ohio"/>
        <s v="Texas"/>
        <s v="Arizona"/>
        <s v="Indiana"/>
        <s v="North Carolina"/>
        <s v="New York"/>
        <s v="Florida"/>
        <s v="Alabama"/>
        <s v="Wisconsin"/>
        <s v="New Jersey"/>
        <s v="Michigan"/>
        <s v="Georgia"/>
        <s v="Missouri"/>
        <s v="Colorado"/>
        <s v="Washington"/>
        <s v="Pennsylvania"/>
        <s v="Tennessee"/>
        <s v="Maryland"/>
        <s v="Virginia"/>
        <s v="South Carolina"/>
        <s v="Illinois"/>
        <s v="Minnesota"/>
        <s v="Oregon"/>
      </sharedItems>
    </cacheField>
    <cacheField name="City" numFmtId="0">
      <sharedItems/>
    </cacheField>
    <cacheField name="Gender" numFmtId="0">
      <sharedItems/>
    </cacheField>
    <cacheField name="Age" numFmtId="0">
      <sharedItems containsSemiMixedTypes="0" containsString="0" containsNumber="1" containsInteger="1" minValue="18" maxValue="65"/>
    </cacheField>
    <cacheField name="Quantity" numFmtId="0">
      <sharedItems containsSemiMixedTypes="0" containsString="0" containsNumber="1" minValue="1" maxValue="5"/>
    </cacheField>
    <cacheField name="Discount %" numFmtId="0">
      <sharedItems containsSemiMixedTypes="0" containsString="0" containsNumber="1" minValue="0" maxValue="52.5"/>
    </cacheField>
    <cacheField name="Product ID" numFmtId="0">
      <sharedItems/>
    </cacheField>
    <cacheField name="Shipping Mode" numFmtId="0">
      <sharedItems count="3">
        <s v="Standard"/>
        <s v="Express"/>
        <s v="Same Day"/>
      </sharedItems>
    </cacheField>
    <cacheField name="Payment Mode" numFmtId="0">
      <sharedItems count="5">
        <s v="COD"/>
        <s v="Credit Card"/>
        <s v="Debit Card"/>
        <s v="Wallet"/>
        <s v="UPI"/>
      </sharedItems>
    </cacheField>
    <cacheField name="Order Status" numFmtId="0">
      <sharedItems count="4">
        <s v="Returned"/>
        <s v="Cancelled"/>
        <s v="Delivered"/>
        <s v="Pending"/>
      </sharedItems>
    </cacheField>
    <cacheField name="Brand" numFmtId="0">
      <sharedItems/>
    </cacheField>
    <cacheField name=" Ratings" numFmtId="0">
      <sharedItems containsSemiMixedTypes="0" containsString="0" containsNumber="1" containsInteger="1" minValue="1" maxValue="8"/>
    </cacheField>
    <cacheField name="Unit Price" numFmtId="1">
      <sharedItems containsSemiMixedTypes="0" containsString="0" containsNumber="1" minValue="10.08" maxValue="997.49"/>
    </cacheField>
    <cacheField name="Cost" numFmtId="1">
      <sharedItems containsSemiMixedTypes="0" containsString="0" containsNumber="1" minValue="4.7699999999999996" maxValue="3725.16"/>
    </cacheField>
    <cacheField name="Delivery Days" numFmtId="0">
      <sharedItems containsSemiMixedTypes="0" containsString="0" containsNumber="1" containsInteger="1" minValue="1" maxValue="7"/>
    </cacheField>
    <cacheField name="Quarter" numFmtId="0">
      <sharedItems/>
    </cacheField>
    <cacheField name="Year" numFmtId="0">
      <sharedItems containsString="0" containsBlank="1" containsNumber="1" containsInteger="1" minValue="2024" maxValue="2026"/>
    </cacheField>
    <cacheField name="Month" numFmtId="0">
      <sharedItems count="12">
        <s v="Jan"/>
        <s v="Sep"/>
        <s v="Jun"/>
        <s v="Apr"/>
        <s v="Jul"/>
        <s v="Feb"/>
        <s v="Mar"/>
        <s v="Dec"/>
        <s v="Oct"/>
        <s v="May"/>
        <s v="Nov"/>
        <s v="Aug"/>
      </sharedItems>
    </cacheField>
    <cacheField name="Sales" numFmtId="1">
      <sharedItems containsSemiMixedTypes="0" containsString="0" containsNumber="1" minValue="7.0559999999999992" maxValue="4892.6000000000004"/>
    </cacheField>
    <cacheField name="Profit" numFmtId="1">
      <sharedItems containsSemiMixedTypes="0" containsString="0" containsNumber="1" minValue="-917.87999999999988" maxValue="2686.8149999999996"/>
    </cacheField>
  </cacheFields>
  <extLst>
    <ext xmlns:x14="http://schemas.microsoft.com/office/spreadsheetml/2009/9/main" uri="{725AE2AE-9491-48be-B2B4-4EB974FC3084}">
      <x14:pivotCacheDefinition pivotCacheId="15744119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8">
  <r>
    <s v="ORD00001"/>
    <d v="2024-01-13T00:00:00"/>
    <s v="C3873"/>
    <x v="0"/>
    <d v="2024-01-14T00:00:00"/>
    <x v="0"/>
    <x v="0"/>
    <s v="Skincare"/>
    <x v="0"/>
    <s v="Worcester"/>
    <s v="Male"/>
    <n v="52"/>
    <n v="4"/>
    <n v="0"/>
    <s v="P444"/>
    <x v="0"/>
    <x v="0"/>
    <x v="0"/>
    <s v="Nivea"/>
    <n v="3"/>
    <n v="147.79"/>
    <n v="401.74"/>
    <n v="1"/>
    <s v="Q1"/>
    <n v="2024"/>
    <x v="0"/>
    <n v="591.16"/>
    <n v="189.41999999999996"/>
  </r>
  <r>
    <s v="ORD00002"/>
    <d v="2024-09-03T00:00:00"/>
    <s v="C7239"/>
    <x v="1"/>
    <d v="2024-09-05T00:00:00"/>
    <x v="1"/>
    <x v="1"/>
    <s v="Shirt"/>
    <x v="1"/>
    <s v="Sacramento"/>
    <s v="Male"/>
    <n v="26"/>
    <n v="4"/>
    <n v="30"/>
    <s v="P225"/>
    <x v="1"/>
    <x v="1"/>
    <x v="1"/>
    <s v="Puma"/>
    <n v="1"/>
    <n v="154.13999999999999"/>
    <n v="309.97000000000003"/>
    <n v="2"/>
    <s v="Q3"/>
    <n v="2024"/>
    <x v="1"/>
    <n v="431.59199999999993"/>
    <n v="121.6219999999999"/>
  </r>
  <r>
    <s v="ORD00003"/>
    <d v="2024-06-19T00:00:00"/>
    <s v="C4974"/>
    <x v="2"/>
    <d v="2024-06-25T00:00:00"/>
    <x v="1"/>
    <x v="1"/>
    <s v="Shirt"/>
    <x v="2"/>
    <s v="Columbus"/>
    <s v="Male"/>
    <n v="53"/>
    <n v="2"/>
    <n v="30"/>
    <s v="P954"/>
    <x v="0"/>
    <x v="0"/>
    <x v="1"/>
    <s v="Puma"/>
    <n v="1"/>
    <n v="994.37"/>
    <n v="729.45"/>
    <n v="6"/>
    <s v="Q2"/>
    <n v="2024"/>
    <x v="2"/>
    <n v="1392.1179999999999"/>
    <n v="662.66799999999989"/>
  </r>
  <r>
    <s v="ORD00004"/>
    <d v="2026-04-06T00:00:00"/>
    <s v="C5072"/>
    <x v="3"/>
    <d v="2026-04-08T00:00:00"/>
    <x v="2"/>
    <x v="2"/>
    <s v="Fitness"/>
    <x v="3"/>
    <s v="Dallas"/>
    <s v="Female"/>
    <n v="65"/>
    <n v="2"/>
    <n v="0"/>
    <s v="P414"/>
    <x v="1"/>
    <x v="2"/>
    <x v="0"/>
    <s v="Decathlon"/>
    <n v="5"/>
    <n v="679.98"/>
    <n v="969.66"/>
    <n v="2"/>
    <s v="Q2"/>
    <n v="2026"/>
    <x v="3"/>
    <n v="1359.96"/>
    <n v="390.30000000000007"/>
  </r>
  <r>
    <s v="ORD00005"/>
    <d v="2025-07-31T00:00:00"/>
    <s v="C2414"/>
    <x v="4"/>
    <d v="2025-08-02T00:00:00"/>
    <x v="0"/>
    <x v="0"/>
    <s v="Skincare"/>
    <x v="2"/>
    <s v="Cleveland"/>
    <s v="Male"/>
    <n v="19"/>
    <n v="2"/>
    <n v="20"/>
    <s v="P160"/>
    <x v="0"/>
    <x v="0"/>
    <x v="2"/>
    <s v="Nivea"/>
    <n v="4"/>
    <n v="724.19"/>
    <n v="837.69"/>
    <n v="2"/>
    <s v="Q3"/>
    <n v="2025"/>
    <x v="4"/>
    <n v="1158.7040000000002"/>
    <n v="321.01400000000012"/>
  </r>
  <r>
    <s v="ORD00006"/>
    <d v="2026-02-20T00:00:00"/>
    <s v="C5062"/>
    <x v="5"/>
    <d v="2026-02-26T00:00:00"/>
    <x v="3"/>
    <x v="3"/>
    <s v="Kitchen"/>
    <x v="4"/>
    <s v="Tucson"/>
    <s v="Male"/>
    <n v="51"/>
    <n v="3"/>
    <n v="30"/>
    <s v="P393"/>
    <x v="0"/>
    <x v="3"/>
    <x v="3"/>
    <s v="Philips"/>
    <n v="4"/>
    <n v="910.15"/>
    <n v="967.22"/>
    <n v="6"/>
    <s v="Q1"/>
    <n v="2026"/>
    <x v="5"/>
    <n v="1911.3149999999998"/>
    <n v="944.0949999999998"/>
  </r>
  <r>
    <s v="ORD00007"/>
    <d v="2024-04-15T00:00:00"/>
    <s v="C2899"/>
    <x v="6"/>
    <d v="2024-04-21T00:00:00"/>
    <x v="0"/>
    <x v="0"/>
    <s v="Skincare"/>
    <x v="5"/>
    <s v="Indianapolis"/>
    <s v="Male"/>
    <n v="57"/>
    <n v="3"/>
    <n v="10"/>
    <s v="P787"/>
    <x v="2"/>
    <x v="1"/>
    <x v="3"/>
    <s v="Nivea"/>
    <n v="5"/>
    <n v="142.16999999999999"/>
    <n v="197.5"/>
    <n v="6"/>
    <s v="Q2"/>
    <n v="2024"/>
    <x v="3"/>
    <n v="383.85899999999998"/>
    <n v="186.35899999999998"/>
  </r>
  <r>
    <s v="ORD00008"/>
    <d v="2025-02-06T00:00:00"/>
    <s v="C5582"/>
    <x v="7"/>
    <d v="2025-02-10T00:00:00"/>
    <x v="2"/>
    <x v="2"/>
    <s v="Fitness"/>
    <x v="6"/>
    <s v="Greensboro"/>
    <s v="Male"/>
    <n v="58"/>
    <n v="4"/>
    <n v="30"/>
    <s v="P897"/>
    <x v="2"/>
    <x v="1"/>
    <x v="3"/>
    <s v="Decathlon"/>
    <n v="2"/>
    <n v="641.74"/>
    <n v="1161.71"/>
    <n v="4"/>
    <s v="Q1"/>
    <n v="2025"/>
    <x v="5"/>
    <n v="1796.8719999999998"/>
    <n v="635.16199999999981"/>
  </r>
  <r>
    <s v="ORD00009"/>
    <d v="2024-04-19T00:00:00"/>
    <s v="C5931"/>
    <x v="8"/>
    <d v="2024-04-26T00:00:00"/>
    <x v="2"/>
    <x v="2"/>
    <s v="Fitness"/>
    <x v="4"/>
    <s v="Phoenix"/>
    <s v="Female"/>
    <n v="49"/>
    <n v="1"/>
    <n v="20"/>
    <s v="P259"/>
    <x v="0"/>
    <x v="3"/>
    <x v="2"/>
    <s v="Decathlon"/>
    <n v="4"/>
    <n v="165.15"/>
    <n v="104.84"/>
    <n v="7"/>
    <s v="Q2"/>
    <n v="2024"/>
    <x v="3"/>
    <n v="132.12"/>
    <n v="27.28"/>
  </r>
  <r>
    <s v="ORD00010"/>
    <d v="2025-03-08T00:00:00"/>
    <s v="C7304"/>
    <x v="9"/>
    <d v="2025-03-11T00:00:00"/>
    <x v="1"/>
    <x v="1"/>
    <s v="Shirt"/>
    <x v="3"/>
    <s v="San Antonio"/>
    <s v="Female"/>
    <n v="43"/>
    <n v="2"/>
    <n v="20"/>
    <s v="P691"/>
    <x v="1"/>
    <x v="1"/>
    <x v="1"/>
    <s v="Puma"/>
    <n v="2"/>
    <n v="567.08000000000004"/>
    <n v="726.07"/>
    <n v="3"/>
    <s v="Q1"/>
    <n v="2025"/>
    <x v="6"/>
    <n v="907.32800000000009"/>
    <n v="181.25800000000004"/>
  </r>
  <r>
    <s v="ORD00011"/>
    <d v="2024-03-25T00:00:00"/>
    <s v="C6637"/>
    <x v="10"/>
    <d v="2024-04-01T00:00:00"/>
    <x v="0"/>
    <x v="0"/>
    <s v="Skincare"/>
    <x v="7"/>
    <s v="Rochester"/>
    <s v="Female"/>
    <n v="18"/>
    <n v="3"/>
    <n v="15"/>
    <s v="P497"/>
    <x v="0"/>
    <x v="2"/>
    <x v="3"/>
    <s v="Nivea"/>
    <n v="4"/>
    <n v="774.08"/>
    <n v="1359.3"/>
    <n v="7"/>
    <s v="Q1"/>
    <n v="2024"/>
    <x v="6"/>
    <n v="1973.9040000000002"/>
    <n v="614.60400000000027"/>
  </r>
  <r>
    <s v="ORD00012"/>
    <d v="2025-07-16T00:00:00"/>
    <s v="C7119"/>
    <x v="11"/>
    <d v="2025-07-17T00:00:00"/>
    <x v="3"/>
    <x v="3"/>
    <s v="Kitchen"/>
    <x v="8"/>
    <s v="Miami"/>
    <s v="Female"/>
    <n v="29"/>
    <n v="4"/>
    <n v="25"/>
    <s v="P165"/>
    <x v="0"/>
    <x v="0"/>
    <x v="0"/>
    <s v="Philips"/>
    <n v="3"/>
    <n v="551.89"/>
    <n v="939.41"/>
    <n v="1"/>
    <s v="Q3"/>
    <n v="2025"/>
    <x v="4"/>
    <n v="1655.67"/>
    <n v="716.2600000000001"/>
  </r>
  <r>
    <s v="ORD00013"/>
    <d v="2024-12-13T00:00:00"/>
    <s v="C5491"/>
    <x v="12"/>
    <d v="2024-12-18T00:00:00"/>
    <x v="1"/>
    <x v="1"/>
    <s v="Shirt"/>
    <x v="9"/>
    <s v="Birmingham"/>
    <s v="Female"/>
    <n v="62"/>
    <n v="5"/>
    <n v="25"/>
    <s v="P919"/>
    <x v="2"/>
    <x v="3"/>
    <x v="2"/>
    <s v="Puma"/>
    <n v="4"/>
    <n v="346.75"/>
    <n v="1102.6400000000001"/>
    <n v="5"/>
    <s v="Q4"/>
    <n v="2024"/>
    <x v="7"/>
    <n v="1300.3125"/>
    <n v="197.6724999999999"/>
  </r>
  <r>
    <s v="ORD00014"/>
    <d v="2025-10-25T00:00:00"/>
    <s v="C7673"/>
    <x v="13"/>
    <d v="2025-10-26T00:00:00"/>
    <x v="4"/>
    <x v="4"/>
    <s v="Mobile"/>
    <x v="1"/>
    <s v="San Diego"/>
    <s v="Male"/>
    <n v="38"/>
    <n v="3"/>
    <n v="10"/>
    <s v="P357"/>
    <x v="1"/>
    <x v="0"/>
    <x v="0"/>
    <s v="Samsung"/>
    <n v="1"/>
    <n v="790.15"/>
    <n v="1446.64"/>
    <n v="1"/>
    <s v="Q4"/>
    <n v="2025"/>
    <x v="8"/>
    <n v="2133.4049999999997"/>
    <n v="686.76499999999965"/>
  </r>
  <r>
    <s v="ORD00015"/>
    <d v="2024-12-31T00:00:00"/>
    <s v="C4301"/>
    <x v="14"/>
    <d v="2025-01-06T00:00:00"/>
    <x v="0"/>
    <x v="0"/>
    <s v="Skincare"/>
    <x v="3"/>
    <s v="Austin"/>
    <s v="Female"/>
    <n v="26"/>
    <n v="3"/>
    <n v="15"/>
    <s v="P902"/>
    <x v="2"/>
    <x v="2"/>
    <x v="1"/>
    <s v="Nivea"/>
    <n v="1"/>
    <n v="358.48"/>
    <n v="612.88"/>
    <n v="6"/>
    <s v="Q4"/>
    <n v="2024"/>
    <x v="7"/>
    <n v="914.12400000000002"/>
    <n v="301.24400000000003"/>
  </r>
  <r>
    <s v="ORD00016"/>
    <d v="2024-10-25T00:00:00"/>
    <s v="C5335"/>
    <x v="15"/>
    <d v="2024-10-31T00:00:00"/>
    <x v="2"/>
    <x v="2"/>
    <s v="Fitness"/>
    <x v="7"/>
    <s v="Albany"/>
    <s v="Female"/>
    <n v="27"/>
    <n v="2"/>
    <n v="5"/>
    <s v="P674"/>
    <x v="0"/>
    <x v="1"/>
    <x v="3"/>
    <s v="Decathlon"/>
    <n v="1"/>
    <n v="377.36"/>
    <n v="456.96"/>
    <n v="6"/>
    <s v="Q4"/>
    <n v="2024"/>
    <x v="8"/>
    <n v="716.98400000000004"/>
    <n v="260.02400000000006"/>
  </r>
  <r>
    <s v="ORD00017"/>
    <d v="2026-05-11T00:00:00"/>
    <s v="C6532"/>
    <x v="16"/>
    <d v="2026-05-13T00:00:00"/>
    <x v="1"/>
    <x v="1"/>
    <s v="Shirt"/>
    <x v="7"/>
    <s v="Rochester"/>
    <s v="Female"/>
    <n v="39"/>
    <n v="2"/>
    <n v="0"/>
    <s v="P924"/>
    <x v="2"/>
    <x v="1"/>
    <x v="1"/>
    <s v="Puma"/>
    <n v="3"/>
    <n v="764.21"/>
    <n v="861.38"/>
    <n v="2"/>
    <s v="Q2"/>
    <n v="2026"/>
    <x v="9"/>
    <n v="1528.42"/>
    <n v="667.04000000000008"/>
  </r>
  <r>
    <s v="ORD00018"/>
    <d v="2025-11-29T00:00:00"/>
    <s v="C7166"/>
    <x v="17"/>
    <d v="2025-11-30T00:00:00"/>
    <x v="5"/>
    <x v="3"/>
    <s v="Furniture"/>
    <x v="10"/>
    <s v="Madison"/>
    <s v="Female"/>
    <n v="55"/>
    <n v="3"/>
    <n v="15"/>
    <s v="P398"/>
    <x v="0"/>
    <x v="4"/>
    <x v="0"/>
    <s v="IKEA"/>
    <n v="1"/>
    <n v="381.26"/>
    <n v="652.4"/>
    <n v="1"/>
    <s v="Q4"/>
    <n v="2025"/>
    <x v="10"/>
    <n v="972.21299999999997"/>
    <n v="319.81299999999999"/>
  </r>
  <r>
    <s v="ORD00019"/>
    <d v="2025-07-03T00:00:00"/>
    <s v="C3936"/>
    <x v="18"/>
    <d v="2025-07-05T00:00:00"/>
    <x v="6"/>
    <x v="5"/>
    <s v="Snacks"/>
    <x v="0"/>
    <s v="Boston"/>
    <s v="Female"/>
    <n v="64"/>
    <n v="4"/>
    <n v="10"/>
    <s v="P954"/>
    <x v="2"/>
    <x v="2"/>
    <x v="0"/>
    <s v="Britannia"/>
    <n v="2"/>
    <n v="491.42"/>
    <n v="1374.6"/>
    <n v="2"/>
    <s v="Q3"/>
    <n v="2025"/>
    <x v="4"/>
    <n v="1769.1120000000001"/>
    <n v="394.51200000000017"/>
  </r>
  <r>
    <s v="ORD00020"/>
    <d v="2024-12-18T00:00:00"/>
    <s v="C3618"/>
    <x v="19"/>
    <d v="2024-12-21T00:00:00"/>
    <x v="7"/>
    <x v="4"/>
    <s v="Laptop"/>
    <x v="2"/>
    <s v="Cleveland"/>
    <s v="Female"/>
    <n v="56"/>
    <n v="5"/>
    <n v="5"/>
    <s v="P932"/>
    <x v="2"/>
    <x v="3"/>
    <x v="3"/>
    <s v="Dell"/>
    <n v="3"/>
    <n v="799.49"/>
    <n v="2670.77"/>
    <n v="3"/>
    <s v="Q4"/>
    <n v="2024"/>
    <x v="7"/>
    <n v="3797.5774999999999"/>
    <n v="1126.8074999999999"/>
  </r>
  <r>
    <s v="ORD00021"/>
    <d v="2025-09-09T00:00:00"/>
    <s v="C8642"/>
    <x v="20"/>
    <d v="2025-09-15T00:00:00"/>
    <x v="4"/>
    <x v="4"/>
    <s v="Mobile"/>
    <x v="11"/>
    <s v="Newark"/>
    <s v="Male"/>
    <n v="52"/>
    <n v="3"/>
    <n v="5"/>
    <s v="P125"/>
    <x v="2"/>
    <x v="0"/>
    <x v="3"/>
    <s v="Samsung"/>
    <n v="2"/>
    <n v="812.35"/>
    <n v="1879.78"/>
    <n v="6"/>
    <s v="Q3"/>
    <n v="2025"/>
    <x v="1"/>
    <n v="2315.1975000000002"/>
    <n v="435.41750000000025"/>
  </r>
  <r>
    <s v="ORD00022"/>
    <d v="2026-03-08T00:00:00"/>
    <s v="C9290"/>
    <x v="21"/>
    <d v="2026-03-13T00:00:00"/>
    <x v="2"/>
    <x v="2"/>
    <s v="Fitness"/>
    <x v="7"/>
    <s v="New York"/>
    <s v="Male"/>
    <n v="27"/>
    <n v="3"/>
    <n v="15"/>
    <s v="P793"/>
    <x v="1"/>
    <x v="2"/>
    <x v="2"/>
    <s v="Decathlon"/>
    <n v="3"/>
    <n v="186.96"/>
    <n v="367.8"/>
    <n v="5"/>
    <s v="Q1"/>
    <n v="2026"/>
    <x v="6"/>
    <n v="476.74799999999999"/>
    <n v="108.94799999999998"/>
  </r>
  <r>
    <s v="ORD00023"/>
    <d v="2025-02-23T00:00:00"/>
    <s v="C1341"/>
    <x v="22"/>
    <d v="2025-02-28T00:00:00"/>
    <x v="8"/>
    <x v="1"/>
    <s v="Shoes"/>
    <x v="5"/>
    <s v="Fort Wayne"/>
    <s v="Male"/>
    <n v="36"/>
    <n v="2"/>
    <n v="10"/>
    <s v="P819"/>
    <x v="0"/>
    <x v="2"/>
    <x v="0"/>
    <s v="Nike"/>
    <n v="2"/>
    <n v="520.71"/>
    <n v="649.54999999999995"/>
    <n v="5"/>
    <s v="Q1"/>
    <n v="2025"/>
    <x v="5"/>
    <n v="937.27800000000013"/>
    <n v="287.72800000000018"/>
  </r>
  <r>
    <s v="ORD00024"/>
    <d v="2025-01-22T00:00:00"/>
    <s v="C3359"/>
    <x v="23"/>
    <d v="2025-01-27T00:00:00"/>
    <x v="4"/>
    <x v="4"/>
    <s v="Mobile"/>
    <x v="1"/>
    <s v="San Francisco"/>
    <s v="Male"/>
    <n v="60"/>
    <n v="3"/>
    <n v="15"/>
    <s v="P804"/>
    <x v="1"/>
    <x v="1"/>
    <x v="0"/>
    <s v="Samsung"/>
    <n v="5"/>
    <n v="332.83"/>
    <n v="461.86"/>
    <n v="5"/>
    <s v="Q1"/>
    <n v="2025"/>
    <x v="0"/>
    <n v="848.7165"/>
    <n v="386.85649999999998"/>
  </r>
  <r>
    <s v="ORD00025"/>
    <d v="2025-11-29T00:00:00"/>
    <s v="C3148"/>
    <x v="24"/>
    <d v="2025-12-04T00:00:00"/>
    <x v="0"/>
    <x v="0"/>
    <s v="Skincare"/>
    <x v="7"/>
    <s v="Buffalo"/>
    <s v="Male"/>
    <n v="57"/>
    <n v="5"/>
    <n v="5"/>
    <s v="P503"/>
    <x v="1"/>
    <x v="3"/>
    <x v="1"/>
    <s v="Nivea"/>
    <n v="4"/>
    <n v="247.29"/>
    <n v="751.1"/>
    <n v="5"/>
    <s v="Q4"/>
    <n v="2025"/>
    <x v="10"/>
    <n v="1174.6275000000001"/>
    <n v="423.52750000000003"/>
  </r>
  <r>
    <s v="ORD00026"/>
    <d v="2024-11-28T00:00:00"/>
    <s v="C5003"/>
    <x v="25"/>
    <d v="2024-11-30T00:00:00"/>
    <x v="6"/>
    <x v="5"/>
    <s v="Snacks"/>
    <x v="3"/>
    <s v="San Antonio"/>
    <s v="Male"/>
    <n v="22"/>
    <n v="5"/>
    <n v="5"/>
    <s v="P343"/>
    <x v="2"/>
    <x v="1"/>
    <x v="1"/>
    <s v="Britannia"/>
    <n v="2"/>
    <n v="930.57"/>
    <n v="3376.63"/>
    <n v="2"/>
    <s v="Q4"/>
    <n v="2024"/>
    <x v="10"/>
    <n v="4420.2075000000004"/>
    <n v="1043.5775000000003"/>
  </r>
  <r>
    <s v="ORD00027"/>
    <d v="2026-05-18T00:00:00"/>
    <s v="C6717"/>
    <x v="26"/>
    <d v="2026-05-22T00:00:00"/>
    <x v="0"/>
    <x v="0"/>
    <s v="Skincare"/>
    <x v="11"/>
    <s v="Jersey City"/>
    <s v="Female"/>
    <n v="29"/>
    <n v="3"/>
    <n v="5"/>
    <s v="P630"/>
    <x v="2"/>
    <x v="1"/>
    <x v="3"/>
    <s v="Nivea"/>
    <n v="4"/>
    <n v="497.17"/>
    <n v="1135.4000000000001"/>
    <n v="4"/>
    <s v="Q2"/>
    <n v="2026"/>
    <x v="9"/>
    <n v="1416.9344999999998"/>
    <n v="281.53449999999975"/>
  </r>
  <r>
    <s v="ORD00028"/>
    <d v="2025-09-03T00:00:00"/>
    <s v="C4703"/>
    <x v="27"/>
    <d v="2025-09-07T00:00:00"/>
    <x v="4"/>
    <x v="4"/>
    <s v="Mobile"/>
    <x v="3"/>
    <s v="Houston"/>
    <s v="Female"/>
    <n v="18"/>
    <n v="5"/>
    <n v="0"/>
    <s v="P634"/>
    <x v="2"/>
    <x v="3"/>
    <x v="3"/>
    <s v="Samsung"/>
    <n v="3"/>
    <n v="591.13"/>
    <n v="2341.56"/>
    <n v="4"/>
    <s v="Q3"/>
    <n v="2025"/>
    <x v="1"/>
    <n v="2955.65"/>
    <n v="614.09000000000015"/>
  </r>
  <r>
    <s v="ORD00029"/>
    <d v="2026-01-18T00:00:00"/>
    <s v="C5041"/>
    <x v="28"/>
    <d v="2026-01-24T00:00:00"/>
    <x v="1"/>
    <x v="1"/>
    <s v="Shirt"/>
    <x v="11"/>
    <s v="Trenton"/>
    <s v="Female"/>
    <n v="23"/>
    <n v="4"/>
    <n v="25"/>
    <s v="P577"/>
    <x v="2"/>
    <x v="0"/>
    <x v="2"/>
    <s v="Puma"/>
    <n v="1"/>
    <n v="428.34"/>
    <n v="769.65"/>
    <n v="6"/>
    <s v="Q1"/>
    <n v="2026"/>
    <x v="0"/>
    <n v="1285.02"/>
    <n v="515.37"/>
  </r>
  <r>
    <s v="ORD00030"/>
    <d v="2025-07-11T00:00:00"/>
    <s v="C5040"/>
    <x v="29"/>
    <d v="2025-07-18T00:00:00"/>
    <x v="6"/>
    <x v="5"/>
    <s v="Snacks"/>
    <x v="7"/>
    <s v="Buffalo"/>
    <s v="Female"/>
    <n v="47"/>
    <n v="4"/>
    <n v="20"/>
    <s v="P732"/>
    <x v="2"/>
    <x v="1"/>
    <x v="1"/>
    <s v="Britannia"/>
    <n v="2"/>
    <n v="651.26"/>
    <n v="1648.62"/>
    <n v="7"/>
    <s v="Q3"/>
    <n v="2025"/>
    <x v="4"/>
    <n v="2084.0320000000002"/>
    <n v="435.41200000000026"/>
  </r>
  <r>
    <s v="ORD00031"/>
    <d v="2024-03-27T00:00:00"/>
    <s v="C7886"/>
    <x v="30"/>
    <d v="2024-03-31T00:00:00"/>
    <x v="6"/>
    <x v="5"/>
    <s v="Snacks"/>
    <x v="12"/>
    <s v="Lansing"/>
    <s v="Male"/>
    <n v="41"/>
    <n v="1"/>
    <n v="30"/>
    <s v="P479"/>
    <x v="0"/>
    <x v="3"/>
    <x v="3"/>
    <s v="Britannia"/>
    <n v="1"/>
    <n v="791.86"/>
    <n v="373.19"/>
    <n v="4"/>
    <s v="Q1"/>
    <n v="2024"/>
    <x v="6"/>
    <n v="554.30200000000002"/>
    <n v="181.11200000000002"/>
  </r>
  <r>
    <s v="ORD00032"/>
    <d v="2024-11-08T00:00:00"/>
    <s v="C5755"/>
    <x v="31"/>
    <d v="2024-11-11T00:00:00"/>
    <x v="6"/>
    <x v="5"/>
    <s v="Snacks"/>
    <x v="3"/>
    <s v="San Antonio"/>
    <s v="Male"/>
    <n v="48"/>
    <n v="1"/>
    <n v="20"/>
    <s v="P517"/>
    <x v="1"/>
    <x v="2"/>
    <x v="2"/>
    <s v="Britannia"/>
    <n v="4"/>
    <n v="997.49"/>
    <n v="487.84"/>
    <n v="3"/>
    <s v="Q4"/>
    <n v="2024"/>
    <x v="10"/>
    <n v="797.99200000000008"/>
    <n v="310.1520000000001"/>
  </r>
  <r>
    <s v="ORD00033"/>
    <d v="2024-10-23T00:00:00"/>
    <s v="C9553"/>
    <x v="32"/>
    <d v="2024-10-29T00:00:00"/>
    <x v="6"/>
    <x v="5"/>
    <s v="Snacks"/>
    <x v="2"/>
    <s v="Columbus"/>
    <s v="Male"/>
    <n v="23"/>
    <n v="4"/>
    <n v="15"/>
    <s v="P227"/>
    <x v="1"/>
    <x v="2"/>
    <x v="3"/>
    <s v="Britannia"/>
    <n v="1"/>
    <n v="161.28"/>
    <n v="383.12"/>
    <n v="6"/>
    <s v="Q4"/>
    <n v="2024"/>
    <x v="8"/>
    <n v="548.35199999999998"/>
    <n v="165.23199999999997"/>
  </r>
  <r>
    <s v="ORD00034"/>
    <d v="2026-02-01T00:00:00"/>
    <s v="C9792"/>
    <x v="33"/>
    <d v="2026-02-08T00:00:00"/>
    <x v="5"/>
    <x v="3"/>
    <s v="Furniture"/>
    <x v="6"/>
    <s v="Greensboro"/>
    <s v="Male"/>
    <n v="26"/>
    <n v="1"/>
    <n v="15"/>
    <s v="P453"/>
    <x v="2"/>
    <x v="0"/>
    <x v="0"/>
    <s v="IKEA"/>
    <n v="4"/>
    <n v="824.47"/>
    <n v="509.83"/>
    <n v="7"/>
    <s v="Q1"/>
    <n v="2026"/>
    <x v="5"/>
    <n v="700.79949999999997"/>
    <n v="190.96949999999998"/>
  </r>
  <r>
    <s v="ORD00035"/>
    <d v="2024-12-29T00:00:00"/>
    <s v="C6215"/>
    <x v="34"/>
    <d v="2024-12-31T00:00:00"/>
    <x v="4"/>
    <x v="4"/>
    <s v="Mobile"/>
    <x v="12"/>
    <s v="Grand Rapids"/>
    <s v="Female"/>
    <n v="41"/>
    <n v="5"/>
    <n v="30"/>
    <s v="P870"/>
    <x v="0"/>
    <x v="3"/>
    <x v="3"/>
    <s v="Samsung"/>
    <n v="4"/>
    <n v="905.23"/>
    <n v="1722.65"/>
    <n v="2"/>
    <s v="Q4"/>
    <n v="2024"/>
    <x v="7"/>
    <n v="3168.3049999999994"/>
    <n v="1445.6549999999993"/>
  </r>
  <r>
    <s v="ORD00036"/>
    <d v="2025-04-18T00:00:00"/>
    <s v="C1088"/>
    <x v="35"/>
    <d v="2025-04-23T00:00:00"/>
    <x v="0"/>
    <x v="0"/>
    <s v="Skincare"/>
    <x v="3"/>
    <s v="San Antonio"/>
    <s v="Female"/>
    <n v="41"/>
    <n v="1"/>
    <n v="10"/>
    <s v="P802"/>
    <x v="0"/>
    <x v="0"/>
    <x v="0"/>
    <s v="Nivea"/>
    <n v="5"/>
    <n v="529.49"/>
    <n v="335.54"/>
    <n v="5"/>
    <s v="Q2"/>
    <n v="2025"/>
    <x v="3"/>
    <n v="476.541"/>
    <n v="141.00099999999998"/>
  </r>
  <r>
    <s v="ORD00037"/>
    <d v="2024-09-19T00:00:00"/>
    <s v="C4844"/>
    <x v="36"/>
    <d v="2024-09-23T00:00:00"/>
    <x v="0"/>
    <x v="0"/>
    <s v="Skincare"/>
    <x v="0"/>
    <s v="Boston"/>
    <s v="Male"/>
    <n v="38"/>
    <n v="4"/>
    <n v="5"/>
    <s v="P756"/>
    <x v="2"/>
    <x v="4"/>
    <x v="1"/>
    <s v="Nivea"/>
    <n v="5"/>
    <n v="463.51"/>
    <n v="1021.43"/>
    <n v="4"/>
    <s v="Q3"/>
    <n v="2024"/>
    <x v="1"/>
    <n v="1761.338"/>
    <n v="739.90800000000002"/>
  </r>
  <r>
    <s v="ORD00038"/>
    <d v="2024-06-27T00:00:00"/>
    <s v="C8467"/>
    <x v="37"/>
    <d v="2024-07-02T00:00:00"/>
    <x v="1"/>
    <x v="1"/>
    <s v="Shirt"/>
    <x v="13"/>
    <s v="Augusta"/>
    <s v="Male"/>
    <n v="38"/>
    <n v="3"/>
    <n v="5"/>
    <s v="P161"/>
    <x v="0"/>
    <x v="4"/>
    <x v="2"/>
    <s v="Puma"/>
    <n v="5"/>
    <n v="716.61"/>
    <n v="1426.18"/>
    <n v="5"/>
    <s v="Q2"/>
    <n v="2024"/>
    <x v="2"/>
    <n v="2042.3384999999998"/>
    <n v="616.15849999999978"/>
  </r>
  <r>
    <s v="ORD00039"/>
    <d v="2025-09-03T00:00:00"/>
    <s v="C6566"/>
    <x v="38"/>
    <d v="2025-09-07T00:00:00"/>
    <x v="6"/>
    <x v="5"/>
    <s v="Snacks"/>
    <x v="14"/>
    <s v="Kansas City"/>
    <s v="Female"/>
    <n v="48"/>
    <n v="2"/>
    <n v="10"/>
    <s v="P651"/>
    <x v="2"/>
    <x v="4"/>
    <x v="0"/>
    <s v="Britannia"/>
    <n v="1"/>
    <n v="785.13"/>
    <n v="1087"/>
    <n v="4"/>
    <s v="Q3"/>
    <n v="2025"/>
    <x v="1"/>
    <n v="1413.2339999999999"/>
    <n v="326.23399999999992"/>
  </r>
  <r>
    <s v="ORD00040"/>
    <d v="2025-03-23T00:00:00"/>
    <s v="C4502"/>
    <x v="39"/>
    <d v="2025-03-28T00:00:00"/>
    <x v="6"/>
    <x v="5"/>
    <s v="Snacks"/>
    <x v="15"/>
    <s v="Colorado Springs"/>
    <s v="Female"/>
    <n v="45"/>
    <n v="1"/>
    <n v="30"/>
    <s v="P296"/>
    <x v="1"/>
    <x v="4"/>
    <x v="3"/>
    <s v="Britannia"/>
    <n v="4"/>
    <n v="337.53"/>
    <n v="186.22"/>
    <n v="5"/>
    <s v="Q1"/>
    <n v="2025"/>
    <x v="6"/>
    <n v="236.27099999999996"/>
    <n v="50.050999999999959"/>
  </r>
  <r>
    <s v="ORD00041"/>
    <d v="2026-05-30T00:00:00"/>
    <s v="C8509"/>
    <x v="40"/>
    <d v="2026-06-06T00:00:00"/>
    <x v="5"/>
    <x v="3"/>
    <s v="Furniture"/>
    <x v="16"/>
    <s v="Spokane"/>
    <s v="Female"/>
    <n v="36"/>
    <n v="5"/>
    <n v="10"/>
    <s v="P723"/>
    <x v="0"/>
    <x v="1"/>
    <x v="2"/>
    <s v="IKEA"/>
    <n v="4"/>
    <n v="161.99"/>
    <n v="619.47"/>
    <n v="7"/>
    <s v="Q2"/>
    <n v="2026"/>
    <x v="9"/>
    <n v="728.95500000000004"/>
    <n v="109.48500000000001"/>
  </r>
  <r>
    <s v="ORD00042"/>
    <d v="2026-06-10T00:00:00"/>
    <s v="C8158"/>
    <x v="41"/>
    <d v="2026-06-14T00:00:00"/>
    <x v="4"/>
    <x v="4"/>
    <s v="Mobile"/>
    <x v="8"/>
    <s v="Miami"/>
    <s v="Female"/>
    <n v="46"/>
    <n v="4"/>
    <n v="25"/>
    <s v="P855"/>
    <x v="1"/>
    <x v="1"/>
    <x v="3"/>
    <s v="Samsung"/>
    <n v="1"/>
    <n v="342.66"/>
    <n v="762.5"/>
    <n v="4"/>
    <s v="Q2"/>
    <n v="2026"/>
    <x v="2"/>
    <n v="1027.98"/>
    <n v="265.48"/>
  </r>
  <r>
    <s v="ORD00043"/>
    <d v="2025-02-27T00:00:00"/>
    <s v="C4214"/>
    <x v="42"/>
    <d v="2025-02-28T00:00:00"/>
    <x v="3"/>
    <x v="3"/>
    <s v="Kitchen"/>
    <x v="1"/>
    <s v="San Diego"/>
    <s v="Female"/>
    <n v="37"/>
    <n v="2"/>
    <n v="20"/>
    <s v="P678"/>
    <x v="0"/>
    <x v="3"/>
    <x v="1"/>
    <s v="Philips"/>
    <n v="4"/>
    <n v="485.28"/>
    <n v="450.41"/>
    <n v="1"/>
    <s v="Q1"/>
    <n v="2025"/>
    <x v="5"/>
    <n v="776.44799999999998"/>
    <n v="326.03799999999995"/>
  </r>
  <r>
    <s v="ORD00044"/>
    <d v="2025-09-20T00:00:00"/>
    <s v="C5419"/>
    <x v="43"/>
    <d v="2025-09-25T00:00:00"/>
    <x v="8"/>
    <x v="1"/>
    <s v="Shoes"/>
    <x v="16"/>
    <s v="Seattle"/>
    <s v="Female"/>
    <n v="54"/>
    <n v="2"/>
    <n v="10"/>
    <s v="P755"/>
    <x v="2"/>
    <x v="1"/>
    <x v="0"/>
    <s v="Nike"/>
    <n v="1"/>
    <n v="229.53"/>
    <n v="260.48"/>
    <n v="5"/>
    <s v="Q3"/>
    <n v="2025"/>
    <x v="1"/>
    <n v="413.154"/>
    <n v="152.67399999999998"/>
  </r>
  <r>
    <s v="ORD00045"/>
    <d v="2026-04-20T00:00:00"/>
    <s v="C7182"/>
    <x v="44"/>
    <d v="2026-04-27T00:00:00"/>
    <x v="6"/>
    <x v="5"/>
    <s v="Snacks"/>
    <x v="9"/>
    <s v="Montgomery"/>
    <s v="Female"/>
    <n v="43"/>
    <n v="4"/>
    <n v="10"/>
    <s v="P829"/>
    <x v="0"/>
    <x v="3"/>
    <x v="1"/>
    <s v="Britannia"/>
    <n v="3"/>
    <n v="896.34"/>
    <n v="2039.41"/>
    <n v="7"/>
    <s v="Q2"/>
    <n v="2026"/>
    <x v="3"/>
    <n v="3226.8240000000001"/>
    <n v="1187.414"/>
  </r>
  <r>
    <s v="ORD00046"/>
    <d v="2025-02-12T00:00:00"/>
    <s v="C5931"/>
    <x v="45"/>
    <d v="2025-02-16T00:00:00"/>
    <x v="5"/>
    <x v="3"/>
    <s v="Furniture"/>
    <x v="1"/>
    <s v="Los Angeles"/>
    <s v="Male"/>
    <n v="26"/>
    <n v="5"/>
    <n v="15"/>
    <s v="P149"/>
    <x v="1"/>
    <x v="3"/>
    <x v="0"/>
    <s v="IKEA"/>
    <n v="5"/>
    <n v="985.72"/>
    <n v="2744.31"/>
    <n v="4"/>
    <s v="Q1"/>
    <n v="2025"/>
    <x v="5"/>
    <n v="4189.3100000000004"/>
    <n v="1445.0000000000005"/>
  </r>
  <r>
    <s v="ORD00047"/>
    <d v="2024-10-31T00:00:00"/>
    <s v="C4703"/>
    <x v="46"/>
    <d v="2024-11-02T00:00:00"/>
    <x v="5"/>
    <x v="3"/>
    <s v="Furniture"/>
    <x v="0"/>
    <s v="Worcester"/>
    <s v="Female"/>
    <n v="19"/>
    <n v="4"/>
    <n v="20"/>
    <s v="P133"/>
    <x v="1"/>
    <x v="0"/>
    <x v="1"/>
    <s v="IKEA"/>
    <n v="5"/>
    <n v="34.200000000000003"/>
    <n v="69.180000000000007"/>
    <n v="2"/>
    <s v="Q4"/>
    <n v="2024"/>
    <x v="8"/>
    <n v="109.44000000000001"/>
    <n v="40.260000000000005"/>
  </r>
  <r>
    <s v="ORD00048"/>
    <d v="2024-08-05T00:00:00"/>
    <s v="C7524"/>
    <x v="47"/>
    <d v="2024-08-10T00:00:00"/>
    <x v="7"/>
    <x v="4"/>
    <s v="Laptop"/>
    <x v="7"/>
    <s v="Buffalo"/>
    <s v="Female"/>
    <n v="48"/>
    <n v="2"/>
    <n v="5"/>
    <s v="P511"/>
    <x v="2"/>
    <x v="4"/>
    <x v="2"/>
    <s v="Dell"/>
    <n v="4"/>
    <n v="585.75"/>
    <n v="917.51"/>
    <n v="5"/>
    <s v="Q3"/>
    <n v="2024"/>
    <x v="11"/>
    <n v="1112.925"/>
    <n v="195.41499999999996"/>
  </r>
  <r>
    <s v="ORD00049"/>
    <d v="2024-11-23T00:00:00"/>
    <s v="C9159"/>
    <x v="48"/>
    <d v="2024-11-27T00:00:00"/>
    <x v="0"/>
    <x v="0"/>
    <s v="Skincare"/>
    <x v="17"/>
    <s v="Allentown"/>
    <s v="Female"/>
    <n v="22"/>
    <n v="3"/>
    <n v="15"/>
    <s v="P815"/>
    <x v="2"/>
    <x v="3"/>
    <x v="3"/>
    <s v="Nivea"/>
    <n v="4"/>
    <n v="874.94"/>
    <n v="1261.8499999999999"/>
    <n v="4"/>
    <s v="Q4"/>
    <n v="2024"/>
    <x v="10"/>
    <n v="2231.0970000000002"/>
    <n v="969.2470000000003"/>
  </r>
  <r>
    <s v="ORD00050"/>
    <d v="2024-06-20T00:00:00"/>
    <s v="C2742"/>
    <x v="49"/>
    <d v="2024-06-23T00:00:00"/>
    <x v="2"/>
    <x v="2"/>
    <s v="Fitness"/>
    <x v="8"/>
    <s v="Miami"/>
    <s v="Male"/>
    <n v="38"/>
    <n v="1"/>
    <n v="0"/>
    <s v="P403"/>
    <x v="0"/>
    <x v="2"/>
    <x v="3"/>
    <s v="Decathlon"/>
    <n v="1"/>
    <n v="816.3"/>
    <n v="427.28"/>
    <n v="3"/>
    <s v="Q2"/>
    <n v="2024"/>
    <x v="2"/>
    <n v="816.3"/>
    <n v="389.02"/>
  </r>
  <r>
    <s v="ORD00051"/>
    <d v="2025-09-24T00:00:00"/>
    <s v="C9194"/>
    <x v="50"/>
    <d v="2025-09-28T00:00:00"/>
    <x v="5"/>
    <x v="3"/>
    <s v="Furniture"/>
    <x v="18"/>
    <s v="Nashville"/>
    <s v="Male"/>
    <n v="53"/>
    <n v="1"/>
    <n v="30"/>
    <s v="P606"/>
    <x v="2"/>
    <x v="0"/>
    <x v="0"/>
    <s v="IKEA"/>
    <n v="2"/>
    <n v="437.5"/>
    <n v="253.46"/>
    <n v="4"/>
    <s v="Q3"/>
    <n v="2025"/>
    <x v="1"/>
    <n v="306.25"/>
    <n v="52.789999999999992"/>
  </r>
  <r>
    <s v="ORD00052"/>
    <d v="2024-09-21T00:00:00"/>
    <s v="C8290"/>
    <x v="51"/>
    <d v="2024-09-24T00:00:00"/>
    <x v="7"/>
    <x v="4"/>
    <s v="Laptop"/>
    <x v="19"/>
    <s v="Annapolis"/>
    <s v="Male"/>
    <n v="56"/>
    <n v="1"/>
    <n v="0"/>
    <s v="P189"/>
    <x v="0"/>
    <x v="1"/>
    <x v="2"/>
    <s v="Dell"/>
    <n v="2"/>
    <n v="95.37"/>
    <n v="77.88"/>
    <n v="3"/>
    <s v="Q3"/>
    <n v="2024"/>
    <x v="1"/>
    <n v="95.37"/>
    <n v="17.490000000000009"/>
  </r>
  <r>
    <s v="ORD00053"/>
    <d v="2024-07-16T00:00:00"/>
    <s v="C8262"/>
    <x v="52"/>
    <d v="2024-07-17T00:00:00"/>
    <x v="0"/>
    <x v="0"/>
    <s v="Skincare"/>
    <x v="12"/>
    <s v="Grand Rapids"/>
    <s v="Female"/>
    <n v="44"/>
    <n v="5"/>
    <n v="20"/>
    <s v="P845"/>
    <x v="0"/>
    <x v="4"/>
    <x v="2"/>
    <s v="Nivea"/>
    <n v="4"/>
    <n v="318.49"/>
    <n v="777.44"/>
    <n v="1"/>
    <s v="Q3"/>
    <n v="2024"/>
    <x v="4"/>
    <n v="1273.96"/>
    <n v="496.52"/>
  </r>
  <r>
    <s v="ORD00054"/>
    <d v="2025-01-17T00:00:00"/>
    <s v="C7923"/>
    <x v="53"/>
    <d v="2025-01-22T00:00:00"/>
    <x v="8"/>
    <x v="1"/>
    <s v="Shoes"/>
    <x v="7"/>
    <s v="Buffalo"/>
    <s v="Male"/>
    <n v="21"/>
    <n v="3"/>
    <n v="20"/>
    <s v="P696"/>
    <x v="0"/>
    <x v="1"/>
    <x v="0"/>
    <s v="Nike"/>
    <n v="5"/>
    <n v="768.07"/>
    <n v="1541.26"/>
    <n v="5"/>
    <s v="Q1"/>
    <n v="2025"/>
    <x v="0"/>
    <n v="1843.3680000000002"/>
    <n v="302.10800000000017"/>
  </r>
  <r>
    <s v="ORD00055"/>
    <d v="2024-07-23T00:00:00"/>
    <s v="C7077"/>
    <x v="54"/>
    <d v="2024-07-25T00:00:00"/>
    <x v="5"/>
    <x v="3"/>
    <s v="Furniture"/>
    <x v="8"/>
    <s v="Tampa"/>
    <s v="Female"/>
    <n v="26"/>
    <n v="3"/>
    <n v="20"/>
    <s v="P490"/>
    <x v="1"/>
    <x v="0"/>
    <x v="0"/>
    <s v="IKEA"/>
    <n v="5"/>
    <n v="672.06"/>
    <n v="1200.29"/>
    <n v="2"/>
    <s v="Q3"/>
    <n v="2024"/>
    <x v="4"/>
    <n v="1612.944"/>
    <n v="412.654"/>
  </r>
  <r>
    <s v="ORD00056"/>
    <d v="2024-11-17T00:00:00"/>
    <s v="C4184"/>
    <x v="55"/>
    <d v="2024-11-24T00:00:00"/>
    <x v="5"/>
    <x v="3"/>
    <s v="Furniture"/>
    <x v="3"/>
    <s v="Austin"/>
    <s v="Male"/>
    <n v="46"/>
    <n v="1"/>
    <n v="5"/>
    <s v="P632"/>
    <x v="0"/>
    <x v="3"/>
    <x v="3"/>
    <s v="IKEA"/>
    <n v="3"/>
    <n v="923.59"/>
    <n v="671.82"/>
    <n v="7"/>
    <s v="Q4"/>
    <n v="2024"/>
    <x v="10"/>
    <n v="877.41049999999996"/>
    <n v="205.59049999999991"/>
  </r>
  <r>
    <s v="ORD00057"/>
    <d v="2024-07-14T00:00:00"/>
    <s v="C9320"/>
    <x v="56"/>
    <d v="2024-07-16T00:00:00"/>
    <x v="3"/>
    <x v="3"/>
    <s v="Kitchen"/>
    <x v="18"/>
    <s v="Memphis"/>
    <s v="Male"/>
    <n v="22"/>
    <n v="5"/>
    <n v="10"/>
    <s v="P111"/>
    <x v="1"/>
    <x v="2"/>
    <x v="1"/>
    <s v="Philips"/>
    <n v="5"/>
    <n v="755.82"/>
    <n v="1960.76"/>
    <n v="2"/>
    <s v="Q3"/>
    <n v="2024"/>
    <x v="4"/>
    <n v="3401.1900000000005"/>
    <n v="1440.4300000000005"/>
  </r>
  <r>
    <s v="ORD00058"/>
    <d v="2025-11-02T00:00:00"/>
    <s v="C3964"/>
    <x v="57"/>
    <d v="2025-11-06T00:00:00"/>
    <x v="3"/>
    <x v="3"/>
    <s v="Kitchen"/>
    <x v="1"/>
    <s v="San Diego"/>
    <s v="Male"/>
    <n v="24"/>
    <n v="5"/>
    <n v="15"/>
    <s v="P459"/>
    <x v="2"/>
    <x v="4"/>
    <x v="0"/>
    <s v="Philips"/>
    <n v="2"/>
    <n v="824.13"/>
    <n v="2047.39"/>
    <n v="4"/>
    <s v="Q4"/>
    <n v="2025"/>
    <x v="10"/>
    <n v="3502.5524999999998"/>
    <n v="1455.1624999999997"/>
  </r>
  <r>
    <s v="ORD00059"/>
    <d v="2026-03-21T00:00:00"/>
    <s v="C2234"/>
    <x v="58"/>
    <d v="2026-03-22T00:00:00"/>
    <x v="5"/>
    <x v="3"/>
    <s v="Furniture"/>
    <x v="20"/>
    <s v="Virginia Beach"/>
    <s v="Female"/>
    <n v="42"/>
    <n v="3"/>
    <n v="25"/>
    <s v="P794"/>
    <x v="1"/>
    <x v="2"/>
    <x v="0"/>
    <s v="IKEA"/>
    <n v="5"/>
    <n v="640.98"/>
    <n v="889.51"/>
    <n v="1"/>
    <s v="Q1"/>
    <n v="2026"/>
    <x v="6"/>
    <n v="1442.2049999999999"/>
    <n v="552.69499999999994"/>
  </r>
  <r>
    <s v="ORD00060"/>
    <d v="2025-08-24T00:00:00"/>
    <s v="C6922"/>
    <x v="59"/>
    <d v="2025-08-31T00:00:00"/>
    <x v="0"/>
    <x v="0"/>
    <s v="Skincare"/>
    <x v="4"/>
    <s v="Tucson"/>
    <s v="Male"/>
    <n v="55"/>
    <n v="4"/>
    <n v="5"/>
    <s v="P448"/>
    <x v="0"/>
    <x v="4"/>
    <x v="3"/>
    <s v="Nivea"/>
    <n v="1"/>
    <n v="237.82"/>
    <n v="458.12"/>
    <n v="7"/>
    <s v="Q3"/>
    <n v="2025"/>
    <x v="11"/>
    <n v="903.71599999999989"/>
    <n v="445.59599999999989"/>
  </r>
  <r>
    <s v="ORD00061"/>
    <d v="2025-12-08T00:00:00"/>
    <s v="C3470"/>
    <x v="60"/>
    <d v="2025-12-14T00:00:00"/>
    <x v="7"/>
    <x v="4"/>
    <s v="Laptop"/>
    <x v="0"/>
    <s v="Worcester"/>
    <s v="Female"/>
    <n v="30"/>
    <n v="5"/>
    <n v="10"/>
    <s v="P634"/>
    <x v="2"/>
    <x v="3"/>
    <x v="2"/>
    <s v="Dell"/>
    <n v="5"/>
    <n v="23.83"/>
    <n v="62.71"/>
    <n v="6"/>
    <s v="Q4"/>
    <n v="2025"/>
    <x v="7"/>
    <n v="107.235"/>
    <n v="44.524999999999999"/>
  </r>
  <r>
    <s v="ORD00062"/>
    <d v="2026-06-11T00:00:00"/>
    <s v="C7169"/>
    <x v="61"/>
    <d v="2026-06-14T00:00:00"/>
    <x v="6"/>
    <x v="5"/>
    <s v="Snacks"/>
    <x v="8"/>
    <s v="Jacksonville"/>
    <s v="Male"/>
    <n v="61"/>
    <n v="2"/>
    <n v="10"/>
    <s v="P757"/>
    <x v="0"/>
    <x v="4"/>
    <x v="1"/>
    <s v="Britannia"/>
    <n v="3"/>
    <n v="109.76"/>
    <n v="162.79"/>
    <n v="3"/>
    <s v="Q2"/>
    <n v="2026"/>
    <x v="2"/>
    <n v="197.56800000000001"/>
    <n v="34.77800000000002"/>
  </r>
  <r>
    <s v="ORD00063"/>
    <d v="2026-02-15T00:00:00"/>
    <s v="C2166"/>
    <x v="62"/>
    <d v="2026-02-20T00:00:00"/>
    <x v="2"/>
    <x v="2"/>
    <s v="Fitness"/>
    <x v="21"/>
    <s v="Greenville"/>
    <s v="Male"/>
    <n v="46"/>
    <n v="5"/>
    <n v="10"/>
    <s v="P892"/>
    <x v="1"/>
    <x v="4"/>
    <x v="1"/>
    <s v="Decathlon"/>
    <n v="4"/>
    <n v="741.69"/>
    <n v="1860.02"/>
    <n v="5"/>
    <s v="Q1"/>
    <n v="2026"/>
    <x v="5"/>
    <n v="3337.6050000000005"/>
    <n v="1477.5850000000005"/>
  </r>
  <r>
    <s v="ORD00064"/>
    <d v="2025-06-14T00:00:00"/>
    <s v="C5134"/>
    <x v="63"/>
    <d v="2025-06-15T00:00:00"/>
    <x v="2"/>
    <x v="2"/>
    <s v="Fitness"/>
    <x v="8"/>
    <s v="Orlando"/>
    <s v="Female"/>
    <n v="42"/>
    <n v="3"/>
    <n v="20"/>
    <s v="P961"/>
    <x v="1"/>
    <x v="0"/>
    <x v="2"/>
    <s v="Decathlon"/>
    <n v="1"/>
    <n v="64.400000000000006"/>
    <n v="115.71"/>
    <n v="1"/>
    <s v="Q2"/>
    <n v="2025"/>
    <x v="2"/>
    <n v="154.56000000000003"/>
    <n v="38.850000000000037"/>
  </r>
  <r>
    <s v="ORD00065"/>
    <d v="2025-03-07T00:00:00"/>
    <s v="C7880"/>
    <x v="64"/>
    <d v="2025-03-13T00:00:00"/>
    <x v="4"/>
    <x v="4"/>
    <s v="Mobile"/>
    <x v="17"/>
    <s v="Allentown"/>
    <s v="Male"/>
    <n v="51"/>
    <n v="4"/>
    <n v="5"/>
    <s v="P763"/>
    <x v="0"/>
    <x v="1"/>
    <x v="3"/>
    <s v="Samsung"/>
    <n v="5"/>
    <n v="889.73"/>
    <n v="2824.63"/>
    <n v="6"/>
    <s v="Q1"/>
    <n v="2025"/>
    <x v="6"/>
    <n v="3380.9739999999997"/>
    <n v="556.3439999999996"/>
  </r>
  <r>
    <s v="ORD00066"/>
    <d v="2024-07-31T00:00:00"/>
    <s v="C6667"/>
    <x v="65"/>
    <d v="2024-08-05T00:00:00"/>
    <x v="4"/>
    <x v="4"/>
    <s v="Mobile"/>
    <x v="1"/>
    <s v="Sacramento"/>
    <s v="Female"/>
    <n v="59"/>
    <n v="1"/>
    <n v="20"/>
    <s v="P625"/>
    <x v="0"/>
    <x v="2"/>
    <x v="1"/>
    <s v="Samsung"/>
    <n v="5"/>
    <n v="304.26"/>
    <n v="133.43"/>
    <n v="5"/>
    <s v="Q3"/>
    <n v="2024"/>
    <x v="4"/>
    <n v="243.40800000000002"/>
    <n v="109.97800000000001"/>
  </r>
  <r>
    <s v="ORD00067"/>
    <d v="2024-09-04T00:00:00"/>
    <s v="C8193"/>
    <x v="66"/>
    <d v="2024-09-05T00:00:00"/>
    <x v="0"/>
    <x v="0"/>
    <s v="Skincare"/>
    <x v="12"/>
    <s v="Grand Rapids"/>
    <s v="Female"/>
    <n v="48"/>
    <n v="4"/>
    <n v="30"/>
    <s v="P721"/>
    <x v="1"/>
    <x v="2"/>
    <x v="3"/>
    <s v="Nivea"/>
    <n v="3"/>
    <n v="181.8"/>
    <n v="280.31"/>
    <n v="1"/>
    <s v="Q3"/>
    <n v="2024"/>
    <x v="1"/>
    <n v="509.04"/>
    <n v="228.73000000000002"/>
  </r>
  <r>
    <s v="ORD00068"/>
    <d v="2026-05-31T00:00:00"/>
    <s v="C9702"/>
    <x v="67"/>
    <d v="2026-06-01T00:00:00"/>
    <x v="3"/>
    <x v="3"/>
    <s v="Kitchen"/>
    <x v="12"/>
    <s v="Grand Rapids"/>
    <s v="Female"/>
    <n v="29"/>
    <n v="2"/>
    <n v="5"/>
    <s v="P552"/>
    <x v="0"/>
    <x v="1"/>
    <x v="0"/>
    <s v="Philips"/>
    <n v="1"/>
    <n v="755.06"/>
    <n v="935.11"/>
    <n v="1"/>
    <s v="Q2"/>
    <n v="2026"/>
    <x v="9"/>
    <n v="1434.6139999999998"/>
    <n v="499.50399999999979"/>
  </r>
  <r>
    <s v="ORD00069"/>
    <d v="2025-01-11T00:00:00"/>
    <s v="C9364"/>
    <x v="68"/>
    <d v="2025-01-13T00:00:00"/>
    <x v="4"/>
    <x v="4"/>
    <s v="Mobile"/>
    <x v="3"/>
    <s v="Dallas"/>
    <s v="Male"/>
    <n v="27"/>
    <n v="2"/>
    <n v="25"/>
    <s v="P790"/>
    <x v="1"/>
    <x v="4"/>
    <x v="1"/>
    <s v="Samsung"/>
    <n v="3"/>
    <n v="523.73"/>
    <n v="406.74"/>
    <n v="2"/>
    <s v="Q1"/>
    <n v="2025"/>
    <x v="0"/>
    <n v="785.59500000000003"/>
    <n v="378.85500000000002"/>
  </r>
  <r>
    <s v="ORD00070"/>
    <d v="2024-06-27T00:00:00"/>
    <s v="C6966"/>
    <x v="69"/>
    <d v="2024-07-04T00:00:00"/>
    <x v="0"/>
    <x v="0"/>
    <s v="Skincare"/>
    <x v="17"/>
    <s v="Philadelphia"/>
    <s v="Male"/>
    <n v="47"/>
    <n v="5"/>
    <n v="25"/>
    <s v="P717"/>
    <x v="1"/>
    <x v="3"/>
    <x v="1"/>
    <s v="Nivea"/>
    <n v="5"/>
    <n v="574.62"/>
    <n v="1410.73"/>
    <n v="7"/>
    <s v="Q2"/>
    <n v="2024"/>
    <x v="2"/>
    <n v="2154.8249999999998"/>
    <n v="744.0949999999998"/>
  </r>
  <r>
    <s v="ORD00071"/>
    <d v="2026-02-08T00:00:00"/>
    <s v="C6428"/>
    <x v="70"/>
    <d v="2026-02-14T00:00:00"/>
    <x v="2"/>
    <x v="2"/>
    <s v="Fitness"/>
    <x v="8"/>
    <s v="Orlando"/>
    <s v="Female"/>
    <n v="24"/>
    <n v="3"/>
    <n v="30"/>
    <s v="P353"/>
    <x v="2"/>
    <x v="3"/>
    <x v="2"/>
    <s v="Decathlon"/>
    <n v="3"/>
    <n v="902.38"/>
    <n v="1432.65"/>
    <n v="6"/>
    <s v="Q1"/>
    <n v="2026"/>
    <x v="5"/>
    <n v="1894.9979999999998"/>
    <n v="462.34799999999973"/>
  </r>
  <r>
    <s v="ORD00072"/>
    <d v="2025-02-14T00:00:00"/>
    <s v="C4706"/>
    <x v="71"/>
    <d v="2025-02-15T00:00:00"/>
    <x v="4"/>
    <x v="4"/>
    <s v="Mobile"/>
    <x v="11"/>
    <s v="Newark"/>
    <s v="Male"/>
    <n v="25"/>
    <n v="2"/>
    <n v="0"/>
    <s v="P826"/>
    <x v="2"/>
    <x v="4"/>
    <x v="0"/>
    <s v="Samsung"/>
    <n v="4"/>
    <n v="732.79"/>
    <n v="1108.8499999999999"/>
    <n v="1"/>
    <s v="Q1"/>
    <n v="2025"/>
    <x v="5"/>
    <n v="1465.58"/>
    <n v="356.73"/>
  </r>
  <r>
    <s v="ORD00073"/>
    <d v="2025-09-21T00:00:00"/>
    <s v="C5390"/>
    <x v="72"/>
    <d v="2025-09-23T00:00:00"/>
    <x v="6"/>
    <x v="5"/>
    <s v="Snacks"/>
    <x v="20"/>
    <s v="Richmond"/>
    <s v="Male"/>
    <n v="26"/>
    <n v="2"/>
    <n v="30"/>
    <s v="P359"/>
    <x v="1"/>
    <x v="0"/>
    <x v="0"/>
    <s v="Britannia"/>
    <n v="5"/>
    <n v="63.95"/>
    <n v="72.09"/>
    <n v="2"/>
    <s v="Q3"/>
    <n v="2025"/>
    <x v="1"/>
    <n v="89.53"/>
    <n v="17.439999999999998"/>
  </r>
  <r>
    <s v="ORD00074"/>
    <d v="2025-04-07T00:00:00"/>
    <s v="C8038"/>
    <x v="73"/>
    <d v="2025-04-10T00:00:00"/>
    <x v="8"/>
    <x v="1"/>
    <s v="Shoes"/>
    <x v="22"/>
    <s v="Naperville"/>
    <s v="Male"/>
    <n v="45"/>
    <n v="3"/>
    <n v="20"/>
    <s v="P789"/>
    <x v="1"/>
    <x v="4"/>
    <x v="0"/>
    <s v="Nike"/>
    <n v="5"/>
    <n v="871.25"/>
    <n v="1123.8499999999999"/>
    <n v="3"/>
    <s v="Q2"/>
    <n v="2025"/>
    <x v="3"/>
    <n v="2091"/>
    <n v="967.15000000000009"/>
  </r>
  <r>
    <s v="ORD00075"/>
    <d v="2025-07-01T00:00:00"/>
    <s v="C7166"/>
    <x v="74"/>
    <d v="2025-07-02T00:00:00"/>
    <x v="3"/>
    <x v="3"/>
    <s v="Kitchen"/>
    <x v="3"/>
    <s v="Dallas"/>
    <s v="Female"/>
    <n v="22"/>
    <n v="3"/>
    <n v="30"/>
    <s v="P356"/>
    <x v="0"/>
    <x v="4"/>
    <x v="0"/>
    <s v="Philips"/>
    <n v="3"/>
    <n v="507.82"/>
    <n v="624.64"/>
    <n v="1"/>
    <s v="Q3"/>
    <n v="2025"/>
    <x v="4"/>
    <n v="1066.422"/>
    <n v="441.78200000000004"/>
  </r>
  <r>
    <s v="ORD00076"/>
    <d v="2025-06-07T00:00:00"/>
    <s v="C9903"/>
    <x v="75"/>
    <d v="2025-06-08T00:00:00"/>
    <x v="7"/>
    <x v="4"/>
    <s v="Laptop"/>
    <x v="3"/>
    <s v="Dallas"/>
    <s v="Male"/>
    <n v="45"/>
    <n v="3"/>
    <n v="0"/>
    <s v="P176"/>
    <x v="1"/>
    <x v="0"/>
    <x v="0"/>
    <s v="Dell"/>
    <n v="1"/>
    <n v="322.85000000000002"/>
    <n v="614"/>
    <n v="1"/>
    <s v="Q2"/>
    <n v="2025"/>
    <x v="2"/>
    <n v="968.55000000000007"/>
    <n v="354.55000000000007"/>
  </r>
  <r>
    <s v="ORD00077"/>
    <d v="2025-04-25T00:00:00"/>
    <s v="C2634"/>
    <x v="76"/>
    <d v="2025-04-26T00:00:00"/>
    <x v="8"/>
    <x v="1"/>
    <s v="Shoes"/>
    <x v="3"/>
    <s v="Austin"/>
    <s v="Male"/>
    <n v="45"/>
    <n v="3"/>
    <n v="10"/>
    <s v="P660"/>
    <x v="2"/>
    <x v="2"/>
    <x v="2"/>
    <s v="Nike"/>
    <n v="4"/>
    <n v="76.64"/>
    <n v="146.13999999999999"/>
    <n v="1"/>
    <s v="Q2"/>
    <n v="2025"/>
    <x v="3"/>
    <n v="206.92800000000003"/>
    <n v="60.788000000000039"/>
  </r>
  <r>
    <s v="ORD00078"/>
    <d v="2024-03-29T00:00:00"/>
    <s v="C2137"/>
    <x v="77"/>
    <d v="2024-04-04T00:00:00"/>
    <x v="4"/>
    <x v="4"/>
    <s v="Mobile"/>
    <x v="23"/>
    <s v="Saint Paul"/>
    <s v="Female"/>
    <n v="56"/>
    <n v="4"/>
    <n v="30"/>
    <s v="P543"/>
    <x v="0"/>
    <x v="2"/>
    <x v="2"/>
    <s v="Samsung"/>
    <n v="5"/>
    <n v="525.62"/>
    <n v="1075.27"/>
    <n v="6"/>
    <s v="Q1"/>
    <n v="2024"/>
    <x v="6"/>
    <n v="1471.7359999999999"/>
    <n v="396.46599999999989"/>
  </r>
  <r>
    <s v="ORD00079"/>
    <d v="2025-12-20T00:00:00"/>
    <s v="C3674"/>
    <x v="78"/>
    <d v="2025-12-22T00:00:00"/>
    <x v="3"/>
    <x v="3"/>
    <s v="Kitchen"/>
    <x v="7"/>
    <s v="Albany"/>
    <s v="Female"/>
    <n v="60"/>
    <n v="3"/>
    <n v="5"/>
    <s v="P223"/>
    <x v="0"/>
    <x v="4"/>
    <x v="1"/>
    <s v="Philips"/>
    <n v="4"/>
    <n v="252.58"/>
    <n v="451.58"/>
    <n v="2"/>
    <s v="Q4"/>
    <n v="2025"/>
    <x v="7"/>
    <n v="719.85299999999995"/>
    <n v="268.27299999999997"/>
  </r>
  <r>
    <s v="ORD00080"/>
    <d v="2025-06-25T00:00:00"/>
    <s v="C2954"/>
    <x v="79"/>
    <d v="2025-06-28T00:00:00"/>
    <x v="0"/>
    <x v="0"/>
    <s v="Skincare"/>
    <x v="6"/>
    <s v="Charlotte"/>
    <s v="Male"/>
    <n v="41"/>
    <n v="5"/>
    <n v="10"/>
    <s v="P984"/>
    <x v="1"/>
    <x v="2"/>
    <x v="3"/>
    <s v="Nivea"/>
    <n v="4"/>
    <n v="573.69000000000005"/>
    <n v="2037.46"/>
    <n v="3"/>
    <s v="Q2"/>
    <n v="2025"/>
    <x v="2"/>
    <n v="2581.6050000000005"/>
    <n v="544.14500000000044"/>
  </r>
  <r>
    <s v="ORD00081"/>
    <d v="2026-03-12T00:00:00"/>
    <s v="C8864"/>
    <x v="80"/>
    <d v="2026-03-13T00:00:00"/>
    <x v="4"/>
    <x v="4"/>
    <s v="Mobile"/>
    <x v="6"/>
    <s v="Raleigh"/>
    <s v="Female"/>
    <n v="37"/>
    <n v="3"/>
    <n v="10"/>
    <s v="P248"/>
    <x v="2"/>
    <x v="4"/>
    <x v="1"/>
    <s v="Samsung"/>
    <n v="5"/>
    <n v="844.48"/>
    <n v="1631.23"/>
    <n v="1"/>
    <s v="Q1"/>
    <n v="2026"/>
    <x v="6"/>
    <n v="2280.096"/>
    <n v="648.86599999999999"/>
  </r>
  <r>
    <s v="ORD00082"/>
    <d v="2026-03-13T00:00:00"/>
    <s v="C2685"/>
    <x v="81"/>
    <d v="2026-03-17T00:00:00"/>
    <x v="2"/>
    <x v="2"/>
    <s v="Fitness"/>
    <x v="24"/>
    <s v="Eugene"/>
    <s v="Male"/>
    <n v="59"/>
    <n v="1"/>
    <n v="15"/>
    <s v="P225"/>
    <x v="1"/>
    <x v="4"/>
    <x v="1"/>
    <s v="Decathlon"/>
    <n v="2"/>
    <n v="175.24"/>
    <n v="113.39"/>
    <n v="4"/>
    <s v="Q1"/>
    <n v="2026"/>
    <x v="6"/>
    <n v="148.95400000000001"/>
    <n v="35.564000000000007"/>
  </r>
  <r>
    <s v="ORD00083"/>
    <d v="2025-09-09T00:00:00"/>
    <s v="C6364"/>
    <x v="82"/>
    <d v="2025-09-16T00:00:00"/>
    <x v="6"/>
    <x v="5"/>
    <s v="Snacks"/>
    <x v="8"/>
    <s v="Miami"/>
    <s v="Female"/>
    <n v="39"/>
    <n v="2"/>
    <n v="30"/>
    <s v="P995"/>
    <x v="2"/>
    <x v="4"/>
    <x v="1"/>
    <s v="Britannia"/>
    <n v="1"/>
    <n v="837.42"/>
    <n v="936.12"/>
    <n v="7"/>
    <s v="Q3"/>
    <n v="2025"/>
    <x v="1"/>
    <n v="1172.3879999999999"/>
    <n v="236.26799999999992"/>
  </r>
  <r>
    <s v="ORD00084"/>
    <d v="2025-01-09T00:00:00"/>
    <s v="C6326"/>
    <x v="83"/>
    <d v="2025-01-12T00:00:00"/>
    <x v="2"/>
    <x v="2"/>
    <s v="Fitness"/>
    <x v="24"/>
    <s v="Salem"/>
    <s v="Male"/>
    <n v="30"/>
    <n v="3"/>
    <n v="30"/>
    <s v="P485"/>
    <x v="0"/>
    <x v="0"/>
    <x v="2"/>
    <s v="Decathlon"/>
    <n v="4"/>
    <n v="377.81"/>
    <n v="417.21"/>
    <n v="3"/>
    <s v="Q1"/>
    <n v="2025"/>
    <x v="0"/>
    <n v="793.40099999999995"/>
    <n v="376.19099999999997"/>
  </r>
  <r>
    <s v="ORD00085"/>
    <d v="2024-03-01T00:00:00"/>
    <s v="C4913"/>
    <x v="84"/>
    <d v="2024-03-07T00:00:00"/>
    <x v="5"/>
    <x v="3"/>
    <s v="Furniture"/>
    <x v="23"/>
    <s v="Saint Paul"/>
    <s v="Male"/>
    <n v="51"/>
    <n v="1"/>
    <n v="30"/>
    <s v="P816"/>
    <x v="1"/>
    <x v="2"/>
    <x v="1"/>
    <s v="IKEA"/>
    <n v="3"/>
    <n v="502.91"/>
    <n v="194.45"/>
    <n v="6"/>
    <s v="Q1"/>
    <n v="2024"/>
    <x v="6"/>
    <n v="352.03699999999998"/>
    <n v="157.58699999999999"/>
  </r>
  <r>
    <s v="ORD00086"/>
    <d v="2026-05-21T00:00:00"/>
    <s v="C5164"/>
    <x v="85"/>
    <d v="2026-05-24T00:00:00"/>
    <x v="2"/>
    <x v="2"/>
    <s v="Fitness"/>
    <x v="6"/>
    <s v="Charlotte"/>
    <s v="Female"/>
    <n v="36"/>
    <n v="4"/>
    <n v="20"/>
    <s v="P398"/>
    <x v="0"/>
    <x v="0"/>
    <x v="0"/>
    <s v="Decathlon"/>
    <n v="2"/>
    <n v="95.99"/>
    <n v="245.58"/>
    <n v="3"/>
    <s v="Q2"/>
    <n v="2026"/>
    <x v="9"/>
    <n v="307.16800000000001"/>
    <n v="61.587999999999994"/>
  </r>
  <r>
    <s v="ORD00087"/>
    <d v="2024-12-13T00:00:00"/>
    <s v="C9233"/>
    <x v="86"/>
    <d v="2024-12-19T00:00:00"/>
    <x v="0"/>
    <x v="0"/>
    <s v="Skincare"/>
    <x v="17"/>
    <s v="Pittsburgh"/>
    <s v="Male"/>
    <n v="27"/>
    <n v="1"/>
    <n v="25"/>
    <s v="P535"/>
    <x v="2"/>
    <x v="0"/>
    <x v="0"/>
    <s v="Nivea"/>
    <n v="4"/>
    <n v="421.2"/>
    <n v="260.58"/>
    <n v="6"/>
    <s v="Q4"/>
    <n v="2024"/>
    <x v="7"/>
    <n v="315.89999999999998"/>
    <n v="55.319999999999993"/>
  </r>
  <r>
    <s v="ORD00088"/>
    <d v="2025-12-13T00:00:00"/>
    <s v="C5521"/>
    <x v="87"/>
    <d v="2025-12-20T00:00:00"/>
    <x v="8"/>
    <x v="1"/>
    <s v="Shoes"/>
    <x v="22"/>
    <s v="Chicago"/>
    <s v="Female"/>
    <n v="63"/>
    <n v="1"/>
    <n v="15"/>
    <s v="P790"/>
    <x v="2"/>
    <x v="0"/>
    <x v="2"/>
    <s v="Nike"/>
    <n v="1"/>
    <n v="250.65"/>
    <n v="170.03"/>
    <n v="7"/>
    <s v="Q4"/>
    <n v="2025"/>
    <x v="7"/>
    <n v="213.05250000000001"/>
    <n v="43.022500000000008"/>
  </r>
  <r>
    <s v="ORD00089"/>
    <d v="2025-05-14T00:00:00"/>
    <s v="C1038"/>
    <x v="88"/>
    <d v="2025-05-16T00:00:00"/>
    <x v="3"/>
    <x v="3"/>
    <s v="Kitchen"/>
    <x v="17"/>
    <s v="Pittsburgh"/>
    <s v="Female"/>
    <n v="36"/>
    <n v="3"/>
    <n v="10"/>
    <s v="P853"/>
    <x v="1"/>
    <x v="1"/>
    <x v="3"/>
    <s v="Philips"/>
    <n v="3"/>
    <n v="919.05"/>
    <n v="1629.64"/>
    <n v="2"/>
    <s v="Q2"/>
    <n v="2025"/>
    <x v="9"/>
    <n v="2481.4349999999999"/>
    <n v="851.79499999999985"/>
  </r>
  <r>
    <s v="ORD00090"/>
    <d v="2024-10-20T00:00:00"/>
    <s v="C1000"/>
    <x v="89"/>
    <d v="2024-10-27T00:00:00"/>
    <x v="0"/>
    <x v="0"/>
    <s v="Skincare"/>
    <x v="3"/>
    <s v="San Antonio"/>
    <s v="Female"/>
    <n v="23"/>
    <n v="1"/>
    <n v="20"/>
    <s v="P454"/>
    <x v="0"/>
    <x v="1"/>
    <x v="0"/>
    <s v="Nivea"/>
    <n v="3"/>
    <n v="758.66"/>
    <n v="462.62"/>
    <n v="7"/>
    <s v="Q4"/>
    <n v="2024"/>
    <x v="8"/>
    <n v="606.928"/>
    <n v="144.30799999999999"/>
  </r>
  <r>
    <s v="ORD00091"/>
    <d v="2025-06-07T00:00:00"/>
    <s v="C3108"/>
    <x v="90"/>
    <d v="2025-06-12T00:00:00"/>
    <x v="4"/>
    <x v="4"/>
    <s v="Mobile"/>
    <x v="9"/>
    <s v="Mobile"/>
    <s v="Male"/>
    <n v="51"/>
    <n v="2"/>
    <n v="15"/>
    <s v="P885"/>
    <x v="0"/>
    <x v="2"/>
    <x v="0"/>
    <s v="Samsung"/>
    <n v="4"/>
    <n v="852.32"/>
    <n v="1220.3499999999999"/>
    <n v="5"/>
    <s v="Q2"/>
    <n v="2025"/>
    <x v="2"/>
    <n v="1448.944"/>
    <n v="228.59400000000005"/>
  </r>
  <r>
    <s v="ORD00092"/>
    <d v="2024-01-03T00:00:00"/>
    <s v="C7213"/>
    <x v="91"/>
    <d v="2024-01-07T00:00:00"/>
    <x v="6"/>
    <x v="5"/>
    <s v="Snacks"/>
    <x v="11"/>
    <s v="Trenton"/>
    <s v="Female"/>
    <n v="45"/>
    <n v="4"/>
    <n v="10"/>
    <s v="P480"/>
    <x v="2"/>
    <x v="2"/>
    <x v="0"/>
    <s v="Britannia"/>
    <n v="1"/>
    <n v="80.2"/>
    <n v="228.83"/>
    <n v="4"/>
    <s v="Q1"/>
    <n v="2024"/>
    <x v="0"/>
    <n v="288.72000000000003"/>
    <n v="59.890000000000015"/>
  </r>
  <r>
    <s v="ORD00093"/>
    <d v="2025-01-26T00:00:00"/>
    <s v="C6249"/>
    <x v="92"/>
    <d v="2025-01-28T00:00:00"/>
    <x v="1"/>
    <x v="1"/>
    <s v="Shirt"/>
    <x v="2"/>
    <s v="Columbus"/>
    <s v="Male"/>
    <n v="63"/>
    <n v="1"/>
    <n v="25"/>
    <s v="P482"/>
    <x v="0"/>
    <x v="4"/>
    <x v="0"/>
    <s v="Puma"/>
    <n v="5"/>
    <n v="517.5"/>
    <n v="228.3"/>
    <n v="2"/>
    <s v="Q1"/>
    <n v="2025"/>
    <x v="0"/>
    <n v="388.125"/>
    <n v="159.82499999999999"/>
  </r>
  <r>
    <s v="ORD00094"/>
    <d v="2026-06-13T00:00:00"/>
    <s v="C5246"/>
    <x v="93"/>
    <d v="2026-06-18T00:00:00"/>
    <x v="4"/>
    <x v="4"/>
    <s v="Mobile"/>
    <x v="22"/>
    <s v="Springfield"/>
    <s v="Female"/>
    <n v="21"/>
    <n v="1"/>
    <n v="10"/>
    <s v="P623"/>
    <x v="2"/>
    <x v="3"/>
    <x v="3"/>
    <s v="Samsung"/>
    <n v="2"/>
    <n v="265.31"/>
    <n v="184.58"/>
    <n v="5"/>
    <s v="Q2"/>
    <n v="2026"/>
    <x v="2"/>
    <n v="238.779"/>
    <n v="54.198999999999984"/>
  </r>
  <r>
    <s v="ORD00095"/>
    <d v="2024-06-07T00:00:00"/>
    <s v="C9481"/>
    <x v="94"/>
    <d v="2024-06-08T00:00:00"/>
    <x v="5"/>
    <x v="3"/>
    <s v="Furniture"/>
    <x v="4"/>
    <s v="Phoenix"/>
    <s v="Male"/>
    <n v="45"/>
    <n v="1"/>
    <n v="15"/>
    <s v="P104"/>
    <x v="2"/>
    <x v="0"/>
    <x v="1"/>
    <s v="IKEA"/>
    <n v="5"/>
    <n v="642.47"/>
    <n v="351.07"/>
    <n v="1"/>
    <s v="Q2"/>
    <n v="2024"/>
    <x v="2"/>
    <n v="546.09950000000003"/>
    <n v="195.02950000000004"/>
  </r>
  <r>
    <s v="ORD00096"/>
    <d v="2024-09-24T00:00:00"/>
    <s v="C6516"/>
    <x v="95"/>
    <d v="2024-09-25T00:00:00"/>
    <x v="0"/>
    <x v="0"/>
    <s v="Skincare"/>
    <x v="5"/>
    <s v="Evansville"/>
    <s v="Female"/>
    <n v="46"/>
    <n v="5"/>
    <n v="10"/>
    <s v="P476"/>
    <x v="2"/>
    <x v="0"/>
    <x v="3"/>
    <s v="Nivea"/>
    <n v="4"/>
    <n v="28.59"/>
    <n v="106.55"/>
    <n v="1"/>
    <s v="Q3"/>
    <n v="2024"/>
    <x v="1"/>
    <n v="128.655"/>
    <n v="22.105000000000004"/>
  </r>
  <r>
    <s v="ORD00097"/>
    <d v="2024-06-01T00:00:00"/>
    <s v="C1634"/>
    <x v="96"/>
    <d v="2024-06-04T00:00:00"/>
    <x v="2"/>
    <x v="2"/>
    <s v="Fitness"/>
    <x v="15"/>
    <s v="Colorado Springs"/>
    <s v="Female"/>
    <n v="37"/>
    <n v="4"/>
    <n v="15"/>
    <s v="P232"/>
    <x v="2"/>
    <x v="1"/>
    <x v="2"/>
    <s v="Decathlon"/>
    <n v="5"/>
    <n v="306.68"/>
    <n v="668.74"/>
    <n v="3"/>
    <s v="Q2"/>
    <n v="2024"/>
    <x v="2"/>
    <n v="1042.712"/>
    <n v="373.97199999999998"/>
  </r>
  <r>
    <s v="ORD00098"/>
    <d v="2024-04-05T00:00:00"/>
    <s v="C4858"/>
    <x v="97"/>
    <d v="2024-04-07T00:00:00"/>
    <x v="7"/>
    <x v="4"/>
    <s v="Laptop"/>
    <x v="20"/>
    <s v="Richmond"/>
    <s v="Female"/>
    <n v="52"/>
    <n v="1"/>
    <n v="15"/>
    <s v="P976"/>
    <x v="1"/>
    <x v="4"/>
    <x v="3"/>
    <s v="Dell"/>
    <n v="2"/>
    <n v="649.78"/>
    <n v="392.88"/>
    <n v="2"/>
    <s v="Q2"/>
    <n v="2024"/>
    <x v="3"/>
    <n v="552.31299999999999"/>
    <n v="159.43299999999999"/>
  </r>
  <r>
    <s v="ORD00099"/>
    <d v="2024-04-20T00:00:00"/>
    <s v="C7168"/>
    <x v="98"/>
    <d v="2024-04-25T00:00:00"/>
    <x v="5"/>
    <x v="3"/>
    <s v="Furniture"/>
    <x v="3"/>
    <s v="Austin"/>
    <s v="Female"/>
    <n v="32"/>
    <n v="2"/>
    <n v="15"/>
    <s v="P210"/>
    <x v="1"/>
    <x v="1"/>
    <x v="2"/>
    <s v="IKEA"/>
    <n v="2"/>
    <n v="627.88"/>
    <n v="599.35"/>
    <n v="5"/>
    <s v="Q2"/>
    <n v="2024"/>
    <x v="3"/>
    <n v="1067.396"/>
    <n v="468.04599999999994"/>
  </r>
  <r>
    <s v="ORD00100"/>
    <d v="2025-03-25T00:00:00"/>
    <s v="C9522"/>
    <x v="99"/>
    <d v="2025-03-27T00:00:00"/>
    <x v="5"/>
    <x v="3"/>
    <s v="Furniture"/>
    <x v="24"/>
    <s v="Eugene"/>
    <s v="Female"/>
    <n v="39"/>
    <n v="5"/>
    <n v="15"/>
    <s v="P828"/>
    <x v="0"/>
    <x v="2"/>
    <x v="1"/>
    <s v="IKEA"/>
    <n v="5"/>
    <n v="416.63"/>
    <n v="1217.06"/>
    <n v="2"/>
    <s v="Q1"/>
    <n v="2025"/>
    <x v="6"/>
    <n v="1770.6775"/>
    <n v="553.61750000000006"/>
  </r>
  <r>
    <s v="ORD00101"/>
    <d v="2025-03-28T00:00:00"/>
    <s v="C9744"/>
    <x v="100"/>
    <d v="2025-04-02T00:00:00"/>
    <x v="1"/>
    <x v="1"/>
    <s v="Shirt"/>
    <x v="2"/>
    <s v="Cincinnati"/>
    <s v="Male"/>
    <n v="49"/>
    <n v="1"/>
    <n v="20"/>
    <s v="P604"/>
    <x v="1"/>
    <x v="0"/>
    <x v="0"/>
    <s v="Puma"/>
    <n v="1"/>
    <n v="473.36"/>
    <n v="312.89999999999998"/>
    <n v="5"/>
    <s v="Q1"/>
    <n v="2025"/>
    <x v="6"/>
    <n v="378.68800000000005"/>
    <n v="65.788000000000068"/>
  </r>
  <r>
    <s v="ORD00102"/>
    <d v="2025-05-24T00:00:00"/>
    <s v="C9889"/>
    <x v="101"/>
    <d v="2025-05-29T00:00:00"/>
    <x v="6"/>
    <x v="5"/>
    <s v="Snacks"/>
    <x v="3"/>
    <s v="San Antonio"/>
    <s v="Female"/>
    <n v="41"/>
    <n v="2"/>
    <n v="15"/>
    <s v="P785"/>
    <x v="1"/>
    <x v="4"/>
    <x v="1"/>
    <s v="Britannia"/>
    <n v="3"/>
    <n v="248.88"/>
    <n v="339.96"/>
    <n v="5"/>
    <s v="Q2"/>
    <n v="2025"/>
    <x v="9"/>
    <n v="423.096"/>
    <n v="83.136000000000024"/>
  </r>
  <r>
    <s v="ORD00103"/>
    <d v="2024-01-27T00:00:00"/>
    <s v="C2823"/>
    <x v="102"/>
    <d v="2024-02-02T00:00:00"/>
    <x v="6"/>
    <x v="5"/>
    <s v="Snacks"/>
    <x v="7"/>
    <s v="Albany"/>
    <s v="Female"/>
    <n v="26"/>
    <n v="5"/>
    <n v="0"/>
    <s v="P732"/>
    <x v="1"/>
    <x v="4"/>
    <x v="1"/>
    <s v="Britannia"/>
    <n v="3"/>
    <n v="275.02"/>
    <n v="714.94"/>
    <n v="6"/>
    <s v="Q1"/>
    <n v="2024"/>
    <x v="0"/>
    <n v="1375.1"/>
    <n v="660.15999999999985"/>
  </r>
  <r>
    <s v="ORD00104"/>
    <d v="2024-01-06T00:00:00"/>
    <s v="C3116"/>
    <x v="103"/>
    <d v="2024-01-12T00:00:00"/>
    <x v="2"/>
    <x v="2"/>
    <s v="Fitness"/>
    <x v="12"/>
    <s v="Grand Rapids"/>
    <s v="Female"/>
    <n v="18"/>
    <n v="3"/>
    <n v="5"/>
    <s v="P110"/>
    <x v="2"/>
    <x v="1"/>
    <x v="3"/>
    <s v="Decathlon"/>
    <n v="5"/>
    <n v="674.61"/>
    <n v="1381.79"/>
    <n v="6"/>
    <s v="Q1"/>
    <n v="2024"/>
    <x v="0"/>
    <n v="1922.6384999999998"/>
    <n v="540.84849999999983"/>
  </r>
  <r>
    <s v="ORD00105"/>
    <d v="2026-02-01T00:00:00"/>
    <s v="C2903"/>
    <x v="104"/>
    <d v="2026-02-03T00:00:00"/>
    <x v="3"/>
    <x v="3"/>
    <s v="Kitchen"/>
    <x v="2"/>
    <s v="Cincinnati"/>
    <s v="Female"/>
    <n v="43"/>
    <n v="1"/>
    <n v="25"/>
    <s v="P576"/>
    <x v="2"/>
    <x v="3"/>
    <x v="2"/>
    <s v="Philips"/>
    <n v="3"/>
    <n v="612.99"/>
    <n v="335.21"/>
    <n v="2"/>
    <s v="Q1"/>
    <n v="2026"/>
    <x v="5"/>
    <n v="459.74250000000001"/>
    <n v="124.53250000000003"/>
  </r>
  <r>
    <s v="ORD00106"/>
    <d v="2024-06-27T00:00:00"/>
    <s v="C8011"/>
    <x v="105"/>
    <d v="2024-06-29T00:00:00"/>
    <x v="2"/>
    <x v="2"/>
    <s v="Fitness"/>
    <x v="1"/>
    <s v="San Francisco"/>
    <s v="Male"/>
    <n v="19"/>
    <n v="5"/>
    <n v="30"/>
    <s v="P250"/>
    <x v="0"/>
    <x v="4"/>
    <x v="3"/>
    <s v="Decathlon"/>
    <n v="3"/>
    <n v="272.60000000000002"/>
    <n v="591.5"/>
    <n v="2"/>
    <s v="Q2"/>
    <n v="2024"/>
    <x v="2"/>
    <n v="954.09999999999991"/>
    <n v="362.59999999999991"/>
  </r>
  <r>
    <s v="ORD00107"/>
    <d v="2025-02-18T00:00:00"/>
    <s v="C3402"/>
    <x v="106"/>
    <d v="2025-02-21T00:00:00"/>
    <x v="6"/>
    <x v="5"/>
    <s v="Snacks"/>
    <x v="12"/>
    <s v="Lansing"/>
    <s v="Female"/>
    <n v="57"/>
    <n v="4"/>
    <n v="10"/>
    <s v="P977"/>
    <x v="0"/>
    <x v="2"/>
    <x v="0"/>
    <s v="Britannia"/>
    <n v="2"/>
    <n v="768.8"/>
    <n v="1594"/>
    <n v="3"/>
    <s v="Q1"/>
    <n v="2025"/>
    <x v="5"/>
    <n v="2767.68"/>
    <n v="1173.6799999999998"/>
  </r>
  <r>
    <s v="ORD00108"/>
    <d v="2025-10-30T00:00:00"/>
    <s v="C5900"/>
    <x v="107"/>
    <d v="2025-11-02T00:00:00"/>
    <x v="0"/>
    <x v="0"/>
    <s v="Skincare"/>
    <x v="6"/>
    <s v="Charlotte"/>
    <s v="Female"/>
    <n v="59"/>
    <n v="2"/>
    <n v="5"/>
    <s v="P230"/>
    <x v="0"/>
    <x v="2"/>
    <x v="1"/>
    <s v="Nivea"/>
    <n v="3"/>
    <n v="907.65"/>
    <n v="1389.01"/>
    <n v="3"/>
    <s v="Q4"/>
    <n v="2025"/>
    <x v="8"/>
    <n v="1724.5349999999999"/>
    <n v="335.52499999999986"/>
  </r>
  <r>
    <s v="ORD00109"/>
    <d v="2025-09-16T00:00:00"/>
    <s v="C2312"/>
    <x v="108"/>
    <d v="2025-09-19T00:00:00"/>
    <x v="7"/>
    <x v="4"/>
    <s v="Laptop"/>
    <x v="8"/>
    <s v="Tampa"/>
    <s v="Male"/>
    <n v="39"/>
    <n v="3"/>
    <n v="0"/>
    <s v="P554"/>
    <x v="0"/>
    <x v="2"/>
    <x v="0"/>
    <s v="Dell"/>
    <n v="1"/>
    <n v="932.33"/>
    <n v="2335.0100000000002"/>
    <n v="3"/>
    <s v="Q3"/>
    <n v="2025"/>
    <x v="1"/>
    <n v="2796.9900000000002"/>
    <n v="461.98"/>
  </r>
  <r>
    <s v="ORD00110"/>
    <d v="2026-01-08T00:00:00"/>
    <s v="C4825"/>
    <x v="109"/>
    <d v="2026-01-14T00:00:00"/>
    <x v="2"/>
    <x v="2"/>
    <s v="Fitness"/>
    <x v="12"/>
    <s v="Grand Rapids"/>
    <s v="Male"/>
    <n v="46"/>
    <n v="1"/>
    <n v="25"/>
    <s v="P587"/>
    <x v="1"/>
    <x v="4"/>
    <x v="1"/>
    <s v="Decathlon"/>
    <n v="2"/>
    <n v="144.76"/>
    <n v="69.47"/>
    <n v="6"/>
    <s v="Q1"/>
    <n v="2026"/>
    <x v="0"/>
    <n v="108.57"/>
    <n v="39.099999999999994"/>
  </r>
  <r>
    <s v="ORD00111"/>
    <d v="2024-08-02T00:00:00"/>
    <s v="C1465"/>
    <x v="110"/>
    <d v="2024-08-03T00:00:00"/>
    <x v="6"/>
    <x v="5"/>
    <s v="Snacks"/>
    <x v="0"/>
    <s v="Cambridge"/>
    <s v="Male"/>
    <n v="63"/>
    <n v="5"/>
    <n v="5"/>
    <s v="P944"/>
    <x v="2"/>
    <x v="1"/>
    <x v="2"/>
    <s v="Britannia"/>
    <n v="5"/>
    <n v="75.59"/>
    <n v="260.01"/>
    <n v="1"/>
    <s v="Q3"/>
    <n v="2024"/>
    <x v="11"/>
    <n v="359.05250000000001"/>
    <n v="99.042500000000018"/>
  </r>
  <r>
    <s v="ORD00112"/>
    <d v="2024-03-11T00:00:00"/>
    <s v="C1346"/>
    <x v="111"/>
    <d v="2024-03-14T00:00:00"/>
    <x v="7"/>
    <x v="4"/>
    <s v="Laptop"/>
    <x v="19"/>
    <s v="Annapolis"/>
    <s v="Male"/>
    <n v="28"/>
    <n v="1"/>
    <n v="10"/>
    <s v="P550"/>
    <x v="1"/>
    <x v="3"/>
    <x v="0"/>
    <s v="Dell"/>
    <n v="5"/>
    <n v="130.5"/>
    <n v="88.2"/>
    <n v="3"/>
    <s v="Q1"/>
    <n v="2024"/>
    <x v="6"/>
    <n v="117.45"/>
    <n v="29.25"/>
  </r>
  <r>
    <s v="ORD00113"/>
    <d v="2024-08-20T00:00:00"/>
    <s v="C5486"/>
    <x v="112"/>
    <d v="2024-08-24T00:00:00"/>
    <x v="0"/>
    <x v="0"/>
    <s v="Skincare"/>
    <x v="8"/>
    <s v="Tampa"/>
    <s v="Female"/>
    <n v="27"/>
    <n v="4"/>
    <n v="30"/>
    <s v="P350"/>
    <x v="2"/>
    <x v="2"/>
    <x v="0"/>
    <s v="Nivea"/>
    <n v="1"/>
    <n v="369.7"/>
    <n v="609.29999999999995"/>
    <n v="4"/>
    <s v="Q3"/>
    <n v="2024"/>
    <x v="11"/>
    <n v="1035.1599999999999"/>
    <n v="425.8599999999999"/>
  </r>
  <r>
    <s v="ORD00114"/>
    <d v="2026-04-13T00:00:00"/>
    <s v="C3152"/>
    <x v="113"/>
    <d v="2026-04-18T00:00:00"/>
    <x v="7"/>
    <x v="4"/>
    <s v="Laptop"/>
    <x v="7"/>
    <s v="Rochester"/>
    <s v="Male"/>
    <n v="40"/>
    <n v="5"/>
    <n v="10"/>
    <s v="P957"/>
    <x v="1"/>
    <x v="1"/>
    <x v="1"/>
    <s v="Dell"/>
    <n v="3"/>
    <n v="308.11"/>
    <n v="1169.07"/>
    <n v="5"/>
    <s v="Q2"/>
    <n v="2026"/>
    <x v="3"/>
    <n v="1386.4950000000001"/>
    <n v="217.42500000000018"/>
  </r>
  <r>
    <s v="ORD00115"/>
    <d v="2025-07-08T00:00:00"/>
    <s v="C5079"/>
    <x v="114"/>
    <d v="2025-07-14T00:00:00"/>
    <x v="5"/>
    <x v="3"/>
    <s v="Furniture"/>
    <x v="1"/>
    <s v="San Diego"/>
    <s v="Male"/>
    <n v="54"/>
    <n v="1"/>
    <n v="10"/>
    <s v="P746"/>
    <x v="0"/>
    <x v="3"/>
    <x v="0"/>
    <s v="IKEA"/>
    <n v="2"/>
    <n v="388.1"/>
    <n v="276.12"/>
    <n v="6"/>
    <s v="Q3"/>
    <n v="2025"/>
    <x v="4"/>
    <n v="349.29"/>
    <n v="73.170000000000016"/>
  </r>
  <r>
    <s v="ORD00116"/>
    <d v="2025-11-12T00:00:00"/>
    <s v="C2315"/>
    <x v="115"/>
    <d v="2025-11-14T00:00:00"/>
    <x v="2"/>
    <x v="2"/>
    <s v="Fitness"/>
    <x v="11"/>
    <s v="Jersey City"/>
    <s v="Female"/>
    <n v="60"/>
    <n v="4"/>
    <n v="20"/>
    <s v="P721"/>
    <x v="1"/>
    <x v="1"/>
    <x v="2"/>
    <s v="Decathlon"/>
    <n v="4"/>
    <n v="584.17999999999995"/>
    <n v="1537.11"/>
    <n v="2"/>
    <s v="Q4"/>
    <n v="2025"/>
    <x v="10"/>
    <n v="1869.376"/>
    <n v="332.26600000000008"/>
  </r>
  <r>
    <s v="ORD00117"/>
    <d v="2026-01-20T00:00:00"/>
    <s v="C7042"/>
    <x v="116"/>
    <d v="2026-01-21T00:00:00"/>
    <x v="8"/>
    <x v="1"/>
    <s v="Shoes"/>
    <x v="3"/>
    <s v="Dallas"/>
    <s v="Female"/>
    <n v="38"/>
    <n v="2"/>
    <n v="15"/>
    <s v="P858"/>
    <x v="0"/>
    <x v="4"/>
    <x v="1"/>
    <s v="Nike"/>
    <n v="4"/>
    <n v="247.48"/>
    <n v="297.77999999999997"/>
    <n v="1"/>
    <s v="Q1"/>
    <n v="2026"/>
    <x v="0"/>
    <n v="420.71599999999995"/>
    <n v="122.93599999999998"/>
  </r>
  <r>
    <s v="ORD00118"/>
    <d v="2026-01-12T00:00:00"/>
    <s v="C1118"/>
    <x v="117"/>
    <d v="2026-01-17T00:00:00"/>
    <x v="0"/>
    <x v="0"/>
    <s v="Skincare"/>
    <x v="4"/>
    <s v="Mesa"/>
    <s v="Female"/>
    <n v="42"/>
    <n v="4"/>
    <n v="5"/>
    <s v="P570"/>
    <x v="2"/>
    <x v="2"/>
    <x v="0"/>
    <s v="Nivea"/>
    <n v="4"/>
    <n v="762.62"/>
    <n v="1818.47"/>
    <n v="5"/>
    <s v="Q1"/>
    <n v="2026"/>
    <x v="0"/>
    <n v="2897.9559999999997"/>
    <n v="1079.4859999999996"/>
  </r>
  <r>
    <s v="ORD00119"/>
    <d v="2026-04-26T00:00:00"/>
    <s v="C5634"/>
    <x v="118"/>
    <d v="2026-04-30T00:00:00"/>
    <x v="6"/>
    <x v="5"/>
    <s v="Snacks"/>
    <x v="14"/>
    <s v="St. Louis"/>
    <s v="Female"/>
    <n v="48"/>
    <n v="2"/>
    <n v="10"/>
    <s v="P730"/>
    <x v="2"/>
    <x v="2"/>
    <x v="3"/>
    <s v="Britannia"/>
    <n v="3"/>
    <n v="515.66"/>
    <n v="528.78"/>
    <n v="4"/>
    <s v="Q2"/>
    <n v="2026"/>
    <x v="3"/>
    <n v="928.18799999999999"/>
    <n v="399.40800000000002"/>
  </r>
  <r>
    <s v="ORD00120"/>
    <d v="2026-01-14T00:00:00"/>
    <s v="C8914"/>
    <x v="119"/>
    <d v="2026-01-18T00:00:00"/>
    <x v="6"/>
    <x v="5"/>
    <s v="Snacks"/>
    <x v="15"/>
    <s v="Boulder"/>
    <s v="Male"/>
    <n v="34"/>
    <n v="2"/>
    <n v="25"/>
    <s v="P802"/>
    <x v="1"/>
    <x v="3"/>
    <x v="2"/>
    <s v="Britannia"/>
    <n v="3"/>
    <n v="961.36"/>
    <n v="1066.18"/>
    <n v="4"/>
    <s v="Q1"/>
    <n v="2026"/>
    <x v="0"/>
    <n v="1442.04"/>
    <n v="375.8599999999999"/>
  </r>
  <r>
    <s v="ORD00121"/>
    <d v="2026-01-26T00:00:00"/>
    <s v="C6746"/>
    <x v="120"/>
    <d v="2026-02-02T00:00:00"/>
    <x v="2"/>
    <x v="2"/>
    <s v="Fitness"/>
    <x v="16"/>
    <s v="Tacoma"/>
    <s v="Male"/>
    <n v="55"/>
    <n v="5"/>
    <n v="25"/>
    <s v="P108"/>
    <x v="1"/>
    <x v="4"/>
    <x v="1"/>
    <s v="Decathlon"/>
    <n v="3"/>
    <n v="451.63"/>
    <n v="1011.27"/>
    <n v="7"/>
    <s v="Q1"/>
    <n v="2026"/>
    <x v="0"/>
    <n v="1693.6125000000002"/>
    <n v="682.3425000000002"/>
  </r>
  <r>
    <s v="ORD00122"/>
    <d v="2025-06-03T00:00:00"/>
    <s v="C9547"/>
    <x v="121"/>
    <d v="2025-06-05T00:00:00"/>
    <x v="4"/>
    <x v="4"/>
    <s v="Mobile"/>
    <x v="24"/>
    <s v="Salem"/>
    <s v="Male"/>
    <n v="28"/>
    <n v="3"/>
    <n v="15"/>
    <s v="P464"/>
    <x v="0"/>
    <x v="0"/>
    <x v="2"/>
    <s v="Samsung"/>
    <n v="2"/>
    <n v="13.21"/>
    <n v="22.23"/>
    <n v="2"/>
    <s v="Q2"/>
    <n v="2025"/>
    <x v="2"/>
    <n v="33.685500000000005"/>
    <n v="11.455500000000004"/>
  </r>
  <r>
    <s v="ORD00123"/>
    <d v="2025-04-26T00:00:00"/>
    <s v="C9053"/>
    <x v="122"/>
    <d v="2025-04-27T00:00:00"/>
    <x v="5"/>
    <x v="3"/>
    <s v="Furniture"/>
    <x v="6"/>
    <s v="Raleigh"/>
    <s v="Male"/>
    <n v="53"/>
    <n v="5"/>
    <n v="5"/>
    <s v="P177"/>
    <x v="1"/>
    <x v="4"/>
    <x v="1"/>
    <s v="IKEA"/>
    <n v="1"/>
    <n v="773.09"/>
    <n v="2088.58"/>
    <n v="1"/>
    <s v="Q2"/>
    <n v="2025"/>
    <x v="3"/>
    <n v="3672.1775000000002"/>
    <n v="1583.5975000000003"/>
  </r>
  <r>
    <s v="ORD00124"/>
    <d v="2026-04-11T00:00:00"/>
    <s v="C3262"/>
    <x v="123"/>
    <d v="2026-04-13T00:00:00"/>
    <x v="8"/>
    <x v="1"/>
    <s v="Shoes"/>
    <x v="21"/>
    <s v="Greenville"/>
    <s v="Male"/>
    <n v="54"/>
    <n v="4"/>
    <n v="30"/>
    <s v="P752"/>
    <x v="1"/>
    <x v="3"/>
    <x v="1"/>
    <s v="Nike"/>
    <n v="1"/>
    <n v="952.95"/>
    <n v="1921.72"/>
    <n v="2"/>
    <s v="Q2"/>
    <n v="2026"/>
    <x v="3"/>
    <n v="2668.2599999999998"/>
    <n v="746.53999999999974"/>
  </r>
  <r>
    <s v="ORD00125"/>
    <d v="2024-05-19T00:00:00"/>
    <s v="C2808"/>
    <x v="124"/>
    <d v="2024-05-21T00:00:00"/>
    <x v="4"/>
    <x v="4"/>
    <s v="Mobile"/>
    <x v="3"/>
    <s v="Austin"/>
    <s v="Male"/>
    <n v="29"/>
    <n v="1"/>
    <n v="20"/>
    <s v="P143"/>
    <x v="0"/>
    <x v="1"/>
    <x v="2"/>
    <s v="Samsung"/>
    <n v="5"/>
    <n v="307.58999999999997"/>
    <n v="135.82"/>
    <n v="2"/>
    <s v="Q2"/>
    <n v="2024"/>
    <x v="9"/>
    <n v="246.072"/>
    <n v="110.25200000000001"/>
  </r>
  <r>
    <s v="ORD00126"/>
    <d v="2024-11-17T00:00:00"/>
    <s v="C8574"/>
    <x v="125"/>
    <d v="2024-11-21T00:00:00"/>
    <x v="8"/>
    <x v="1"/>
    <s v="Shoes"/>
    <x v="6"/>
    <s v="Charlotte"/>
    <s v="Female"/>
    <n v="52"/>
    <n v="3"/>
    <n v="15"/>
    <s v="P527"/>
    <x v="2"/>
    <x v="1"/>
    <x v="0"/>
    <s v="Nike"/>
    <n v="4"/>
    <n v="818.3"/>
    <n v="1080.3599999999999"/>
    <n v="4"/>
    <s v="Q4"/>
    <n v="2024"/>
    <x v="10"/>
    <n v="2086.6649999999995"/>
    <n v="1006.3049999999996"/>
  </r>
  <r>
    <s v="ORD00127"/>
    <d v="2024-12-21T00:00:00"/>
    <s v="C2658"/>
    <x v="126"/>
    <d v="2024-12-26T00:00:00"/>
    <x v="8"/>
    <x v="1"/>
    <s v="Shoes"/>
    <x v="20"/>
    <s v="Richmond"/>
    <s v="Male"/>
    <n v="23"/>
    <n v="1"/>
    <n v="10"/>
    <s v="P962"/>
    <x v="2"/>
    <x v="4"/>
    <x v="2"/>
    <s v="Nike"/>
    <n v="5"/>
    <n v="310.38"/>
    <n v="225.49"/>
    <n v="5"/>
    <s v="Q4"/>
    <n v="2024"/>
    <x v="7"/>
    <n v="279.34199999999998"/>
    <n v="53.851999999999975"/>
  </r>
  <r>
    <s v="ORD00128"/>
    <d v="2024-12-06T00:00:00"/>
    <s v="C5991"/>
    <x v="127"/>
    <d v="2024-12-12T00:00:00"/>
    <x v="2"/>
    <x v="2"/>
    <s v="Fitness"/>
    <x v="18"/>
    <s v="Nashville"/>
    <s v="Male"/>
    <n v="63"/>
    <n v="3"/>
    <n v="25"/>
    <s v="P384"/>
    <x v="2"/>
    <x v="1"/>
    <x v="1"/>
    <s v="Decathlon"/>
    <n v="4"/>
    <n v="903.29"/>
    <n v="1427.85"/>
    <n v="6"/>
    <s v="Q4"/>
    <n v="2024"/>
    <x v="7"/>
    <n v="2032.4024999999999"/>
    <n v="604.55250000000001"/>
  </r>
  <r>
    <s v="ORD00129"/>
    <d v="2025-12-01T00:00:00"/>
    <s v="C2146"/>
    <x v="128"/>
    <d v="2025-12-03T00:00:00"/>
    <x v="7"/>
    <x v="4"/>
    <s v="Laptop"/>
    <x v="8"/>
    <s v="Miami"/>
    <s v="Male"/>
    <n v="20"/>
    <n v="2"/>
    <n v="5"/>
    <s v="P261"/>
    <x v="1"/>
    <x v="3"/>
    <x v="3"/>
    <s v="Dell"/>
    <n v="2"/>
    <n v="356.72"/>
    <n v="562.77"/>
    <n v="2"/>
    <s v="Q4"/>
    <n v="2025"/>
    <x v="7"/>
    <n v="677.76800000000003"/>
    <n v="114.99800000000005"/>
  </r>
  <r>
    <s v="ORD00130"/>
    <d v="2025-04-13T00:00:00"/>
    <s v="C4815"/>
    <x v="129"/>
    <d v="2025-04-17T00:00:00"/>
    <x v="5"/>
    <x v="3"/>
    <s v="Furniture"/>
    <x v="8"/>
    <s v="Miami"/>
    <s v="Female"/>
    <n v="29"/>
    <n v="3"/>
    <n v="15"/>
    <s v="P920"/>
    <x v="0"/>
    <x v="1"/>
    <x v="0"/>
    <s v="IKEA"/>
    <n v="5"/>
    <n v="346.09"/>
    <n v="480.72"/>
    <n v="4"/>
    <s v="Q2"/>
    <n v="2025"/>
    <x v="3"/>
    <n v="882.52949999999998"/>
    <n v="401.80949999999996"/>
  </r>
  <r>
    <s v="ORD00131"/>
    <d v="2025-10-28T00:00:00"/>
    <s v="C3531"/>
    <x v="130"/>
    <d v="2025-11-02T00:00:00"/>
    <x v="6"/>
    <x v="5"/>
    <s v="Snacks"/>
    <x v="1"/>
    <s v="Los Angeles"/>
    <s v="Female"/>
    <n v="60"/>
    <n v="3"/>
    <n v="20"/>
    <s v="P783"/>
    <x v="1"/>
    <x v="0"/>
    <x v="3"/>
    <s v="Britannia"/>
    <n v="3"/>
    <n v="257.86"/>
    <n v="371.99"/>
    <n v="5"/>
    <s v="Q4"/>
    <n v="2025"/>
    <x v="8"/>
    <n v="618.86400000000003"/>
    <n v="246.87400000000002"/>
  </r>
  <r>
    <s v="ORD00132"/>
    <d v="2026-02-03T00:00:00"/>
    <s v="C8102"/>
    <x v="131"/>
    <d v="2026-02-08T00:00:00"/>
    <x v="4"/>
    <x v="4"/>
    <s v="Mobile"/>
    <x v="7"/>
    <s v="Albany"/>
    <s v="Female"/>
    <n v="21"/>
    <n v="3"/>
    <n v="0"/>
    <s v="P613"/>
    <x v="2"/>
    <x v="2"/>
    <x v="2"/>
    <s v="Samsung"/>
    <n v="5"/>
    <n v="566.97"/>
    <n v="921.05"/>
    <n v="5"/>
    <s v="Q1"/>
    <n v="2026"/>
    <x v="5"/>
    <n v="1700.91"/>
    <n v="779.86000000000013"/>
  </r>
  <r>
    <s v="ORD00133"/>
    <d v="2024-09-22T00:00:00"/>
    <s v="C5568"/>
    <x v="132"/>
    <d v="2024-09-29T00:00:00"/>
    <x v="5"/>
    <x v="3"/>
    <s v="Furniture"/>
    <x v="8"/>
    <s v="Jacksonville"/>
    <s v="Female"/>
    <n v="56"/>
    <n v="1"/>
    <n v="25"/>
    <s v="P475"/>
    <x v="2"/>
    <x v="0"/>
    <x v="1"/>
    <s v="IKEA"/>
    <n v="2"/>
    <n v="109.69"/>
    <n v="42.25"/>
    <n v="7"/>
    <s v="Q3"/>
    <n v="2024"/>
    <x v="1"/>
    <n v="82.267499999999998"/>
    <n v="40.017499999999998"/>
  </r>
  <r>
    <s v="ORD00134"/>
    <d v="2025-07-11T00:00:00"/>
    <s v="C1816"/>
    <x v="133"/>
    <d v="2025-07-17T00:00:00"/>
    <x v="7"/>
    <x v="4"/>
    <s v="Laptop"/>
    <x v="9"/>
    <s v="Birmingham"/>
    <s v="Female"/>
    <n v="45"/>
    <n v="5"/>
    <n v="10"/>
    <s v="P561"/>
    <x v="0"/>
    <x v="0"/>
    <x v="1"/>
    <s v="Dell"/>
    <n v="5"/>
    <n v="694.87"/>
    <n v="2472.0700000000002"/>
    <n v="6"/>
    <s v="Q3"/>
    <n v="2025"/>
    <x v="4"/>
    <n v="3126.915"/>
    <n v="654.8449999999998"/>
  </r>
  <r>
    <s v="ORD00135"/>
    <d v="2026-04-17T00:00:00"/>
    <s v="C9416"/>
    <x v="134"/>
    <d v="2026-04-21T00:00:00"/>
    <x v="3"/>
    <x v="3"/>
    <s v="Kitchen"/>
    <x v="14"/>
    <s v="St. Louis"/>
    <s v="Female"/>
    <n v="37"/>
    <n v="3"/>
    <n v="0"/>
    <s v="P701"/>
    <x v="1"/>
    <x v="3"/>
    <x v="3"/>
    <s v="Philips"/>
    <n v="4"/>
    <n v="867.99"/>
    <n v="1798.51"/>
    <n v="4"/>
    <s v="Q2"/>
    <n v="2026"/>
    <x v="3"/>
    <n v="2603.9700000000003"/>
    <n v="805.46000000000026"/>
  </r>
  <r>
    <s v="ORD00136"/>
    <d v="2025-08-07T00:00:00"/>
    <s v="C5765"/>
    <x v="135"/>
    <d v="2025-08-09T00:00:00"/>
    <x v="5"/>
    <x v="3"/>
    <s v="Furniture"/>
    <x v="3"/>
    <s v="Austin"/>
    <s v="Female"/>
    <n v="38"/>
    <n v="2"/>
    <n v="10"/>
    <s v="P814"/>
    <x v="2"/>
    <x v="2"/>
    <x v="2"/>
    <s v="IKEA"/>
    <n v="1"/>
    <n v="533.57000000000005"/>
    <n v="737.78"/>
    <n v="2"/>
    <s v="Q3"/>
    <n v="2025"/>
    <x v="11"/>
    <n v="960.42600000000016"/>
    <n v="222.64600000000019"/>
  </r>
  <r>
    <s v="ORD00137"/>
    <d v="2026-01-14T00:00:00"/>
    <s v="C5953"/>
    <x v="136"/>
    <d v="2026-01-17T00:00:00"/>
    <x v="8"/>
    <x v="1"/>
    <s v="Shoes"/>
    <x v="1"/>
    <s v="Sacramento"/>
    <s v="Female"/>
    <n v="22"/>
    <n v="4"/>
    <n v="15"/>
    <s v="P126"/>
    <x v="2"/>
    <x v="3"/>
    <x v="0"/>
    <s v="Nike"/>
    <n v="1"/>
    <n v="119.08"/>
    <n v="288.19"/>
    <n v="3"/>
    <s v="Q1"/>
    <n v="2026"/>
    <x v="0"/>
    <n v="404.87199999999996"/>
    <n v="116.68199999999996"/>
  </r>
  <r>
    <s v="ORD00138"/>
    <d v="2026-01-18T00:00:00"/>
    <s v="C7054"/>
    <x v="137"/>
    <d v="2026-01-19T00:00:00"/>
    <x v="2"/>
    <x v="2"/>
    <s v="Fitness"/>
    <x v="3"/>
    <s v="Houston"/>
    <s v="Female"/>
    <n v="19"/>
    <n v="5"/>
    <n v="30"/>
    <s v="P981"/>
    <x v="1"/>
    <x v="1"/>
    <x v="2"/>
    <s v="Decathlon"/>
    <n v="4"/>
    <n v="852.41"/>
    <n v="2157.14"/>
    <n v="1"/>
    <s v="Q1"/>
    <n v="2026"/>
    <x v="0"/>
    <n v="2983.4349999999999"/>
    <n v="826.29500000000007"/>
  </r>
  <r>
    <s v="ORD00139"/>
    <d v="2025-04-14T00:00:00"/>
    <s v="C3319"/>
    <x v="138"/>
    <d v="2025-04-16T00:00:00"/>
    <x v="1"/>
    <x v="1"/>
    <s v="Shirt"/>
    <x v="12"/>
    <s v="Grand Rapids"/>
    <s v="Male"/>
    <n v="50"/>
    <n v="5"/>
    <n v="25"/>
    <s v="P252"/>
    <x v="0"/>
    <x v="3"/>
    <x v="1"/>
    <s v="Puma"/>
    <n v="3"/>
    <n v="508.13"/>
    <n v="1020.7"/>
    <n v="2"/>
    <s v="Q2"/>
    <n v="2025"/>
    <x v="3"/>
    <n v="1905.4875000000002"/>
    <n v="884.78750000000014"/>
  </r>
  <r>
    <s v="ORD00140"/>
    <d v="2026-06-17T00:00:00"/>
    <s v="C6559"/>
    <x v="139"/>
    <d v="2026-06-22T00:00:00"/>
    <x v="6"/>
    <x v="5"/>
    <s v="Snacks"/>
    <x v="16"/>
    <s v="Tacoma"/>
    <s v="Male"/>
    <n v="27"/>
    <n v="4"/>
    <n v="0"/>
    <s v="P259"/>
    <x v="1"/>
    <x v="3"/>
    <x v="1"/>
    <s v="Britannia"/>
    <n v="3"/>
    <n v="582.79"/>
    <n v="1416.81"/>
    <n v="5"/>
    <s v="Q2"/>
    <n v="2026"/>
    <x v="2"/>
    <n v="2331.16"/>
    <n v="914.34999999999991"/>
  </r>
  <r>
    <s v="ORD00141"/>
    <d v="2024-03-18T00:00:00"/>
    <s v="C6325"/>
    <x v="140"/>
    <d v="2024-03-22T00:00:00"/>
    <x v="0"/>
    <x v="0"/>
    <s v="Skincare"/>
    <x v="0"/>
    <s v="Cambridge"/>
    <s v="Female"/>
    <n v="28"/>
    <n v="3"/>
    <n v="25"/>
    <s v="P773"/>
    <x v="2"/>
    <x v="1"/>
    <x v="1"/>
    <s v="Nivea"/>
    <n v="4"/>
    <n v="123.99"/>
    <n v="212.47"/>
    <n v="4"/>
    <s v="Q1"/>
    <n v="2024"/>
    <x v="6"/>
    <n v="278.97749999999996"/>
    <n v="66.507499999999965"/>
  </r>
  <r>
    <s v="ORD00142"/>
    <d v="2025-07-26T00:00:00"/>
    <s v="C1447"/>
    <x v="141"/>
    <d v="2025-07-30T00:00:00"/>
    <x v="1"/>
    <x v="1"/>
    <s v="Shirt"/>
    <x v="17"/>
    <s v="Pittsburgh"/>
    <s v="Male"/>
    <n v="61"/>
    <n v="2"/>
    <n v="15"/>
    <s v="P628"/>
    <x v="2"/>
    <x v="3"/>
    <x v="3"/>
    <s v="Puma"/>
    <n v="1"/>
    <n v="189.72"/>
    <n v="241.89"/>
    <n v="4"/>
    <s v="Q3"/>
    <n v="2025"/>
    <x v="4"/>
    <n v="322.524"/>
    <n v="80.634000000000015"/>
  </r>
  <r>
    <s v="ORD00143"/>
    <d v="2025-06-02T00:00:00"/>
    <s v="C3118"/>
    <x v="142"/>
    <d v="2025-06-07T00:00:00"/>
    <x v="4"/>
    <x v="4"/>
    <s v="Mobile"/>
    <x v="17"/>
    <s v="Pittsburgh"/>
    <s v="Female"/>
    <n v="23"/>
    <n v="4"/>
    <n v="30"/>
    <s v="P411"/>
    <x v="1"/>
    <x v="0"/>
    <x v="0"/>
    <s v="Samsung"/>
    <n v="3"/>
    <n v="301.04000000000002"/>
    <n v="469.83"/>
    <n v="5"/>
    <s v="Q2"/>
    <n v="2025"/>
    <x v="2"/>
    <n v="842.91200000000003"/>
    <n v="373.08200000000005"/>
  </r>
  <r>
    <s v="ORD00144"/>
    <d v="2025-07-29T00:00:00"/>
    <s v="C8300"/>
    <x v="143"/>
    <d v="2025-08-02T00:00:00"/>
    <x v="7"/>
    <x v="4"/>
    <s v="Laptop"/>
    <x v="7"/>
    <s v="New York"/>
    <s v="Female"/>
    <n v="38"/>
    <n v="3"/>
    <n v="15"/>
    <s v="P847"/>
    <x v="2"/>
    <x v="2"/>
    <x v="1"/>
    <s v="Dell"/>
    <n v="1"/>
    <n v="164.59"/>
    <n v="305.98"/>
    <n v="4"/>
    <s v="Q3"/>
    <n v="2025"/>
    <x v="4"/>
    <n v="419.7045"/>
    <n v="113.72449999999998"/>
  </r>
  <r>
    <s v="ORD00145"/>
    <d v="2026-01-15T00:00:00"/>
    <s v="C4482"/>
    <x v="144"/>
    <d v="2026-01-16T00:00:00"/>
    <x v="1"/>
    <x v="1"/>
    <s v="Shirt"/>
    <x v="8"/>
    <s v="Jacksonville"/>
    <s v="Female"/>
    <n v="32"/>
    <n v="3"/>
    <n v="15"/>
    <s v="P835"/>
    <x v="0"/>
    <x v="3"/>
    <x v="2"/>
    <s v="Puma"/>
    <n v="3"/>
    <n v="731.52"/>
    <n v="1039.6099999999999"/>
    <n v="1"/>
    <s v="Q1"/>
    <n v="2026"/>
    <x v="0"/>
    <n v="1865.376"/>
    <n v="825.76600000000008"/>
  </r>
  <r>
    <s v="ORD00146"/>
    <d v="2025-06-30T00:00:00"/>
    <s v="C5766"/>
    <x v="145"/>
    <d v="2025-07-05T00:00:00"/>
    <x v="8"/>
    <x v="1"/>
    <s v="Shoes"/>
    <x v="12"/>
    <s v="Detroit"/>
    <s v="Female"/>
    <n v="63"/>
    <n v="4"/>
    <n v="0"/>
    <s v="P518"/>
    <x v="1"/>
    <x v="2"/>
    <x v="3"/>
    <s v="Nike"/>
    <n v="3"/>
    <n v="630.26"/>
    <n v="1574.12"/>
    <n v="5"/>
    <s v="Q2"/>
    <n v="2025"/>
    <x v="2"/>
    <n v="2521.04"/>
    <n v="946.92000000000007"/>
  </r>
  <r>
    <s v="ORD00147"/>
    <d v="2026-01-09T00:00:00"/>
    <s v="C9907"/>
    <x v="146"/>
    <d v="2026-01-14T00:00:00"/>
    <x v="6"/>
    <x v="5"/>
    <s v="Snacks"/>
    <x v="8"/>
    <s v="Miami"/>
    <s v="Male"/>
    <n v="21"/>
    <n v="3"/>
    <n v="30"/>
    <s v="P189"/>
    <x v="2"/>
    <x v="1"/>
    <x v="1"/>
    <s v="Britannia"/>
    <n v="1"/>
    <n v="216.06"/>
    <n v="228.23"/>
    <n v="5"/>
    <s v="Q1"/>
    <n v="2026"/>
    <x v="0"/>
    <n v="453.726"/>
    <n v="225.49600000000001"/>
  </r>
  <r>
    <s v="ORD00148"/>
    <d v="2026-01-10T00:00:00"/>
    <s v="C1167"/>
    <x v="147"/>
    <d v="2026-01-16T00:00:00"/>
    <x v="2"/>
    <x v="2"/>
    <s v="Fitness"/>
    <x v="5"/>
    <s v="Fort Wayne"/>
    <s v="Male"/>
    <n v="54"/>
    <n v="3"/>
    <n v="0"/>
    <s v="P606"/>
    <x v="2"/>
    <x v="4"/>
    <x v="2"/>
    <s v="Decathlon"/>
    <n v="5"/>
    <n v="113.37"/>
    <n v="202.51"/>
    <n v="6"/>
    <s v="Q1"/>
    <n v="2026"/>
    <x v="0"/>
    <n v="340.11"/>
    <n v="137.60000000000002"/>
  </r>
  <r>
    <s v="ORD00149"/>
    <d v="2025-01-13T00:00:00"/>
    <s v="C6049"/>
    <x v="148"/>
    <d v="2025-01-18T00:00:00"/>
    <x v="2"/>
    <x v="2"/>
    <s v="Fitness"/>
    <x v="7"/>
    <s v="Rochester"/>
    <s v="Male"/>
    <n v="25"/>
    <n v="1"/>
    <n v="20"/>
    <s v="P895"/>
    <x v="1"/>
    <x v="3"/>
    <x v="3"/>
    <s v="Decathlon"/>
    <n v="2"/>
    <n v="50.96"/>
    <n v="28.02"/>
    <n v="5"/>
    <s v="Q1"/>
    <n v="2025"/>
    <x v="0"/>
    <n v="40.768000000000001"/>
    <n v="12.748000000000001"/>
  </r>
  <r>
    <s v="ORD00150"/>
    <d v="2025-01-05T00:00:00"/>
    <s v="C3455"/>
    <x v="149"/>
    <d v="2025-01-11T00:00:00"/>
    <x v="6"/>
    <x v="5"/>
    <s v="Snacks"/>
    <x v="12"/>
    <s v="Detroit"/>
    <s v="Female"/>
    <n v="46"/>
    <n v="2"/>
    <n v="5"/>
    <s v="P547"/>
    <x v="0"/>
    <x v="4"/>
    <x v="2"/>
    <s v="Britannia"/>
    <n v="1"/>
    <n v="549.86"/>
    <n v="643.83000000000004"/>
    <n v="6"/>
    <s v="Q1"/>
    <n v="2025"/>
    <x v="0"/>
    <n v="1044.7339999999999"/>
    <n v="400.90399999999988"/>
  </r>
  <r>
    <s v="ORD00151"/>
    <d v="2024-06-30T00:00:00"/>
    <s v="C2403"/>
    <x v="150"/>
    <d v="2024-07-01T00:00:00"/>
    <x v="4"/>
    <x v="4"/>
    <s v="Mobile"/>
    <x v="7"/>
    <s v="Rochester"/>
    <s v="Male"/>
    <n v="30"/>
    <n v="1"/>
    <n v="0"/>
    <s v="P251"/>
    <x v="2"/>
    <x v="3"/>
    <x v="1"/>
    <s v="Samsung"/>
    <n v="4"/>
    <n v="84.19"/>
    <n v="50.98"/>
    <n v="1"/>
    <s v="Q2"/>
    <n v="2024"/>
    <x v="2"/>
    <n v="84.19"/>
    <n v="33.21"/>
  </r>
  <r>
    <s v="ORD00152"/>
    <d v="2024-01-16T00:00:00"/>
    <s v="C7952"/>
    <x v="151"/>
    <d v="2024-01-18T00:00:00"/>
    <x v="1"/>
    <x v="1"/>
    <s v="Shirt"/>
    <x v="3"/>
    <s v="San Antonio"/>
    <s v="Male"/>
    <n v="44"/>
    <n v="4"/>
    <n v="30"/>
    <s v="P800"/>
    <x v="0"/>
    <x v="1"/>
    <x v="0"/>
    <s v="Puma"/>
    <n v="5"/>
    <n v="574.45000000000005"/>
    <n v="1099.54"/>
    <n v="2"/>
    <s v="Q1"/>
    <n v="2024"/>
    <x v="0"/>
    <n v="1608.46"/>
    <n v="508.92000000000007"/>
  </r>
  <r>
    <s v="ORD00153"/>
    <d v="2025-04-06T00:00:00"/>
    <s v="C4061"/>
    <x v="152"/>
    <d v="2025-04-08T00:00:00"/>
    <x v="2"/>
    <x v="2"/>
    <s v="Fitness"/>
    <x v="3"/>
    <s v="Houston"/>
    <s v="Male"/>
    <n v="55"/>
    <n v="2"/>
    <n v="25"/>
    <s v="P293"/>
    <x v="1"/>
    <x v="1"/>
    <x v="3"/>
    <s v="Decathlon"/>
    <n v="5"/>
    <n v="736.56"/>
    <n v="869.33"/>
    <n v="2"/>
    <s v="Q2"/>
    <n v="2025"/>
    <x v="3"/>
    <n v="1104.8399999999999"/>
    <n v="235.50999999999988"/>
  </r>
  <r>
    <s v="ORD00154"/>
    <d v="2024-03-09T00:00:00"/>
    <s v="C5129"/>
    <x v="153"/>
    <d v="2024-03-14T00:00:00"/>
    <x v="0"/>
    <x v="0"/>
    <s v="Skincare"/>
    <x v="22"/>
    <s v="Springfield"/>
    <s v="Female"/>
    <n v="57"/>
    <n v="2"/>
    <n v="5"/>
    <s v="P127"/>
    <x v="0"/>
    <x v="0"/>
    <x v="0"/>
    <s v="Nivea"/>
    <n v="3"/>
    <n v="891.05"/>
    <n v="964.18"/>
    <n v="5"/>
    <s v="Q1"/>
    <n v="2024"/>
    <x v="6"/>
    <n v="1692.9949999999999"/>
    <n v="728.81499999999994"/>
  </r>
  <r>
    <s v="ORD00155"/>
    <d v="2025-05-02T00:00:00"/>
    <s v="C6704"/>
    <x v="154"/>
    <d v="2025-05-08T00:00:00"/>
    <x v="7"/>
    <x v="4"/>
    <s v="Laptop"/>
    <x v="4"/>
    <s v="Mesa"/>
    <s v="Male"/>
    <n v="45"/>
    <n v="2"/>
    <n v="25"/>
    <s v="P625"/>
    <x v="1"/>
    <x v="2"/>
    <x v="3"/>
    <s v="Dell"/>
    <n v="2"/>
    <n v="767.35"/>
    <n v="878.65"/>
    <n v="6"/>
    <s v="Q2"/>
    <n v="2025"/>
    <x v="9"/>
    <n v="1151.0250000000001"/>
    <n v="272.37500000000011"/>
  </r>
  <r>
    <s v="ORD00156"/>
    <d v="2026-01-11T00:00:00"/>
    <s v="C4633"/>
    <x v="155"/>
    <d v="2026-01-13T00:00:00"/>
    <x v="0"/>
    <x v="0"/>
    <s v="Skincare"/>
    <x v="9"/>
    <s v="Mobile"/>
    <s v="Female"/>
    <n v="22"/>
    <n v="4"/>
    <n v="5"/>
    <s v="P688"/>
    <x v="2"/>
    <x v="3"/>
    <x v="1"/>
    <s v="Nivea"/>
    <n v="5"/>
    <n v="509.87"/>
    <n v="986.21"/>
    <n v="2"/>
    <s v="Q1"/>
    <n v="2026"/>
    <x v="0"/>
    <n v="1937.5059999999999"/>
    <n v="951.29599999999982"/>
  </r>
  <r>
    <s v="ORD00157"/>
    <d v="2025-10-28T00:00:00"/>
    <s v="C7951"/>
    <x v="156"/>
    <d v="2025-10-31T00:00:00"/>
    <x v="2"/>
    <x v="2"/>
    <s v="Fitness"/>
    <x v="5"/>
    <s v="Indianapolis"/>
    <s v="Male"/>
    <n v="28"/>
    <n v="1"/>
    <n v="10"/>
    <s v="P361"/>
    <x v="1"/>
    <x v="3"/>
    <x v="3"/>
    <s v="Decathlon"/>
    <n v="3"/>
    <n v="455.94"/>
    <n v="265.67"/>
    <n v="3"/>
    <s v="Q4"/>
    <n v="2025"/>
    <x v="8"/>
    <n v="410.346"/>
    <n v="144.67599999999999"/>
  </r>
  <r>
    <s v="ORD00158"/>
    <d v="2025-04-10T00:00:00"/>
    <s v="C1393"/>
    <x v="157"/>
    <d v="2025-04-13T00:00:00"/>
    <x v="0"/>
    <x v="0"/>
    <s v="Skincare"/>
    <x v="3"/>
    <s v="Dallas"/>
    <s v="Male"/>
    <n v="37"/>
    <n v="5"/>
    <n v="20"/>
    <s v="P619"/>
    <x v="1"/>
    <x v="0"/>
    <x v="2"/>
    <s v="Nivea"/>
    <n v="1"/>
    <n v="889.39"/>
    <n v="2565.1799999999998"/>
    <n v="3"/>
    <s v="Q2"/>
    <n v="2025"/>
    <x v="3"/>
    <n v="3557.56"/>
    <n v="992.38000000000011"/>
  </r>
  <r>
    <s v="ORD00159"/>
    <d v="2026-04-06T00:00:00"/>
    <s v="C5824"/>
    <x v="158"/>
    <d v="2026-04-07T00:00:00"/>
    <x v="2"/>
    <x v="2"/>
    <s v="Fitness"/>
    <x v="12"/>
    <s v="Lansing"/>
    <s v="Male"/>
    <n v="35"/>
    <n v="4"/>
    <n v="0"/>
    <s v="P552"/>
    <x v="0"/>
    <x v="2"/>
    <x v="3"/>
    <s v="Decathlon"/>
    <n v="4"/>
    <n v="265.55"/>
    <n v="824.04"/>
    <n v="1"/>
    <s v="Q2"/>
    <n v="2026"/>
    <x v="3"/>
    <n v="1062.2"/>
    <n v="238.16000000000008"/>
  </r>
  <r>
    <s v="ORD00160"/>
    <d v="2025-05-30T00:00:00"/>
    <s v="C6265"/>
    <x v="159"/>
    <d v="2025-06-03T00:00:00"/>
    <x v="7"/>
    <x v="4"/>
    <s v="Laptop"/>
    <x v="19"/>
    <s v="Frederick"/>
    <s v="Male"/>
    <n v="22"/>
    <n v="2"/>
    <n v="10"/>
    <s v="P241"/>
    <x v="2"/>
    <x v="3"/>
    <x v="3"/>
    <s v="Dell"/>
    <n v="5"/>
    <n v="426.35"/>
    <n v="629.63"/>
    <n v="4"/>
    <s v="Q2"/>
    <n v="2025"/>
    <x v="9"/>
    <n v="767.43000000000006"/>
    <n v="137.80000000000007"/>
  </r>
  <r>
    <s v="ORD00161"/>
    <d v="2024-05-08T00:00:00"/>
    <s v="C7663"/>
    <x v="160"/>
    <d v="2024-05-10T00:00:00"/>
    <x v="5"/>
    <x v="3"/>
    <s v="Furniture"/>
    <x v="3"/>
    <s v="Dallas"/>
    <s v="Female"/>
    <n v="49"/>
    <n v="5"/>
    <n v="25"/>
    <s v="P592"/>
    <x v="2"/>
    <x v="0"/>
    <x v="0"/>
    <s v="IKEA"/>
    <n v="4"/>
    <n v="640.03"/>
    <n v="1823.02"/>
    <n v="2"/>
    <s v="Q2"/>
    <n v="2024"/>
    <x v="9"/>
    <n v="2400.1124999999997"/>
    <n v="577.09249999999975"/>
  </r>
  <r>
    <s v="ORD00162"/>
    <d v="2024-09-03T00:00:00"/>
    <s v="C8015"/>
    <x v="161"/>
    <d v="2024-09-05T00:00:00"/>
    <x v="0"/>
    <x v="0"/>
    <s v="Skincare"/>
    <x v="22"/>
    <s v="Springfield"/>
    <s v="Female"/>
    <n v="56"/>
    <n v="1"/>
    <n v="15"/>
    <s v="P473"/>
    <x v="2"/>
    <x v="0"/>
    <x v="3"/>
    <s v="Nivea"/>
    <n v="4"/>
    <n v="652.05999999999995"/>
    <n v="416.7"/>
    <n v="2"/>
    <s v="Q3"/>
    <n v="2024"/>
    <x v="1"/>
    <n v="554.25099999999998"/>
    <n v="137.55099999999999"/>
  </r>
  <r>
    <s v="ORD00163"/>
    <d v="2026-03-29T00:00:00"/>
    <s v="C8712"/>
    <x v="162"/>
    <d v="2026-03-30T00:00:00"/>
    <x v="5"/>
    <x v="3"/>
    <s v="Furniture"/>
    <x v="18"/>
    <s v="Knoxville"/>
    <s v="Female"/>
    <n v="46"/>
    <n v="2"/>
    <n v="20"/>
    <s v="P673"/>
    <x v="0"/>
    <x v="2"/>
    <x v="0"/>
    <s v="IKEA"/>
    <n v="3"/>
    <n v="592.5"/>
    <n v="762.45"/>
    <n v="1"/>
    <s v="Q1"/>
    <n v="2026"/>
    <x v="6"/>
    <n v="948"/>
    <n v="185.54999999999995"/>
  </r>
  <r>
    <s v="ORD00164"/>
    <d v="2026-05-27T00:00:00"/>
    <s v="C8082"/>
    <x v="163"/>
    <d v="2026-05-30T00:00:00"/>
    <x v="0"/>
    <x v="0"/>
    <s v="Skincare"/>
    <x v="22"/>
    <s v="Naperville"/>
    <s v="Male"/>
    <n v="32"/>
    <n v="3"/>
    <n v="20"/>
    <s v="P996"/>
    <x v="0"/>
    <x v="1"/>
    <x v="0"/>
    <s v="Nivea"/>
    <n v="5"/>
    <n v="244.07"/>
    <n v="486.7"/>
    <n v="3"/>
    <s v="Q2"/>
    <n v="2026"/>
    <x v="9"/>
    <n v="585.76800000000003"/>
    <n v="99.06800000000004"/>
  </r>
  <r>
    <s v="ORD00165"/>
    <d v="2024-12-28T00:00:00"/>
    <s v="C5565"/>
    <x v="164"/>
    <d v="2024-12-29T00:00:00"/>
    <x v="5"/>
    <x v="3"/>
    <s v="Furniture"/>
    <x v="3"/>
    <s v="Austin"/>
    <s v="Female"/>
    <n v="51"/>
    <n v="5"/>
    <n v="5"/>
    <s v="P383"/>
    <x v="1"/>
    <x v="3"/>
    <x v="3"/>
    <s v="IKEA"/>
    <n v="5"/>
    <n v="883.27"/>
    <n v="3389.23"/>
    <n v="1"/>
    <s v="Q4"/>
    <n v="2024"/>
    <x v="7"/>
    <n v="4195.5325000000003"/>
    <n v="806.30250000000024"/>
  </r>
  <r>
    <s v="ORD00166"/>
    <d v="2026-06-14T00:00:00"/>
    <s v="C8473"/>
    <x v="165"/>
    <d v="2026-06-18T00:00:00"/>
    <x v="3"/>
    <x v="3"/>
    <s v="Kitchen"/>
    <x v="17"/>
    <s v="Allentown"/>
    <s v="Female"/>
    <n v="44"/>
    <n v="5"/>
    <n v="20"/>
    <s v="P474"/>
    <x v="1"/>
    <x v="4"/>
    <x v="3"/>
    <s v="Philips"/>
    <n v="3"/>
    <n v="162.4"/>
    <n v="451.27"/>
    <n v="4"/>
    <s v="Q2"/>
    <n v="2026"/>
    <x v="2"/>
    <n v="649.6"/>
    <n v="198.33000000000004"/>
  </r>
  <r>
    <s v="ORD00167"/>
    <d v="2025-01-23T00:00:00"/>
    <s v="C4924"/>
    <x v="166"/>
    <d v="2025-01-29T00:00:00"/>
    <x v="3"/>
    <x v="3"/>
    <s v="Kitchen"/>
    <x v="17"/>
    <s v="Allentown"/>
    <s v="Male"/>
    <n v="34"/>
    <n v="5"/>
    <n v="30"/>
    <s v="P590"/>
    <x v="1"/>
    <x v="2"/>
    <x v="3"/>
    <s v="Philips"/>
    <n v="2"/>
    <n v="462"/>
    <n v="1358.19"/>
    <n v="6"/>
    <s v="Q1"/>
    <n v="2025"/>
    <x v="0"/>
    <n v="1617"/>
    <n v="258.80999999999995"/>
  </r>
  <r>
    <s v="ORD00168"/>
    <d v="2026-05-30T00:00:00"/>
    <s v="C9235"/>
    <x v="167"/>
    <d v="2026-06-05T00:00:00"/>
    <x v="3"/>
    <x v="3"/>
    <s v="Kitchen"/>
    <x v="23"/>
    <s v="Saint Paul"/>
    <s v="Female"/>
    <n v="20"/>
    <n v="2"/>
    <n v="25"/>
    <s v="P606"/>
    <x v="2"/>
    <x v="4"/>
    <x v="1"/>
    <s v="Philips"/>
    <n v="3"/>
    <n v="698.61"/>
    <n v="649.41"/>
    <n v="6"/>
    <s v="Q2"/>
    <n v="2026"/>
    <x v="9"/>
    <n v="1047.915"/>
    <n v="398.505"/>
  </r>
  <r>
    <s v="ORD00169"/>
    <d v="2024-06-23T00:00:00"/>
    <s v="C5738"/>
    <x v="168"/>
    <d v="2024-06-24T00:00:00"/>
    <x v="2"/>
    <x v="2"/>
    <s v="Fitness"/>
    <x v="11"/>
    <s v="Jersey City"/>
    <s v="Male"/>
    <n v="64"/>
    <n v="2"/>
    <n v="5"/>
    <s v="P505"/>
    <x v="1"/>
    <x v="3"/>
    <x v="3"/>
    <s v="Decathlon"/>
    <n v="2"/>
    <n v="210.75"/>
    <n v="255.69"/>
    <n v="1"/>
    <s v="Q2"/>
    <n v="2024"/>
    <x v="2"/>
    <n v="400.42499999999995"/>
    <n v="144.73499999999996"/>
  </r>
  <r>
    <s v="ORD00170"/>
    <d v="2024-12-15T00:00:00"/>
    <s v="C5577"/>
    <x v="169"/>
    <d v="2024-12-19T00:00:00"/>
    <x v="2"/>
    <x v="2"/>
    <s v="Fitness"/>
    <x v="3"/>
    <s v="Houston"/>
    <s v="Male"/>
    <n v="39"/>
    <n v="1"/>
    <n v="25"/>
    <s v="P608"/>
    <x v="1"/>
    <x v="2"/>
    <x v="3"/>
    <s v="Decathlon"/>
    <n v="3"/>
    <n v="477.02"/>
    <n v="268.83"/>
    <n v="4"/>
    <s v="Q4"/>
    <n v="2024"/>
    <x v="7"/>
    <n v="357.76499999999999"/>
    <n v="88.935000000000002"/>
  </r>
  <r>
    <s v="ORD00171"/>
    <d v="2025-01-07T00:00:00"/>
    <s v="C1756"/>
    <x v="170"/>
    <d v="2025-01-10T00:00:00"/>
    <x v="0"/>
    <x v="0"/>
    <s v="Skincare"/>
    <x v="21"/>
    <s v="Greenville"/>
    <s v="Male"/>
    <n v="50"/>
    <n v="2"/>
    <n v="10"/>
    <s v="P779"/>
    <x v="1"/>
    <x v="4"/>
    <x v="2"/>
    <s v="Nivea"/>
    <n v="5"/>
    <n v="26.27"/>
    <n v="27.59"/>
    <n v="3"/>
    <s v="Q1"/>
    <n v="2025"/>
    <x v="0"/>
    <n v="47.286000000000001"/>
    <n v="19.696000000000002"/>
  </r>
  <r>
    <s v="ORD00172"/>
    <d v="2024-08-26T00:00:00"/>
    <s v="C9905"/>
    <x v="171"/>
    <d v="2024-08-30T00:00:00"/>
    <x v="2"/>
    <x v="2"/>
    <s v="Fitness"/>
    <x v="19"/>
    <s v="Annapolis"/>
    <s v="Male"/>
    <n v="18"/>
    <n v="5"/>
    <n v="5"/>
    <s v="P368"/>
    <x v="2"/>
    <x v="4"/>
    <x v="1"/>
    <s v="Decathlon"/>
    <n v="5"/>
    <n v="808.15"/>
    <n v="2312.4899999999998"/>
    <n v="4"/>
    <s v="Q3"/>
    <n v="2024"/>
    <x v="11"/>
    <n v="3838.7124999999996"/>
    <n v="1526.2224999999999"/>
  </r>
  <r>
    <s v="ORD00173"/>
    <d v="2026-06-06T00:00:00"/>
    <s v="C4629"/>
    <x v="172"/>
    <d v="2026-06-09T00:00:00"/>
    <x v="7"/>
    <x v="4"/>
    <s v="Laptop"/>
    <x v="10"/>
    <s v="Milwaukee"/>
    <s v="Female"/>
    <n v="44"/>
    <n v="1"/>
    <n v="25"/>
    <s v="P962"/>
    <x v="2"/>
    <x v="0"/>
    <x v="1"/>
    <s v="Dell"/>
    <n v="4"/>
    <n v="524.5"/>
    <n v="199.37"/>
    <n v="3"/>
    <s v="Q2"/>
    <n v="2026"/>
    <x v="2"/>
    <n v="393.375"/>
    <n v="194.005"/>
  </r>
  <r>
    <s v="ORD00174"/>
    <d v="2025-08-05T00:00:00"/>
    <s v="C2741"/>
    <x v="173"/>
    <d v="2025-08-06T00:00:00"/>
    <x v="0"/>
    <x v="0"/>
    <s v="Skincare"/>
    <x v="8"/>
    <s v="Jacksonville"/>
    <s v="Female"/>
    <n v="57"/>
    <n v="1"/>
    <n v="5"/>
    <s v="P676"/>
    <x v="1"/>
    <x v="0"/>
    <x v="3"/>
    <s v="Nivea"/>
    <n v="3"/>
    <n v="332.27"/>
    <n v="266.27999999999997"/>
    <n v="1"/>
    <s v="Q3"/>
    <n v="2025"/>
    <x v="11"/>
    <n v="315.65649999999999"/>
    <n v="49.376500000000021"/>
  </r>
  <r>
    <s v="ORD00175"/>
    <d v="2026-04-09T00:00:00"/>
    <s v="C7501"/>
    <x v="174"/>
    <d v="2026-04-14T00:00:00"/>
    <x v="5"/>
    <x v="3"/>
    <s v="Furniture"/>
    <x v="2"/>
    <s v="Columbus"/>
    <s v="Male"/>
    <n v="64"/>
    <n v="3"/>
    <n v="5"/>
    <s v="P478"/>
    <x v="1"/>
    <x v="2"/>
    <x v="1"/>
    <s v="IKEA"/>
    <n v="3"/>
    <n v="706.53"/>
    <n v="1164.83"/>
    <n v="5"/>
    <s v="Q2"/>
    <n v="2026"/>
    <x v="3"/>
    <n v="2013.6105"/>
    <n v="848.78050000000007"/>
  </r>
  <r>
    <s v="ORD00176"/>
    <d v="2025-02-25T00:00:00"/>
    <s v="C1827"/>
    <x v="175"/>
    <d v="2025-03-03T00:00:00"/>
    <x v="1"/>
    <x v="1"/>
    <s v="Shirt"/>
    <x v="6"/>
    <s v="Greensboro"/>
    <s v="Male"/>
    <n v="38"/>
    <n v="5"/>
    <n v="5"/>
    <s v="P327"/>
    <x v="0"/>
    <x v="0"/>
    <x v="3"/>
    <s v="Puma"/>
    <n v="4"/>
    <n v="629.22"/>
    <n v="2432.9899999999998"/>
    <n v="6"/>
    <s v="Q1"/>
    <n v="2025"/>
    <x v="5"/>
    <n v="2988.7950000000001"/>
    <n v="555.80500000000029"/>
  </r>
  <r>
    <s v="ORD00177"/>
    <d v="2025-06-02T00:00:00"/>
    <s v="C2589"/>
    <x v="176"/>
    <d v="2025-06-08T00:00:00"/>
    <x v="4"/>
    <x v="4"/>
    <s v="Mobile"/>
    <x v="13"/>
    <s v="Augusta"/>
    <s v="Female"/>
    <n v="46"/>
    <n v="2"/>
    <n v="30"/>
    <s v="P626"/>
    <x v="1"/>
    <x v="4"/>
    <x v="1"/>
    <s v="Samsung"/>
    <n v="5"/>
    <n v="103.74"/>
    <n v="114.32"/>
    <n v="6"/>
    <s v="Q2"/>
    <n v="2025"/>
    <x v="2"/>
    <n v="145.23599999999999"/>
    <n v="30.915999999999997"/>
  </r>
  <r>
    <s v="ORD00178"/>
    <d v="2026-04-25T00:00:00"/>
    <s v="C7204"/>
    <x v="177"/>
    <d v="2026-05-01T00:00:00"/>
    <x v="6"/>
    <x v="5"/>
    <s v="Snacks"/>
    <x v="3"/>
    <s v="Houston"/>
    <s v="Male"/>
    <n v="34"/>
    <n v="2"/>
    <n v="30"/>
    <s v="P197"/>
    <x v="0"/>
    <x v="1"/>
    <x v="0"/>
    <s v="Britannia"/>
    <n v="1"/>
    <n v="564.77"/>
    <n v="566.70000000000005"/>
    <n v="6"/>
    <s v="Q2"/>
    <n v="2026"/>
    <x v="3"/>
    <n v="790.67799999999988"/>
    <n v="223.97799999999984"/>
  </r>
  <r>
    <s v="ORD00179"/>
    <d v="2024-01-27T00:00:00"/>
    <s v="C6886"/>
    <x v="178"/>
    <d v="2024-01-29T00:00:00"/>
    <x v="0"/>
    <x v="0"/>
    <s v="Skincare"/>
    <x v="22"/>
    <s v="Springfield"/>
    <s v="Female"/>
    <n v="19"/>
    <n v="1"/>
    <n v="0"/>
    <s v="P146"/>
    <x v="0"/>
    <x v="2"/>
    <x v="0"/>
    <s v="Nivea"/>
    <n v="1"/>
    <n v="458.46"/>
    <n v="355.28"/>
    <n v="2"/>
    <s v="Q1"/>
    <n v="2024"/>
    <x v="0"/>
    <n v="458.46"/>
    <n v="103.18"/>
  </r>
  <r>
    <s v="ORD00180"/>
    <d v="2024-06-22T00:00:00"/>
    <s v="C5537"/>
    <x v="179"/>
    <d v="2024-06-25T00:00:00"/>
    <x v="0"/>
    <x v="0"/>
    <s v="Skincare"/>
    <x v="15"/>
    <s v="Colorado Springs"/>
    <s v="Female"/>
    <n v="55"/>
    <n v="2"/>
    <n v="20"/>
    <s v="P371"/>
    <x v="1"/>
    <x v="3"/>
    <x v="1"/>
    <s v="Nivea"/>
    <n v="5"/>
    <n v="62.56"/>
    <n v="50.41"/>
    <n v="3"/>
    <s v="Q2"/>
    <n v="2024"/>
    <x v="2"/>
    <n v="100.096"/>
    <n v="49.686000000000007"/>
  </r>
  <r>
    <s v="ORD00181"/>
    <d v="2026-03-04T00:00:00"/>
    <s v="C5613"/>
    <x v="180"/>
    <d v="2026-03-06T00:00:00"/>
    <x v="6"/>
    <x v="5"/>
    <s v="Snacks"/>
    <x v="23"/>
    <s v="Rochester"/>
    <s v="Female"/>
    <n v="59"/>
    <n v="5"/>
    <n v="25"/>
    <s v="P634"/>
    <x v="0"/>
    <x v="2"/>
    <x v="2"/>
    <s v="Britannia"/>
    <n v="4"/>
    <n v="950.02"/>
    <n v="2639.37"/>
    <n v="2"/>
    <s v="Q1"/>
    <n v="2026"/>
    <x v="6"/>
    <n v="3562.5750000000003"/>
    <n v="923.20500000000038"/>
  </r>
  <r>
    <s v="ORD00182"/>
    <d v="2025-02-18T00:00:00"/>
    <s v="C5443"/>
    <x v="181"/>
    <d v="2025-02-24T00:00:00"/>
    <x v="6"/>
    <x v="5"/>
    <s v="Snacks"/>
    <x v="1"/>
    <s v="Los Angeles"/>
    <s v="Female"/>
    <n v="28"/>
    <n v="4"/>
    <n v="5"/>
    <s v="P115"/>
    <x v="0"/>
    <x v="4"/>
    <x v="2"/>
    <s v="Britannia"/>
    <n v="5"/>
    <n v="971.62"/>
    <n v="2710.17"/>
    <n v="6"/>
    <s v="Q1"/>
    <n v="2025"/>
    <x v="5"/>
    <n v="3692.1559999999999"/>
    <n v="981.98599999999988"/>
  </r>
  <r>
    <s v="ORD00183"/>
    <d v="2025-08-08T00:00:00"/>
    <s v="C9359"/>
    <x v="182"/>
    <d v="2025-08-14T00:00:00"/>
    <x v="2"/>
    <x v="2"/>
    <s v="Fitness"/>
    <x v="16"/>
    <s v="Tacoma"/>
    <s v="Male"/>
    <n v="50"/>
    <n v="3"/>
    <n v="5"/>
    <s v="P351"/>
    <x v="0"/>
    <x v="0"/>
    <x v="0"/>
    <s v="Decathlon"/>
    <n v="3"/>
    <n v="392.23"/>
    <n v="887.96"/>
    <n v="6"/>
    <s v="Q3"/>
    <n v="2025"/>
    <x v="11"/>
    <n v="1117.8554999999999"/>
    <n v="229.89549999999986"/>
  </r>
  <r>
    <s v="ORD00184"/>
    <d v="2024-01-27T00:00:00"/>
    <s v="C6818"/>
    <x v="183"/>
    <d v="2024-02-03T00:00:00"/>
    <x v="3"/>
    <x v="3"/>
    <s v="Kitchen"/>
    <x v="15"/>
    <s v="Boulder"/>
    <s v="Female"/>
    <n v="30"/>
    <n v="4"/>
    <n v="0"/>
    <s v="P634"/>
    <x v="2"/>
    <x v="3"/>
    <x v="0"/>
    <s v="Philips"/>
    <n v="5"/>
    <n v="636.87"/>
    <n v="1543.83"/>
    <n v="7"/>
    <s v="Q1"/>
    <n v="2024"/>
    <x v="0"/>
    <n v="2547.48"/>
    <n v="1003.6500000000001"/>
  </r>
  <r>
    <s v="ORD00185"/>
    <d v="2026-02-16T00:00:00"/>
    <s v="C5640"/>
    <x v="184"/>
    <d v="2026-02-19T00:00:00"/>
    <x v="7"/>
    <x v="4"/>
    <s v="Laptop"/>
    <x v="16"/>
    <s v="Spokane"/>
    <s v="Male"/>
    <n v="30"/>
    <n v="5"/>
    <n v="20"/>
    <s v="P573"/>
    <x v="1"/>
    <x v="0"/>
    <x v="1"/>
    <s v="Dell"/>
    <n v="5"/>
    <n v="140.29"/>
    <n v="332.32"/>
    <n v="3"/>
    <s v="Q1"/>
    <n v="2026"/>
    <x v="5"/>
    <n v="561.16"/>
    <n v="228.83999999999997"/>
  </r>
  <r>
    <s v="ORD00186"/>
    <d v="2024-01-11T00:00:00"/>
    <s v="C2994"/>
    <x v="185"/>
    <d v="2024-01-15T00:00:00"/>
    <x v="3"/>
    <x v="3"/>
    <s v="Kitchen"/>
    <x v="11"/>
    <s v="Trenton"/>
    <s v="Male"/>
    <n v="21"/>
    <n v="5"/>
    <n v="0"/>
    <s v="P785"/>
    <x v="2"/>
    <x v="3"/>
    <x v="3"/>
    <s v="Philips"/>
    <n v="2"/>
    <n v="589.05999999999995"/>
    <n v="1891.44"/>
    <n v="4"/>
    <s v="Q1"/>
    <n v="2024"/>
    <x v="0"/>
    <n v="2945.2999999999997"/>
    <n v="1053.8599999999997"/>
  </r>
  <r>
    <s v="ORD00187"/>
    <d v="2024-03-18T00:00:00"/>
    <s v="C3384"/>
    <x v="186"/>
    <d v="2024-03-21T00:00:00"/>
    <x v="7"/>
    <x v="4"/>
    <s v="Laptop"/>
    <x v="7"/>
    <s v="Rochester"/>
    <s v="Male"/>
    <n v="57"/>
    <n v="3"/>
    <n v="0"/>
    <s v="P170"/>
    <x v="1"/>
    <x v="1"/>
    <x v="2"/>
    <s v="Dell"/>
    <n v="1"/>
    <n v="764.86"/>
    <n v="1623.84"/>
    <n v="3"/>
    <s v="Q1"/>
    <n v="2024"/>
    <x v="6"/>
    <n v="2294.58"/>
    <n v="670.74"/>
  </r>
  <r>
    <s v="ORD00188"/>
    <d v="2025-11-13T00:00:00"/>
    <s v="C8030"/>
    <x v="187"/>
    <d v="2025-11-19T00:00:00"/>
    <x v="7"/>
    <x v="4"/>
    <s v="Laptop"/>
    <x v="1"/>
    <s v="Sacramento"/>
    <s v="Female"/>
    <n v="24"/>
    <n v="4"/>
    <n v="20"/>
    <s v="P565"/>
    <x v="1"/>
    <x v="1"/>
    <x v="3"/>
    <s v="Dell"/>
    <n v="2"/>
    <n v="346.58"/>
    <n v="940.76"/>
    <n v="6"/>
    <s v="Q4"/>
    <n v="2025"/>
    <x v="10"/>
    <n v="1109.056"/>
    <n v="168.29600000000005"/>
  </r>
  <r>
    <s v="ORD00189"/>
    <d v="2025-09-23T00:00:00"/>
    <s v="C1512"/>
    <x v="188"/>
    <d v="2025-09-25T00:00:00"/>
    <x v="6"/>
    <x v="5"/>
    <s v="Snacks"/>
    <x v="22"/>
    <s v="Naperville"/>
    <s v="Female"/>
    <n v="42"/>
    <n v="1"/>
    <n v="0"/>
    <s v="P390"/>
    <x v="2"/>
    <x v="2"/>
    <x v="2"/>
    <s v="Britannia"/>
    <n v="5"/>
    <n v="992.73"/>
    <n v="835.49"/>
    <n v="2"/>
    <s v="Q3"/>
    <n v="2025"/>
    <x v="1"/>
    <n v="992.73"/>
    <n v="157.24"/>
  </r>
  <r>
    <s v="ORD00190"/>
    <d v="2024-09-05T00:00:00"/>
    <s v="C6387"/>
    <x v="189"/>
    <d v="2024-09-06T00:00:00"/>
    <x v="6"/>
    <x v="5"/>
    <s v="Snacks"/>
    <x v="2"/>
    <s v="Cincinnati"/>
    <s v="Female"/>
    <n v="26"/>
    <n v="5"/>
    <n v="15"/>
    <s v="P185"/>
    <x v="2"/>
    <x v="2"/>
    <x v="2"/>
    <s v="Britannia"/>
    <n v="4"/>
    <n v="239.36"/>
    <n v="725.35"/>
    <n v="1"/>
    <s v="Q3"/>
    <n v="2024"/>
    <x v="1"/>
    <n v="1017.2800000000001"/>
    <n v="291.93000000000006"/>
  </r>
  <r>
    <s v="ORD00191"/>
    <d v="2026-06-12T00:00:00"/>
    <s v="C7430"/>
    <x v="190"/>
    <d v="2026-06-17T00:00:00"/>
    <x v="8"/>
    <x v="1"/>
    <s v="Shoes"/>
    <x v="8"/>
    <s v="Orlando"/>
    <s v="Female"/>
    <n v="62"/>
    <n v="2"/>
    <n v="5"/>
    <s v="P469"/>
    <x v="1"/>
    <x v="3"/>
    <x v="0"/>
    <s v="Nike"/>
    <n v="3"/>
    <n v="193.23"/>
    <n v="209.06"/>
    <n v="5"/>
    <s v="Q2"/>
    <n v="2026"/>
    <x v="2"/>
    <n v="367.13699999999994"/>
    <n v="158.07699999999994"/>
  </r>
  <r>
    <s v="ORD00192"/>
    <d v="2025-05-11T00:00:00"/>
    <s v="C2531"/>
    <x v="191"/>
    <d v="2025-05-16T00:00:00"/>
    <x v="0"/>
    <x v="0"/>
    <s v="Skincare"/>
    <x v="20"/>
    <s v="Norfolk"/>
    <s v="Male"/>
    <n v="30"/>
    <n v="5"/>
    <n v="25"/>
    <s v="P426"/>
    <x v="0"/>
    <x v="4"/>
    <x v="1"/>
    <s v="Nivea"/>
    <n v="2"/>
    <n v="457.4"/>
    <n v="1387.55"/>
    <n v="5"/>
    <s v="Q2"/>
    <n v="2025"/>
    <x v="9"/>
    <n v="1715.25"/>
    <n v="327.70000000000005"/>
  </r>
  <r>
    <s v="ORD00193"/>
    <d v="2025-01-28T00:00:00"/>
    <s v="C9915"/>
    <x v="192"/>
    <d v="2025-01-31T00:00:00"/>
    <x v="0"/>
    <x v="0"/>
    <s v="Skincare"/>
    <x v="1"/>
    <s v="Sacramento"/>
    <s v="Female"/>
    <n v="42"/>
    <n v="2"/>
    <n v="25"/>
    <s v="P171"/>
    <x v="2"/>
    <x v="0"/>
    <x v="3"/>
    <s v="Nivea"/>
    <n v="2"/>
    <n v="138.41"/>
    <n v="169.14"/>
    <n v="3"/>
    <s v="Q1"/>
    <n v="2025"/>
    <x v="0"/>
    <n v="207.61500000000001"/>
    <n v="38.475000000000023"/>
  </r>
  <r>
    <s v="ORD00194"/>
    <d v="2025-02-06T00:00:00"/>
    <s v="C1895"/>
    <x v="193"/>
    <d v="2025-02-13T00:00:00"/>
    <x v="4"/>
    <x v="4"/>
    <s v="Mobile"/>
    <x v="3"/>
    <s v="San Antonio"/>
    <s v="Male"/>
    <n v="45"/>
    <n v="1"/>
    <n v="0"/>
    <s v="P421"/>
    <x v="1"/>
    <x v="2"/>
    <x v="0"/>
    <s v="Samsung"/>
    <n v="4"/>
    <n v="393.64"/>
    <n v="225.7"/>
    <n v="7"/>
    <s v="Q1"/>
    <n v="2025"/>
    <x v="5"/>
    <n v="393.64"/>
    <n v="167.94"/>
  </r>
  <r>
    <s v="ORD00195"/>
    <d v="2025-11-01T00:00:00"/>
    <s v="C9385"/>
    <x v="194"/>
    <d v="2025-11-06T00:00:00"/>
    <x v="0"/>
    <x v="0"/>
    <s v="Skincare"/>
    <x v="13"/>
    <s v="Savannah"/>
    <s v="Male"/>
    <n v="45"/>
    <n v="2"/>
    <n v="15"/>
    <s v="P682"/>
    <x v="0"/>
    <x v="0"/>
    <x v="0"/>
    <s v="Nivea"/>
    <n v="1"/>
    <n v="773.2"/>
    <n v="662.65"/>
    <n v="5"/>
    <s v="Q4"/>
    <n v="2025"/>
    <x v="10"/>
    <n v="1314.44"/>
    <n v="651.79000000000008"/>
  </r>
  <r>
    <s v="ORD00196"/>
    <d v="2024-01-13T00:00:00"/>
    <s v="C4218"/>
    <x v="195"/>
    <d v="2024-01-19T00:00:00"/>
    <x v="3"/>
    <x v="3"/>
    <s v="Kitchen"/>
    <x v="8"/>
    <s v="Tampa"/>
    <s v="Male"/>
    <n v="65"/>
    <n v="1"/>
    <n v="15"/>
    <s v="P958"/>
    <x v="2"/>
    <x v="4"/>
    <x v="1"/>
    <s v="Philips"/>
    <n v="4"/>
    <n v="537.58000000000004"/>
    <n v="245.76"/>
    <n v="6"/>
    <s v="Q1"/>
    <n v="2024"/>
    <x v="0"/>
    <n v="456.94300000000004"/>
    <n v="211.18300000000005"/>
  </r>
  <r>
    <s v="ORD00197"/>
    <d v="2024-07-31T00:00:00"/>
    <s v="C5464"/>
    <x v="196"/>
    <d v="2024-08-05T00:00:00"/>
    <x v="3"/>
    <x v="3"/>
    <s v="Kitchen"/>
    <x v="6"/>
    <s v="Charlotte"/>
    <s v="Female"/>
    <n v="56"/>
    <n v="4"/>
    <n v="10"/>
    <s v="P501"/>
    <x v="0"/>
    <x v="4"/>
    <x v="3"/>
    <s v="Philips"/>
    <n v="5"/>
    <n v="283.67"/>
    <n v="656.08"/>
    <n v="5"/>
    <s v="Q3"/>
    <n v="2024"/>
    <x v="4"/>
    <n v="1021.2120000000001"/>
    <n v="365.13200000000006"/>
  </r>
  <r>
    <s v="ORD00198"/>
    <d v="2026-01-25T00:00:00"/>
    <s v="C9489"/>
    <x v="197"/>
    <d v="2026-01-28T00:00:00"/>
    <x v="7"/>
    <x v="4"/>
    <s v="Laptop"/>
    <x v="16"/>
    <s v="Seattle"/>
    <s v="Female"/>
    <n v="64"/>
    <n v="2"/>
    <n v="30"/>
    <s v="P566"/>
    <x v="2"/>
    <x v="0"/>
    <x v="1"/>
    <s v="Dell"/>
    <n v="4"/>
    <n v="902.22"/>
    <n v="853.55"/>
    <n v="3"/>
    <s v="Q1"/>
    <n v="2026"/>
    <x v="0"/>
    <n v="1263.1079999999999"/>
    <n v="409.55799999999999"/>
  </r>
  <r>
    <s v="ORD00199"/>
    <d v="2025-08-01T00:00:00"/>
    <s v="C3971"/>
    <x v="198"/>
    <d v="2025-08-08T00:00:00"/>
    <x v="3"/>
    <x v="3"/>
    <s v="Kitchen"/>
    <x v="22"/>
    <s v="Naperville"/>
    <s v="Female"/>
    <n v="42"/>
    <n v="2"/>
    <n v="25"/>
    <s v="P181"/>
    <x v="1"/>
    <x v="2"/>
    <x v="1"/>
    <s v="Philips"/>
    <n v="1"/>
    <n v="632.14"/>
    <n v="789.49"/>
    <n v="7"/>
    <s v="Q3"/>
    <n v="2025"/>
    <x v="11"/>
    <n v="948.21"/>
    <n v="158.72000000000003"/>
  </r>
  <r>
    <s v="ORD00200"/>
    <d v="2024-12-31T00:00:00"/>
    <s v="C1680"/>
    <x v="199"/>
    <d v="2025-01-03T00:00:00"/>
    <x v="0"/>
    <x v="0"/>
    <s v="Skincare"/>
    <x v="8"/>
    <s v="Jacksonville"/>
    <s v="Female"/>
    <n v="18"/>
    <n v="1"/>
    <n v="15"/>
    <s v="P596"/>
    <x v="1"/>
    <x v="2"/>
    <x v="3"/>
    <s v="Nivea"/>
    <n v="4"/>
    <n v="810.04"/>
    <n v="583.44000000000005"/>
    <n v="3"/>
    <s v="Q4"/>
    <n v="2024"/>
    <x v="7"/>
    <n v="688.53399999999999"/>
    <n v="105.09399999999994"/>
  </r>
  <r>
    <s v="ORD00201"/>
    <d v="2026-03-28T00:00:00"/>
    <s v="C2925"/>
    <x v="200"/>
    <d v="2026-03-29T00:00:00"/>
    <x v="2"/>
    <x v="2"/>
    <s v="Fitness"/>
    <x v="2"/>
    <s v="Cincinnati"/>
    <s v="Male"/>
    <n v="62"/>
    <n v="5"/>
    <n v="20"/>
    <s v="P825"/>
    <x v="2"/>
    <x v="4"/>
    <x v="3"/>
    <s v="Decathlon"/>
    <n v="4"/>
    <n v="341.26"/>
    <n v="886.45"/>
    <n v="1"/>
    <s v="Q1"/>
    <n v="2026"/>
    <x v="6"/>
    <n v="1365.04"/>
    <n v="478.58999999999992"/>
  </r>
  <r>
    <s v="ORD00202"/>
    <d v="2025-02-23T00:00:00"/>
    <s v="C3088"/>
    <x v="201"/>
    <d v="2025-02-25T00:00:00"/>
    <x v="8"/>
    <x v="1"/>
    <s v="Shoes"/>
    <x v="13"/>
    <s v="Atlanta"/>
    <s v="Male"/>
    <n v="38"/>
    <n v="4"/>
    <n v="20"/>
    <s v="P246"/>
    <x v="2"/>
    <x v="1"/>
    <x v="3"/>
    <s v="Nike"/>
    <n v="2"/>
    <n v="453.11"/>
    <n v="763.3"/>
    <n v="2"/>
    <s v="Q1"/>
    <n v="2025"/>
    <x v="5"/>
    <n v="1449.9520000000002"/>
    <n v="686.65200000000027"/>
  </r>
  <r>
    <s v="ORD00203"/>
    <d v="2025-08-07T00:00:00"/>
    <s v="C9441"/>
    <x v="202"/>
    <d v="2025-08-08T00:00:00"/>
    <x v="0"/>
    <x v="0"/>
    <s v="Skincare"/>
    <x v="8"/>
    <s v="Jacksonville"/>
    <s v="Male"/>
    <n v="64"/>
    <n v="1"/>
    <n v="0"/>
    <s v="P626"/>
    <x v="1"/>
    <x v="0"/>
    <x v="3"/>
    <s v="Nivea"/>
    <n v="1"/>
    <n v="383.92"/>
    <n v="279.76"/>
    <n v="1"/>
    <s v="Q3"/>
    <n v="2025"/>
    <x v="11"/>
    <n v="383.92"/>
    <n v="104.16000000000003"/>
  </r>
  <r>
    <s v="ORD00204"/>
    <d v="2026-06-05T00:00:00"/>
    <s v="C4380"/>
    <x v="203"/>
    <d v="2026-06-11T00:00:00"/>
    <x v="6"/>
    <x v="5"/>
    <s v="Snacks"/>
    <x v="2"/>
    <s v="Columbus"/>
    <s v="Female"/>
    <n v="46"/>
    <n v="4"/>
    <n v="15"/>
    <s v="P427"/>
    <x v="1"/>
    <x v="3"/>
    <x v="3"/>
    <s v="Britannia"/>
    <n v="4"/>
    <n v="214.65"/>
    <n v="410.64"/>
    <n v="6"/>
    <s v="Q2"/>
    <n v="2026"/>
    <x v="2"/>
    <n v="729.81"/>
    <n v="319.16999999999996"/>
  </r>
  <r>
    <s v="ORD00205"/>
    <d v="2025-09-26T00:00:00"/>
    <s v="C3122"/>
    <x v="204"/>
    <d v="2025-09-30T00:00:00"/>
    <x v="1"/>
    <x v="1"/>
    <s v="Shirt"/>
    <x v="6"/>
    <s v="Raleigh"/>
    <s v="Female"/>
    <n v="42"/>
    <n v="2"/>
    <n v="0"/>
    <s v="P415"/>
    <x v="1"/>
    <x v="2"/>
    <x v="3"/>
    <s v="Puma"/>
    <n v="5"/>
    <n v="602.55999999999995"/>
    <n v="867.98"/>
    <n v="4"/>
    <s v="Q3"/>
    <n v="2025"/>
    <x v="1"/>
    <n v="1205.1199999999999"/>
    <n v="337.13999999999987"/>
  </r>
  <r>
    <s v="ORD00206"/>
    <d v="2026-04-16T00:00:00"/>
    <s v="C1870"/>
    <x v="205"/>
    <d v="2026-04-21T00:00:00"/>
    <x v="8"/>
    <x v="1"/>
    <s v="Shoes"/>
    <x v="3"/>
    <s v="San Antonio"/>
    <s v="Male"/>
    <n v="38"/>
    <n v="2"/>
    <n v="20"/>
    <s v="P977"/>
    <x v="1"/>
    <x v="4"/>
    <x v="2"/>
    <s v="Nike"/>
    <n v="5"/>
    <n v="797.45"/>
    <n v="998.71"/>
    <n v="5"/>
    <s v="Q2"/>
    <n v="2026"/>
    <x v="3"/>
    <n v="1275.92"/>
    <n v="277.21000000000004"/>
  </r>
  <r>
    <s v="ORD00207"/>
    <d v="2026-06-14T00:00:00"/>
    <s v="C2087"/>
    <x v="206"/>
    <d v="2026-06-21T00:00:00"/>
    <x v="0"/>
    <x v="0"/>
    <s v="Skincare"/>
    <x v="6"/>
    <s v="Raleigh"/>
    <s v="Female"/>
    <n v="24"/>
    <n v="3"/>
    <n v="30"/>
    <s v="P710"/>
    <x v="0"/>
    <x v="0"/>
    <x v="1"/>
    <s v="Nivea"/>
    <n v="2"/>
    <n v="44.32"/>
    <n v="52.43"/>
    <n v="7"/>
    <s v="Q2"/>
    <n v="2026"/>
    <x v="2"/>
    <n v="93.072000000000003"/>
    <n v="40.642000000000003"/>
  </r>
  <r>
    <s v="ORD00208"/>
    <d v="2026-04-12T00:00:00"/>
    <s v="C3859"/>
    <x v="207"/>
    <d v="2026-04-16T00:00:00"/>
    <x v="4"/>
    <x v="4"/>
    <s v="Mobile"/>
    <x v="0"/>
    <s v="Worcester"/>
    <s v="Male"/>
    <n v="61"/>
    <n v="5"/>
    <n v="30"/>
    <s v="P529"/>
    <x v="0"/>
    <x v="3"/>
    <x v="0"/>
    <s v="Samsung"/>
    <n v="4"/>
    <n v="130.47999999999999"/>
    <n v="322.89"/>
    <n v="4"/>
    <s v="Q2"/>
    <n v="2026"/>
    <x v="3"/>
    <n v="456.67999999999995"/>
    <n v="133.78999999999996"/>
  </r>
  <r>
    <s v="ORD00209"/>
    <d v="2024-08-02T00:00:00"/>
    <s v="C8478"/>
    <x v="208"/>
    <d v="2024-08-08T00:00:00"/>
    <x v="5"/>
    <x v="3"/>
    <s v="Furniture"/>
    <x v="9"/>
    <s v="Birmingham"/>
    <s v="Male"/>
    <n v="48"/>
    <n v="2"/>
    <n v="25"/>
    <s v="P294"/>
    <x v="1"/>
    <x v="3"/>
    <x v="2"/>
    <s v="IKEA"/>
    <n v="2"/>
    <n v="658.99"/>
    <n v="732.75"/>
    <n v="6"/>
    <s v="Q3"/>
    <n v="2024"/>
    <x v="11"/>
    <n v="988.48500000000001"/>
    <n v="255.73500000000001"/>
  </r>
  <r>
    <s v="ORD00210"/>
    <d v="2026-04-29T00:00:00"/>
    <s v="C9614"/>
    <x v="209"/>
    <d v="2026-04-30T00:00:00"/>
    <x v="2"/>
    <x v="2"/>
    <s v="Fitness"/>
    <x v="3"/>
    <s v="Houston"/>
    <s v="Female"/>
    <n v="18"/>
    <n v="2"/>
    <n v="20"/>
    <s v="P543"/>
    <x v="1"/>
    <x v="4"/>
    <x v="0"/>
    <s v="Decathlon"/>
    <n v="2"/>
    <n v="756.47"/>
    <n v="1013.53"/>
    <n v="1"/>
    <s v="Q2"/>
    <n v="2026"/>
    <x v="3"/>
    <n v="1210.3520000000001"/>
    <n v="196.82200000000012"/>
  </r>
  <r>
    <s v="ORD00211"/>
    <d v="2024-02-28T00:00:00"/>
    <s v="C4715"/>
    <x v="210"/>
    <d v="2024-03-01T00:00:00"/>
    <x v="3"/>
    <x v="3"/>
    <s v="Kitchen"/>
    <x v="0"/>
    <s v="Cambridge"/>
    <s v="Female"/>
    <n v="63"/>
    <n v="3"/>
    <n v="30"/>
    <s v="P185"/>
    <x v="0"/>
    <x v="1"/>
    <x v="2"/>
    <s v="Philips"/>
    <n v="5"/>
    <n v="242.94"/>
    <n v="328.85"/>
    <n v="2"/>
    <s v="Q1"/>
    <n v="2024"/>
    <x v="5"/>
    <n v="510.17399999999992"/>
    <n v="181.3239999999999"/>
  </r>
  <r>
    <s v="ORD00212"/>
    <d v="2026-01-24T00:00:00"/>
    <s v="C1501"/>
    <x v="211"/>
    <d v="2026-01-25T00:00:00"/>
    <x v="2"/>
    <x v="2"/>
    <s v="Fitness"/>
    <x v="2"/>
    <s v="Cincinnati"/>
    <s v="Male"/>
    <n v="38"/>
    <n v="1"/>
    <n v="30"/>
    <s v="P295"/>
    <x v="0"/>
    <x v="4"/>
    <x v="2"/>
    <s v="Decathlon"/>
    <n v="3"/>
    <n v="602.9"/>
    <n v="240.16"/>
    <n v="1"/>
    <s v="Q1"/>
    <n v="2026"/>
    <x v="0"/>
    <n v="422.03"/>
    <n v="181.86999999999998"/>
  </r>
  <r>
    <s v="ORD00213"/>
    <d v="2025-02-25T00:00:00"/>
    <s v="C2256"/>
    <x v="212"/>
    <d v="2025-03-02T00:00:00"/>
    <x v="5"/>
    <x v="3"/>
    <s v="Furniture"/>
    <x v="7"/>
    <s v="Albany"/>
    <s v="Female"/>
    <n v="63"/>
    <n v="3"/>
    <n v="5"/>
    <s v="P287"/>
    <x v="2"/>
    <x v="3"/>
    <x v="1"/>
    <s v="IKEA"/>
    <n v="5"/>
    <n v="456.84"/>
    <n v="808.27"/>
    <n v="5"/>
    <s v="Q1"/>
    <n v="2025"/>
    <x v="5"/>
    <n v="1301.9939999999999"/>
    <n v="493.72399999999993"/>
  </r>
  <r>
    <s v="ORD00214"/>
    <d v="2024-09-29T00:00:00"/>
    <s v="C7587"/>
    <x v="213"/>
    <d v="2024-10-06T00:00:00"/>
    <x v="2"/>
    <x v="2"/>
    <s v="Fitness"/>
    <x v="1"/>
    <s v="San Francisco"/>
    <s v="Male"/>
    <n v="48"/>
    <n v="3"/>
    <n v="5"/>
    <s v="P192"/>
    <x v="2"/>
    <x v="3"/>
    <x v="2"/>
    <s v="Decathlon"/>
    <n v="5"/>
    <n v="888.38"/>
    <n v="2011.84"/>
    <n v="7"/>
    <s v="Q3"/>
    <n v="2024"/>
    <x v="1"/>
    <n v="2531.8829999999998"/>
    <n v="520.04299999999989"/>
  </r>
  <r>
    <s v="ORD00215"/>
    <d v="2025-03-09T00:00:00"/>
    <s v="C9109"/>
    <x v="214"/>
    <d v="2025-03-13T00:00:00"/>
    <x v="0"/>
    <x v="0"/>
    <s v="Skincare"/>
    <x v="12"/>
    <s v="Grand Rapids"/>
    <s v="Female"/>
    <n v="19"/>
    <n v="5"/>
    <n v="5"/>
    <s v="P778"/>
    <x v="2"/>
    <x v="3"/>
    <x v="0"/>
    <s v="Nivea"/>
    <n v="1"/>
    <n v="27.92"/>
    <n v="71.14"/>
    <n v="4"/>
    <s v="Q1"/>
    <n v="2025"/>
    <x v="6"/>
    <n v="132.62"/>
    <n v="61.480000000000004"/>
  </r>
  <r>
    <s v="ORD00216"/>
    <d v="2024-02-01T00:00:00"/>
    <s v="C2941"/>
    <x v="215"/>
    <d v="2024-02-04T00:00:00"/>
    <x v="8"/>
    <x v="1"/>
    <s v="Shoes"/>
    <x v="21"/>
    <s v="Greenville"/>
    <s v="Male"/>
    <n v="59"/>
    <n v="5"/>
    <n v="15"/>
    <s v="P210"/>
    <x v="1"/>
    <x v="4"/>
    <x v="2"/>
    <s v="Nike"/>
    <n v="2"/>
    <n v="249.35"/>
    <n v="569.79999999999995"/>
    <n v="3"/>
    <s v="Q1"/>
    <n v="2024"/>
    <x v="5"/>
    <n v="1059.7375"/>
    <n v="489.9375"/>
  </r>
  <r>
    <s v="ORD00217"/>
    <d v="2025-11-19T00:00:00"/>
    <s v="C1831"/>
    <x v="216"/>
    <d v="2025-11-21T00:00:00"/>
    <x v="0"/>
    <x v="0"/>
    <s v="Skincare"/>
    <x v="11"/>
    <s v="Jersey City"/>
    <s v="Male"/>
    <n v="32"/>
    <n v="2"/>
    <n v="15"/>
    <s v="P908"/>
    <x v="2"/>
    <x v="2"/>
    <x v="3"/>
    <s v="Nivea"/>
    <n v="4"/>
    <n v="932.67"/>
    <n v="1140.25"/>
    <n v="2"/>
    <s v="Q4"/>
    <n v="2025"/>
    <x v="10"/>
    <n v="1585.539"/>
    <n v="445.28899999999999"/>
  </r>
  <r>
    <s v="ORD00218"/>
    <d v="2025-02-18T00:00:00"/>
    <s v="C4301"/>
    <x v="217"/>
    <d v="2025-02-22T00:00:00"/>
    <x v="2"/>
    <x v="2"/>
    <s v="Fitness"/>
    <x v="17"/>
    <s v="Pittsburgh"/>
    <s v="Female"/>
    <n v="65"/>
    <n v="2"/>
    <n v="20"/>
    <s v="P820"/>
    <x v="1"/>
    <x v="3"/>
    <x v="2"/>
    <s v="Decathlon"/>
    <n v="3"/>
    <n v="253.23"/>
    <n v="321.77"/>
    <n v="4"/>
    <s v="Q1"/>
    <n v="2025"/>
    <x v="5"/>
    <n v="405.16800000000001"/>
    <n v="83.398000000000025"/>
  </r>
  <r>
    <s v="ORD00219"/>
    <d v="2025-01-04T00:00:00"/>
    <s v="C7447"/>
    <x v="218"/>
    <d v="2025-01-06T00:00:00"/>
    <x v="6"/>
    <x v="5"/>
    <s v="Snacks"/>
    <x v="7"/>
    <s v="Albany"/>
    <s v="Female"/>
    <n v="18"/>
    <n v="4"/>
    <n v="25"/>
    <s v="P102"/>
    <x v="2"/>
    <x v="1"/>
    <x v="1"/>
    <s v="Britannia"/>
    <n v="4"/>
    <n v="819.76"/>
    <n v="1561.08"/>
    <n v="2"/>
    <s v="Q1"/>
    <n v="2025"/>
    <x v="0"/>
    <n v="2459.2799999999997"/>
    <n v="898.19999999999982"/>
  </r>
  <r>
    <s v="ORD00220"/>
    <d v="2025-04-02T00:00:00"/>
    <s v="C9800"/>
    <x v="219"/>
    <d v="2025-04-04T00:00:00"/>
    <x v="5"/>
    <x v="3"/>
    <s v="Furniture"/>
    <x v="3"/>
    <s v="Houston"/>
    <s v="Male"/>
    <n v="54"/>
    <n v="4"/>
    <n v="10"/>
    <s v="P877"/>
    <x v="2"/>
    <x v="3"/>
    <x v="2"/>
    <s v="IKEA"/>
    <n v="1"/>
    <n v="426.74"/>
    <n v="1145.45"/>
    <n v="2"/>
    <s v="Q2"/>
    <n v="2025"/>
    <x v="3"/>
    <n v="1536.2640000000001"/>
    <n v="390.81400000000008"/>
  </r>
  <r>
    <s v="ORD00221"/>
    <d v="2024-10-23T00:00:00"/>
    <s v="C1336"/>
    <x v="220"/>
    <d v="2024-10-26T00:00:00"/>
    <x v="6"/>
    <x v="5"/>
    <s v="Snacks"/>
    <x v="5"/>
    <s v="Evansville"/>
    <s v="Male"/>
    <n v="42"/>
    <n v="2"/>
    <n v="25"/>
    <s v="P466"/>
    <x v="1"/>
    <x v="4"/>
    <x v="2"/>
    <s v="Britannia"/>
    <n v="1"/>
    <n v="410.7"/>
    <n v="472.59"/>
    <n v="3"/>
    <s v="Q4"/>
    <n v="2024"/>
    <x v="8"/>
    <n v="616.04999999999995"/>
    <n v="143.45999999999998"/>
  </r>
  <r>
    <s v="ORD00222"/>
    <d v="2026-03-06T00:00:00"/>
    <s v="C4938"/>
    <x v="221"/>
    <d v="2026-03-08T00:00:00"/>
    <x v="6"/>
    <x v="5"/>
    <s v="Snacks"/>
    <x v="14"/>
    <s v="Springfield"/>
    <s v="Female"/>
    <n v="31"/>
    <n v="3"/>
    <n v="10"/>
    <s v="P277"/>
    <x v="2"/>
    <x v="2"/>
    <x v="0"/>
    <s v="Britannia"/>
    <n v="5"/>
    <n v="624.79"/>
    <n v="1087.74"/>
    <n v="2"/>
    <s v="Q1"/>
    <n v="2026"/>
    <x v="6"/>
    <n v="1686.933"/>
    <n v="599.19299999999998"/>
  </r>
  <r>
    <s v="ORD00223"/>
    <d v="2024-08-31T00:00:00"/>
    <s v="C8650"/>
    <x v="222"/>
    <d v="2024-09-06T00:00:00"/>
    <x v="2"/>
    <x v="2"/>
    <s v="Fitness"/>
    <x v="14"/>
    <s v="St. Louis"/>
    <s v="Female"/>
    <n v="22"/>
    <n v="5"/>
    <n v="10"/>
    <s v="P676"/>
    <x v="2"/>
    <x v="4"/>
    <x v="2"/>
    <s v="Decathlon"/>
    <n v="5"/>
    <n v="726.78"/>
    <n v="2072.63"/>
    <n v="6"/>
    <s v="Q3"/>
    <n v="2024"/>
    <x v="11"/>
    <n v="3270.5099999999998"/>
    <n v="1197.8799999999997"/>
  </r>
  <r>
    <s v="ORD00224"/>
    <d v="2024-12-24T00:00:00"/>
    <s v="C4930"/>
    <x v="223"/>
    <d v="2024-12-26T00:00:00"/>
    <x v="8"/>
    <x v="1"/>
    <s v="Shoes"/>
    <x v="15"/>
    <s v="Denver"/>
    <s v="Male"/>
    <n v="63"/>
    <n v="2"/>
    <n v="5"/>
    <s v="P199"/>
    <x v="2"/>
    <x v="1"/>
    <x v="1"/>
    <s v="Nike"/>
    <n v="3"/>
    <n v="902.25"/>
    <n v="1156.6099999999999"/>
    <n v="2"/>
    <s v="Q4"/>
    <n v="2024"/>
    <x v="7"/>
    <n v="1714.2749999999999"/>
    <n v="557.66499999999996"/>
  </r>
  <r>
    <s v="ORD00225"/>
    <d v="2026-05-09T00:00:00"/>
    <s v="C5860"/>
    <x v="224"/>
    <d v="2026-05-15T00:00:00"/>
    <x v="3"/>
    <x v="3"/>
    <s v="Kitchen"/>
    <x v="4"/>
    <s v="Phoenix"/>
    <s v="Female"/>
    <n v="20"/>
    <n v="3"/>
    <n v="30"/>
    <s v="P276"/>
    <x v="1"/>
    <x v="1"/>
    <x v="1"/>
    <s v="Philips"/>
    <n v="3"/>
    <n v="829.64"/>
    <n v="1248.05"/>
    <n v="6"/>
    <s v="Q2"/>
    <n v="2026"/>
    <x v="9"/>
    <n v="1742.2439999999999"/>
    <n v="494.19399999999996"/>
  </r>
  <r>
    <s v="ORD00226"/>
    <d v="2024-06-29T00:00:00"/>
    <s v="C5774"/>
    <x v="225"/>
    <d v="2024-07-03T00:00:00"/>
    <x v="4"/>
    <x v="4"/>
    <s v="Mobile"/>
    <x v="10"/>
    <s v="Madison"/>
    <s v="Female"/>
    <n v="65"/>
    <n v="2"/>
    <n v="30"/>
    <s v="P326"/>
    <x v="2"/>
    <x v="2"/>
    <x v="0"/>
    <s v="Samsung"/>
    <n v="3"/>
    <n v="674.36"/>
    <n v="563.67999999999995"/>
    <n v="4"/>
    <s v="Q2"/>
    <n v="2024"/>
    <x v="2"/>
    <n v="944.10399999999993"/>
    <n v="380.42399999999998"/>
  </r>
  <r>
    <s v="ORD00227"/>
    <d v="2025-09-23T00:00:00"/>
    <s v="C6176"/>
    <x v="226"/>
    <d v="2025-09-25T00:00:00"/>
    <x v="8"/>
    <x v="1"/>
    <s v="Shoes"/>
    <x v="19"/>
    <s v="Frederick"/>
    <s v="Male"/>
    <n v="51"/>
    <n v="2"/>
    <n v="15"/>
    <s v="P259"/>
    <x v="0"/>
    <x v="2"/>
    <x v="2"/>
    <s v="Nike"/>
    <n v="5"/>
    <n v="42.55"/>
    <n v="59.52"/>
    <n v="2"/>
    <s v="Q3"/>
    <n v="2025"/>
    <x v="1"/>
    <n v="72.334999999999994"/>
    <n v="12.814999999999991"/>
  </r>
  <r>
    <s v="ORD00228"/>
    <d v="2024-12-07T00:00:00"/>
    <s v="C3782"/>
    <x v="227"/>
    <d v="2024-12-08T00:00:00"/>
    <x v="2"/>
    <x v="2"/>
    <s v="Fitness"/>
    <x v="20"/>
    <s v="Virginia Beach"/>
    <s v="Male"/>
    <n v="29"/>
    <n v="4"/>
    <n v="30"/>
    <s v="P159"/>
    <x v="0"/>
    <x v="1"/>
    <x v="3"/>
    <s v="Decathlon"/>
    <n v="1"/>
    <n v="737.78"/>
    <n v="1721.62"/>
    <n v="1"/>
    <s v="Q4"/>
    <n v="2024"/>
    <x v="7"/>
    <n v="2065.7839999999997"/>
    <n v="344.16399999999976"/>
  </r>
  <r>
    <s v="ORD00229"/>
    <d v="2024-09-07T00:00:00"/>
    <s v="C3697"/>
    <x v="228"/>
    <d v="2024-09-10T00:00:00"/>
    <x v="2"/>
    <x v="2"/>
    <s v="Fitness"/>
    <x v="18"/>
    <s v="Memphis"/>
    <s v="Female"/>
    <n v="36"/>
    <n v="5"/>
    <n v="20"/>
    <s v="P524"/>
    <x v="2"/>
    <x v="0"/>
    <x v="0"/>
    <s v="Decathlon"/>
    <n v="4"/>
    <n v="279.70999999999998"/>
    <n v="792.37"/>
    <n v="3"/>
    <s v="Q3"/>
    <n v="2024"/>
    <x v="1"/>
    <n v="1118.8399999999999"/>
    <n v="326.46999999999991"/>
  </r>
  <r>
    <s v="ORD00230"/>
    <d v="2025-06-17T00:00:00"/>
    <s v="C5772"/>
    <x v="229"/>
    <d v="2025-06-22T00:00:00"/>
    <x v="1"/>
    <x v="1"/>
    <s v="Shirt"/>
    <x v="2"/>
    <s v="Cleveland"/>
    <s v="Female"/>
    <n v="57"/>
    <n v="5"/>
    <n v="5"/>
    <s v="P706"/>
    <x v="0"/>
    <x v="1"/>
    <x v="1"/>
    <s v="Puma"/>
    <n v="1"/>
    <n v="528.15"/>
    <n v="1793.85"/>
    <n v="5"/>
    <s v="Q2"/>
    <n v="2025"/>
    <x v="2"/>
    <n v="2508.7125000000001"/>
    <n v="714.86250000000018"/>
  </r>
  <r>
    <s v="ORD00231"/>
    <d v="2026-01-01T00:00:00"/>
    <s v="C3683"/>
    <x v="230"/>
    <d v="2026-01-03T00:00:00"/>
    <x v="8"/>
    <x v="1"/>
    <s v="Shoes"/>
    <x v="15"/>
    <s v="Boulder"/>
    <s v="Female"/>
    <n v="33"/>
    <n v="1"/>
    <n v="5"/>
    <s v="P276"/>
    <x v="0"/>
    <x v="1"/>
    <x v="2"/>
    <s v="Nike"/>
    <n v="3"/>
    <n v="552.49"/>
    <n v="290.76"/>
    <n v="2"/>
    <s v="Q1"/>
    <n v="2026"/>
    <x v="0"/>
    <n v="524.8655"/>
    <n v="234.10550000000001"/>
  </r>
  <r>
    <s v="ORD00232"/>
    <d v="2025-08-14T00:00:00"/>
    <s v="C4806"/>
    <x v="231"/>
    <d v="2025-08-21T00:00:00"/>
    <x v="1"/>
    <x v="1"/>
    <s v="Shirt"/>
    <x v="9"/>
    <s v="Montgomery"/>
    <s v="Male"/>
    <n v="49"/>
    <n v="5"/>
    <n v="30"/>
    <s v="P585"/>
    <x v="1"/>
    <x v="0"/>
    <x v="0"/>
    <s v="Puma"/>
    <n v="4"/>
    <n v="513.67999999999995"/>
    <n v="962.15"/>
    <n v="7"/>
    <s v="Q3"/>
    <n v="2025"/>
    <x v="11"/>
    <n v="1797.8799999999997"/>
    <n v="835.72999999999968"/>
  </r>
  <r>
    <s v="ORD00233"/>
    <d v="2025-04-05T00:00:00"/>
    <s v="C5574"/>
    <x v="232"/>
    <d v="2025-04-12T00:00:00"/>
    <x v="7"/>
    <x v="4"/>
    <s v="Laptop"/>
    <x v="8"/>
    <s v="Jacksonville"/>
    <s v="Female"/>
    <n v="20"/>
    <n v="3"/>
    <n v="15"/>
    <s v="P536"/>
    <x v="0"/>
    <x v="3"/>
    <x v="1"/>
    <s v="Dell"/>
    <n v="5"/>
    <n v="255.73"/>
    <n v="543.28"/>
    <n v="7"/>
    <s v="Q2"/>
    <n v="2025"/>
    <x v="3"/>
    <n v="652.11149999999998"/>
    <n v="108.83150000000001"/>
  </r>
  <r>
    <s v="ORD00234"/>
    <d v="2024-08-19T00:00:00"/>
    <s v="C4140"/>
    <x v="233"/>
    <d v="2024-08-24T00:00:00"/>
    <x v="6"/>
    <x v="5"/>
    <s v="Snacks"/>
    <x v="1"/>
    <s v="San Francisco"/>
    <s v="Male"/>
    <n v="51"/>
    <n v="1"/>
    <n v="20"/>
    <s v="P157"/>
    <x v="1"/>
    <x v="2"/>
    <x v="0"/>
    <s v="Britannia"/>
    <n v="3"/>
    <n v="814.04"/>
    <n v="338.14"/>
    <n v="5"/>
    <s v="Q3"/>
    <n v="2024"/>
    <x v="11"/>
    <n v="651.23199999999997"/>
    <n v="313.09199999999998"/>
  </r>
  <r>
    <s v="ORD00235"/>
    <d v="2025-09-12T00:00:00"/>
    <s v="C8980"/>
    <x v="234"/>
    <d v="2025-09-19T00:00:00"/>
    <x v="2"/>
    <x v="2"/>
    <s v="Fitness"/>
    <x v="7"/>
    <s v="Rochester"/>
    <s v="Male"/>
    <n v="65"/>
    <n v="4"/>
    <n v="30"/>
    <s v="P161"/>
    <x v="2"/>
    <x v="2"/>
    <x v="1"/>
    <s v="Decathlon"/>
    <n v="3"/>
    <n v="584.48"/>
    <n v="902.84"/>
    <n v="7"/>
    <s v="Q3"/>
    <n v="2025"/>
    <x v="1"/>
    <n v="1636.5439999999999"/>
    <n v="733.70399999999984"/>
  </r>
  <r>
    <s v="ORD00236"/>
    <d v="2025-09-08T00:00:00"/>
    <s v="C1533"/>
    <x v="235"/>
    <d v="2025-09-13T00:00:00"/>
    <x v="0"/>
    <x v="0"/>
    <s v="Skincare"/>
    <x v="22"/>
    <s v="Springfield"/>
    <s v="Female"/>
    <n v="53"/>
    <n v="3"/>
    <n v="20"/>
    <s v="P958"/>
    <x v="2"/>
    <x v="2"/>
    <x v="0"/>
    <s v="Nivea"/>
    <n v="1"/>
    <n v="489.73"/>
    <n v="604.61"/>
    <n v="5"/>
    <s v="Q3"/>
    <n v="2025"/>
    <x v="1"/>
    <n v="1175.3520000000001"/>
    <n v="570.74200000000008"/>
  </r>
  <r>
    <s v="ORD00237"/>
    <d v="2026-05-12T00:00:00"/>
    <s v="C6670"/>
    <x v="236"/>
    <d v="2026-05-15T00:00:00"/>
    <x v="0"/>
    <x v="0"/>
    <s v="Skincare"/>
    <x v="5"/>
    <s v="Fort Wayne"/>
    <s v="Female"/>
    <n v="41"/>
    <n v="1"/>
    <n v="10"/>
    <s v="P354"/>
    <x v="1"/>
    <x v="0"/>
    <x v="3"/>
    <s v="Nivea"/>
    <n v="3"/>
    <n v="377.42"/>
    <n v="274.12"/>
    <n v="3"/>
    <s v="Q2"/>
    <n v="2026"/>
    <x v="9"/>
    <n v="339.678"/>
    <n v="65.557999999999993"/>
  </r>
  <r>
    <s v="ORD00238"/>
    <d v="2025-05-10T00:00:00"/>
    <s v="C6737"/>
    <x v="237"/>
    <d v="2025-05-11T00:00:00"/>
    <x v="5"/>
    <x v="3"/>
    <s v="Furniture"/>
    <x v="9"/>
    <s v="Birmingham"/>
    <s v="Female"/>
    <n v="39"/>
    <n v="1"/>
    <n v="25"/>
    <s v="P946"/>
    <x v="1"/>
    <x v="3"/>
    <x v="3"/>
    <s v="IKEA"/>
    <n v="1"/>
    <n v="680.58"/>
    <n v="388.41"/>
    <n v="1"/>
    <s v="Q2"/>
    <n v="2025"/>
    <x v="9"/>
    <n v="510.43500000000006"/>
    <n v="122.02500000000003"/>
  </r>
  <r>
    <s v="ORD00239"/>
    <d v="2026-03-05T00:00:00"/>
    <s v="C7664"/>
    <x v="238"/>
    <d v="2026-03-07T00:00:00"/>
    <x v="8"/>
    <x v="1"/>
    <s v="Shoes"/>
    <x v="20"/>
    <s v="Norfolk"/>
    <s v="Male"/>
    <n v="37"/>
    <n v="3"/>
    <n v="25"/>
    <s v="P200"/>
    <x v="0"/>
    <x v="3"/>
    <x v="0"/>
    <s v="Nike"/>
    <n v="2"/>
    <n v="612.38"/>
    <n v="869.39"/>
    <n v="2"/>
    <s v="Q1"/>
    <n v="2026"/>
    <x v="6"/>
    <n v="1377.855"/>
    <n v="508.46500000000003"/>
  </r>
  <r>
    <s v="ORD00240"/>
    <d v="2024-05-05T00:00:00"/>
    <s v="C8334"/>
    <x v="239"/>
    <d v="2024-05-09T00:00:00"/>
    <x v="7"/>
    <x v="4"/>
    <s v="Laptop"/>
    <x v="19"/>
    <s v="Annapolis"/>
    <s v="Male"/>
    <n v="39"/>
    <n v="3"/>
    <n v="20"/>
    <s v="P605"/>
    <x v="1"/>
    <x v="2"/>
    <x v="0"/>
    <s v="Dell"/>
    <n v="1"/>
    <n v="500.82"/>
    <n v="988.71"/>
    <n v="4"/>
    <s v="Q2"/>
    <n v="2024"/>
    <x v="9"/>
    <n v="1201.9680000000001"/>
    <n v="213.25800000000004"/>
  </r>
  <r>
    <s v="ORD00241"/>
    <d v="2024-08-28T00:00:00"/>
    <s v="C6846"/>
    <x v="240"/>
    <d v="2024-08-29T00:00:00"/>
    <x v="5"/>
    <x v="3"/>
    <s v="Furniture"/>
    <x v="1"/>
    <s v="San Diego"/>
    <s v="Female"/>
    <n v="43"/>
    <n v="4"/>
    <n v="20"/>
    <s v="P436"/>
    <x v="1"/>
    <x v="0"/>
    <x v="1"/>
    <s v="IKEA"/>
    <n v="2"/>
    <n v="855.02"/>
    <n v="2064.63"/>
    <n v="1"/>
    <s v="Q3"/>
    <n v="2024"/>
    <x v="11"/>
    <n v="2736.0640000000003"/>
    <n v="671.4340000000002"/>
  </r>
  <r>
    <s v="ORD00242"/>
    <d v="2026-02-18T00:00:00"/>
    <s v="C2623"/>
    <x v="241"/>
    <d v="2026-02-23T00:00:00"/>
    <x v="2"/>
    <x v="2"/>
    <s v="Fitness"/>
    <x v="7"/>
    <s v="New York"/>
    <s v="Male"/>
    <n v="45"/>
    <n v="2"/>
    <n v="30"/>
    <s v="P606"/>
    <x v="1"/>
    <x v="2"/>
    <x v="1"/>
    <s v="Decathlon"/>
    <n v="1"/>
    <n v="42.06"/>
    <n v="32.42"/>
    <n v="5"/>
    <s v="Q1"/>
    <n v="2026"/>
    <x v="5"/>
    <n v="58.884"/>
    <n v="26.463999999999999"/>
  </r>
  <r>
    <s v="ORD00243"/>
    <d v="2025-10-23T00:00:00"/>
    <s v="C2987"/>
    <x v="242"/>
    <d v="2025-10-24T00:00:00"/>
    <x v="2"/>
    <x v="2"/>
    <s v="Fitness"/>
    <x v="21"/>
    <s v="Charleston"/>
    <s v="Female"/>
    <n v="29"/>
    <n v="2"/>
    <n v="15"/>
    <s v="P613"/>
    <x v="2"/>
    <x v="3"/>
    <x v="2"/>
    <s v="Decathlon"/>
    <n v="4"/>
    <n v="586.29"/>
    <n v="730.97"/>
    <n v="1"/>
    <s v="Q4"/>
    <n v="2025"/>
    <x v="8"/>
    <n v="996.69299999999987"/>
    <n v="265.72299999999984"/>
  </r>
  <r>
    <s v="ORD00244"/>
    <d v="2025-03-24T00:00:00"/>
    <s v="C2643"/>
    <x v="243"/>
    <d v="2025-03-29T00:00:00"/>
    <x v="0"/>
    <x v="0"/>
    <s v="Skincare"/>
    <x v="1"/>
    <s v="San Diego"/>
    <s v="Female"/>
    <n v="20"/>
    <n v="2"/>
    <n v="20"/>
    <s v="P581"/>
    <x v="2"/>
    <x v="3"/>
    <x v="2"/>
    <s v="Nivea"/>
    <n v="5"/>
    <n v="496.38"/>
    <n v="604.85"/>
    <n v="5"/>
    <s v="Q1"/>
    <n v="2025"/>
    <x v="6"/>
    <n v="794.20800000000008"/>
    <n v="189.35800000000006"/>
  </r>
  <r>
    <s v="ORD00245"/>
    <d v="2025-08-19T00:00:00"/>
    <s v="C8524"/>
    <x v="244"/>
    <d v="2025-08-23T00:00:00"/>
    <x v="7"/>
    <x v="4"/>
    <s v="Laptop"/>
    <x v="18"/>
    <s v="Nashville"/>
    <s v="Female"/>
    <n v="41"/>
    <n v="5"/>
    <n v="20"/>
    <s v="P167"/>
    <x v="1"/>
    <x v="3"/>
    <x v="0"/>
    <s v="Dell"/>
    <n v="2"/>
    <n v="91.73"/>
    <n v="187.61"/>
    <n v="4"/>
    <s v="Q3"/>
    <n v="2025"/>
    <x v="11"/>
    <n v="366.92000000000007"/>
    <n v="179.31000000000006"/>
  </r>
  <r>
    <s v="ORD00246"/>
    <d v="2025-04-18T00:00:00"/>
    <s v="C3974"/>
    <x v="245"/>
    <d v="2025-04-25T00:00:00"/>
    <x v="0"/>
    <x v="0"/>
    <s v="Skincare"/>
    <x v="14"/>
    <s v="Springfield"/>
    <s v="Female"/>
    <n v="26"/>
    <n v="2"/>
    <n v="25"/>
    <s v="P539"/>
    <x v="0"/>
    <x v="2"/>
    <x v="3"/>
    <s v="Nivea"/>
    <n v="3"/>
    <n v="396.15"/>
    <n v="484.81"/>
    <n v="7"/>
    <s v="Q2"/>
    <n v="2025"/>
    <x v="3"/>
    <n v="594.22499999999991"/>
    <n v="109.41499999999991"/>
  </r>
  <r>
    <s v="ORD00247"/>
    <d v="2024-04-21T00:00:00"/>
    <s v="C7091"/>
    <x v="246"/>
    <d v="2024-04-22T00:00:00"/>
    <x v="2"/>
    <x v="2"/>
    <s v="Fitness"/>
    <x v="23"/>
    <s v="Minneapolis"/>
    <s v="Male"/>
    <n v="26"/>
    <n v="5"/>
    <n v="10"/>
    <s v="P797"/>
    <x v="2"/>
    <x v="3"/>
    <x v="0"/>
    <s v="Decathlon"/>
    <n v="2"/>
    <n v="80.349999999999994"/>
    <n v="218.19"/>
    <n v="1"/>
    <s v="Q2"/>
    <n v="2024"/>
    <x v="3"/>
    <n v="361.57499999999999"/>
    <n v="143.38499999999999"/>
  </r>
  <r>
    <s v="ORD00248"/>
    <d v="2025-09-22T00:00:00"/>
    <s v="C8307"/>
    <x v="247"/>
    <d v="2025-09-26T00:00:00"/>
    <x v="8"/>
    <x v="1"/>
    <s v="Shoes"/>
    <x v="2"/>
    <s v="Cincinnati"/>
    <s v="Female"/>
    <n v="63"/>
    <n v="3"/>
    <n v="15"/>
    <s v="P254"/>
    <x v="0"/>
    <x v="3"/>
    <x v="3"/>
    <s v="Nike"/>
    <n v="3"/>
    <n v="232.83"/>
    <n v="318.95999999999998"/>
    <n v="4"/>
    <s v="Q3"/>
    <n v="2025"/>
    <x v="1"/>
    <n v="593.7165"/>
    <n v="274.75650000000002"/>
  </r>
  <r>
    <s v="ORD00249"/>
    <d v="2025-05-28T00:00:00"/>
    <s v="C7177"/>
    <x v="248"/>
    <d v="2025-06-01T00:00:00"/>
    <x v="0"/>
    <x v="0"/>
    <s v="Skincare"/>
    <x v="14"/>
    <s v="Kansas City"/>
    <s v="Male"/>
    <n v="18"/>
    <n v="5"/>
    <n v="25"/>
    <s v="P730"/>
    <x v="0"/>
    <x v="0"/>
    <x v="2"/>
    <s v="Nivea"/>
    <n v="1"/>
    <n v="678.32"/>
    <n v="1406.77"/>
    <n v="4"/>
    <s v="Q2"/>
    <n v="2025"/>
    <x v="9"/>
    <n v="2543.7000000000003"/>
    <n v="1136.9300000000003"/>
  </r>
  <r>
    <s v="ORD00250"/>
    <d v="2025-10-30T00:00:00"/>
    <s v="C7064"/>
    <x v="249"/>
    <d v="2025-10-31T00:00:00"/>
    <x v="4"/>
    <x v="4"/>
    <s v="Mobile"/>
    <x v="13"/>
    <s v="Augusta"/>
    <s v="Male"/>
    <n v="48"/>
    <n v="1"/>
    <n v="10"/>
    <s v="P325"/>
    <x v="0"/>
    <x v="0"/>
    <x v="2"/>
    <s v="Samsung"/>
    <n v="4"/>
    <n v="830.44"/>
    <n v="503.32"/>
    <n v="1"/>
    <s v="Q4"/>
    <n v="2025"/>
    <x v="8"/>
    <n v="747.39600000000007"/>
    <n v="244.07600000000008"/>
  </r>
  <r>
    <s v="ORD00251"/>
    <d v="2026-02-01T00:00:00"/>
    <s v="C1400"/>
    <x v="250"/>
    <d v="2026-02-05T00:00:00"/>
    <x v="0"/>
    <x v="0"/>
    <s v="Skincare"/>
    <x v="14"/>
    <s v="Springfield"/>
    <s v="Female"/>
    <n v="40"/>
    <n v="5"/>
    <n v="15"/>
    <s v="P916"/>
    <x v="2"/>
    <x v="3"/>
    <x v="2"/>
    <s v="Nivea"/>
    <n v="1"/>
    <n v="33.950000000000003"/>
    <n v="116.75"/>
    <n v="4"/>
    <s v="Q1"/>
    <n v="2026"/>
    <x v="5"/>
    <n v="144.28749999999999"/>
    <n v="27.537499999999994"/>
  </r>
  <r>
    <s v="ORD00252"/>
    <d v="2024-02-28T00:00:00"/>
    <s v="C2849"/>
    <x v="251"/>
    <d v="2024-03-03T00:00:00"/>
    <x v="6"/>
    <x v="5"/>
    <s v="Snacks"/>
    <x v="10"/>
    <s v="Green Bay"/>
    <s v="Female"/>
    <n v="30"/>
    <n v="1"/>
    <n v="15"/>
    <s v="P641"/>
    <x v="0"/>
    <x v="1"/>
    <x v="2"/>
    <s v="Britannia"/>
    <n v="3"/>
    <n v="244.81"/>
    <n v="115.95"/>
    <n v="4"/>
    <s v="Q1"/>
    <n v="2024"/>
    <x v="5"/>
    <n v="208.08850000000001"/>
    <n v="92.138500000000008"/>
  </r>
  <r>
    <s v="ORD00253"/>
    <d v="2025-05-26T00:00:00"/>
    <s v="C6701"/>
    <x v="252"/>
    <d v="2025-05-28T00:00:00"/>
    <x v="7"/>
    <x v="4"/>
    <s v="Laptop"/>
    <x v="23"/>
    <s v="Minneapolis"/>
    <s v="Female"/>
    <n v="20"/>
    <n v="5"/>
    <n v="15"/>
    <s v="P365"/>
    <x v="2"/>
    <x v="3"/>
    <x v="2"/>
    <s v="Dell"/>
    <n v="5"/>
    <n v="709.14"/>
    <n v="2007.27"/>
    <n v="2"/>
    <s v="Q2"/>
    <n v="2025"/>
    <x v="9"/>
    <n v="3013.8449999999998"/>
    <n v="1006.5749999999998"/>
  </r>
  <r>
    <s v="ORD00254"/>
    <d v="2025-03-06T00:00:00"/>
    <s v="C3989"/>
    <x v="253"/>
    <d v="2025-03-10T00:00:00"/>
    <x v="0"/>
    <x v="0"/>
    <s v="Skincare"/>
    <x v="1"/>
    <s v="Sacramento"/>
    <s v="Male"/>
    <n v="31"/>
    <n v="1"/>
    <n v="15"/>
    <s v="P641"/>
    <x v="0"/>
    <x v="1"/>
    <x v="2"/>
    <s v="Nivea"/>
    <n v="4"/>
    <n v="486.37"/>
    <n v="287.72000000000003"/>
    <n v="4"/>
    <s v="Q1"/>
    <n v="2025"/>
    <x v="6"/>
    <n v="413.41449999999998"/>
    <n v="125.69449999999995"/>
  </r>
  <r>
    <s v="ORD00255"/>
    <d v="2025-10-30T00:00:00"/>
    <s v="C1086"/>
    <x v="254"/>
    <d v="2025-11-01T00:00:00"/>
    <x v="1"/>
    <x v="1"/>
    <s v="Shirt"/>
    <x v="23"/>
    <s v="Minneapolis"/>
    <s v="Female"/>
    <n v="63"/>
    <n v="3"/>
    <n v="25"/>
    <s v="P531"/>
    <x v="0"/>
    <x v="3"/>
    <x v="0"/>
    <s v="Puma"/>
    <n v="2"/>
    <n v="581.73"/>
    <n v="957.32"/>
    <n v="2"/>
    <s v="Q4"/>
    <n v="2025"/>
    <x v="8"/>
    <n v="1308.8924999999999"/>
    <n v="351.57249999999988"/>
  </r>
  <r>
    <s v="ORD00256"/>
    <d v="2025-06-13T00:00:00"/>
    <s v="C9991"/>
    <x v="255"/>
    <d v="2025-06-20T00:00:00"/>
    <x v="6"/>
    <x v="5"/>
    <s v="Snacks"/>
    <x v="18"/>
    <s v="Memphis"/>
    <s v="Male"/>
    <n v="51"/>
    <n v="1"/>
    <n v="5"/>
    <s v="P905"/>
    <x v="0"/>
    <x v="3"/>
    <x v="2"/>
    <s v="Britannia"/>
    <n v="2"/>
    <n v="73.38"/>
    <n v="51.73"/>
    <n v="7"/>
    <s v="Q2"/>
    <n v="2025"/>
    <x v="2"/>
    <n v="69.710999999999999"/>
    <n v="17.981000000000002"/>
  </r>
  <r>
    <s v="ORD00257"/>
    <d v="2024-09-14T00:00:00"/>
    <s v="C5226"/>
    <x v="256"/>
    <d v="2024-09-16T00:00:00"/>
    <x v="8"/>
    <x v="1"/>
    <s v="Shoes"/>
    <x v="1"/>
    <s v="Los Angeles"/>
    <s v="Male"/>
    <n v="19"/>
    <n v="2"/>
    <n v="25"/>
    <s v="P834"/>
    <x v="0"/>
    <x v="3"/>
    <x v="0"/>
    <s v="Nike"/>
    <n v="4"/>
    <n v="859.91"/>
    <n v="794.29"/>
    <n v="2"/>
    <s v="Q3"/>
    <n v="2024"/>
    <x v="1"/>
    <n v="1289.865"/>
    <n v="495.57500000000005"/>
  </r>
  <r>
    <s v="ORD00258"/>
    <d v="2025-04-06T00:00:00"/>
    <s v="C1765"/>
    <x v="257"/>
    <d v="2025-04-12T00:00:00"/>
    <x v="2"/>
    <x v="2"/>
    <s v="Fitness"/>
    <x v="19"/>
    <s v="Annapolis"/>
    <s v="Female"/>
    <n v="64"/>
    <n v="3"/>
    <n v="15"/>
    <s v="P585"/>
    <x v="0"/>
    <x v="0"/>
    <x v="0"/>
    <s v="Decathlon"/>
    <n v="4"/>
    <n v="860.37"/>
    <n v="1537.83"/>
    <n v="6"/>
    <s v="Q2"/>
    <n v="2025"/>
    <x v="3"/>
    <n v="2193.9434999999999"/>
    <n v="656.11349999999993"/>
  </r>
  <r>
    <s v="ORD00259"/>
    <d v="2024-09-03T00:00:00"/>
    <s v="C9152"/>
    <x v="258"/>
    <d v="2024-09-06T00:00:00"/>
    <x v="3"/>
    <x v="3"/>
    <s v="Kitchen"/>
    <x v="20"/>
    <s v="Norfolk"/>
    <s v="Female"/>
    <n v="32"/>
    <n v="2"/>
    <n v="20"/>
    <s v="P531"/>
    <x v="0"/>
    <x v="4"/>
    <x v="2"/>
    <s v="Philips"/>
    <n v="4"/>
    <n v="782.03"/>
    <n v="698.27"/>
    <n v="3"/>
    <s v="Q3"/>
    <n v="2024"/>
    <x v="1"/>
    <n v="1251.248"/>
    <n v="552.97800000000007"/>
  </r>
  <r>
    <s v="ORD00260"/>
    <d v="2025-07-09T00:00:00"/>
    <s v="C4168"/>
    <x v="259"/>
    <d v="2025-07-16T00:00:00"/>
    <x v="4"/>
    <x v="4"/>
    <s v="Mobile"/>
    <x v="5"/>
    <s v="Evansville"/>
    <s v="Female"/>
    <n v="58"/>
    <n v="1"/>
    <n v="25"/>
    <s v="P560"/>
    <x v="1"/>
    <x v="2"/>
    <x v="2"/>
    <s v="Samsung"/>
    <n v="5"/>
    <n v="939.22"/>
    <n v="444.68"/>
    <n v="7"/>
    <s v="Q3"/>
    <n v="2025"/>
    <x v="4"/>
    <n v="704.41499999999996"/>
    <n v="259.73499999999996"/>
  </r>
  <r>
    <s v="ORD00261"/>
    <d v="2024-08-22T00:00:00"/>
    <s v="C1497"/>
    <x v="260"/>
    <d v="2024-08-23T00:00:00"/>
    <x v="6"/>
    <x v="5"/>
    <s v="Snacks"/>
    <x v="4"/>
    <s v="Tucson"/>
    <s v="Female"/>
    <n v="60"/>
    <n v="3"/>
    <n v="25"/>
    <s v="P309"/>
    <x v="2"/>
    <x v="2"/>
    <x v="1"/>
    <s v="Britannia"/>
    <n v="1"/>
    <n v="734.03"/>
    <n v="883.63"/>
    <n v="1"/>
    <s v="Q3"/>
    <n v="2024"/>
    <x v="11"/>
    <n v="1651.5675000000001"/>
    <n v="767.93750000000011"/>
  </r>
  <r>
    <s v="ORD00262"/>
    <d v="2024-08-14T00:00:00"/>
    <s v="C5591"/>
    <x v="261"/>
    <d v="2024-08-20T00:00:00"/>
    <x v="0"/>
    <x v="0"/>
    <s v="Skincare"/>
    <x v="15"/>
    <s v="Boulder"/>
    <s v="Male"/>
    <n v="34"/>
    <n v="4"/>
    <n v="25"/>
    <s v="P675"/>
    <x v="1"/>
    <x v="2"/>
    <x v="2"/>
    <s v="Nivea"/>
    <n v="4"/>
    <n v="266.98"/>
    <n v="503.15"/>
    <n v="6"/>
    <s v="Q3"/>
    <n v="2024"/>
    <x v="11"/>
    <n v="800.94"/>
    <n v="297.79000000000008"/>
  </r>
  <r>
    <s v="ORD00263"/>
    <d v="2025-09-01T00:00:00"/>
    <s v="C7488"/>
    <x v="262"/>
    <d v="2025-09-08T00:00:00"/>
    <x v="4"/>
    <x v="4"/>
    <s v="Mobile"/>
    <x v="14"/>
    <s v="St. Louis"/>
    <s v="Female"/>
    <n v="49"/>
    <n v="3"/>
    <n v="30"/>
    <s v="P694"/>
    <x v="2"/>
    <x v="1"/>
    <x v="3"/>
    <s v="Samsung"/>
    <n v="3"/>
    <n v="18.559999999999999"/>
    <n v="21.89"/>
    <n v="7"/>
    <s v="Q3"/>
    <n v="2025"/>
    <x v="1"/>
    <n v="38.975999999999992"/>
    <n v="17.085999999999991"/>
  </r>
  <r>
    <s v="ORD00264"/>
    <d v="2024-11-21T00:00:00"/>
    <s v="C5588"/>
    <x v="263"/>
    <d v="2024-11-25T00:00:00"/>
    <x v="2"/>
    <x v="2"/>
    <s v="Fitness"/>
    <x v="17"/>
    <s v="Allentown"/>
    <s v="Female"/>
    <n v="35"/>
    <n v="4"/>
    <n v="0"/>
    <s v="P789"/>
    <x v="2"/>
    <x v="3"/>
    <x v="1"/>
    <s v="Decathlon"/>
    <n v="3"/>
    <n v="540.28"/>
    <n v="1427.02"/>
    <n v="4"/>
    <s v="Q4"/>
    <n v="2024"/>
    <x v="10"/>
    <n v="2161.12"/>
    <n v="734.09999999999991"/>
  </r>
  <r>
    <s v="ORD00265"/>
    <d v="2026-06-01T00:00:00"/>
    <s v="C9032"/>
    <x v="264"/>
    <d v="2026-06-03T00:00:00"/>
    <x v="6"/>
    <x v="5"/>
    <s v="Snacks"/>
    <x v="8"/>
    <s v="Orlando"/>
    <s v="Male"/>
    <n v="44"/>
    <n v="4"/>
    <n v="25"/>
    <s v="P753"/>
    <x v="1"/>
    <x v="4"/>
    <x v="2"/>
    <s v="Britannia"/>
    <n v="4"/>
    <n v="541.87"/>
    <n v="974.66"/>
    <n v="2"/>
    <s v="Q2"/>
    <n v="2026"/>
    <x v="2"/>
    <n v="1625.6100000000001"/>
    <n v="650.95000000000016"/>
  </r>
  <r>
    <s v="ORD00266"/>
    <d v="2025-08-16T00:00:00"/>
    <s v="C6653"/>
    <x v="265"/>
    <d v="2025-08-20T00:00:00"/>
    <x v="0"/>
    <x v="0"/>
    <s v="Skincare"/>
    <x v="18"/>
    <s v="Nashville"/>
    <s v="Male"/>
    <n v="58"/>
    <n v="5"/>
    <n v="0"/>
    <s v="P859"/>
    <x v="0"/>
    <x v="0"/>
    <x v="3"/>
    <s v="Nivea"/>
    <n v="1"/>
    <n v="698.87"/>
    <n v="2380.4699999999998"/>
    <n v="4"/>
    <s v="Q3"/>
    <n v="2025"/>
    <x v="11"/>
    <n v="3494.35"/>
    <n v="1113.8800000000001"/>
  </r>
  <r>
    <s v="ORD00267"/>
    <d v="2025-03-28T00:00:00"/>
    <s v="C4901"/>
    <x v="266"/>
    <d v="2025-03-29T00:00:00"/>
    <x v="0"/>
    <x v="0"/>
    <s v="Skincare"/>
    <x v="18"/>
    <s v="Nashville"/>
    <s v="Male"/>
    <n v="37"/>
    <n v="1"/>
    <n v="20"/>
    <s v="P870"/>
    <x v="2"/>
    <x v="0"/>
    <x v="1"/>
    <s v="Nivea"/>
    <n v="1"/>
    <n v="93.3"/>
    <n v="60.91"/>
    <n v="1"/>
    <s v="Q1"/>
    <n v="2025"/>
    <x v="6"/>
    <n v="74.64"/>
    <n v="13.730000000000004"/>
  </r>
  <r>
    <s v="ORD00268"/>
    <d v="2024-05-20T00:00:00"/>
    <s v="C6282"/>
    <x v="267"/>
    <d v="2024-05-22T00:00:00"/>
    <x v="4"/>
    <x v="4"/>
    <s v="Mobile"/>
    <x v="9"/>
    <s v="Birmingham"/>
    <s v="Male"/>
    <n v="29"/>
    <n v="4"/>
    <n v="30"/>
    <s v="P327"/>
    <x v="0"/>
    <x v="2"/>
    <x v="1"/>
    <s v="Samsung"/>
    <n v="1"/>
    <n v="14.55"/>
    <n v="27.38"/>
    <n v="2"/>
    <s v="Q2"/>
    <n v="2024"/>
    <x v="9"/>
    <n v="40.74"/>
    <n v="13.360000000000003"/>
  </r>
  <r>
    <s v="ORD00269"/>
    <d v="2024-02-12T00:00:00"/>
    <s v="C9866"/>
    <x v="268"/>
    <d v="2024-02-17T00:00:00"/>
    <x v="0"/>
    <x v="0"/>
    <s v="Skincare"/>
    <x v="12"/>
    <s v="Lansing"/>
    <s v="Female"/>
    <n v="65"/>
    <n v="1"/>
    <n v="30"/>
    <s v="P892"/>
    <x v="2"/>
    <x v="2"/>
    <x v="1"/>
    <s v="Nivea"/>
    <n v="3"/>
    <n v="338.02"/>
    <n v="156.54"/>
    <n v="5"/>
    <s v="Q1"/>
    <n v="2024"/>
    <x v="5"/>
    <n v="236.61399999999998"/>
    <n v="80.073999999999984"/>
  </r>
  <r>
    <s v="ORD00270"/>
    <d v="2025-01-03T00:00:00"/>
    <s v="C8281"/>
    <x v="269"/>
    <d v="2025-01-07T00:00:00"/>
    <x v="7"/>
    <x v="4"/>
    <s v="Laptop"/>
    <x v="7"/>
    <s v="Buffalo"/>
    <s v="Female"/>
    <n v="63"/>
    <n v="2"/>
    <n v="25"/>
    <s v="P629"/>
    <x v="1"/>
    <x v="4"/>
    <x v="0"/>
    <s v="Dell"/>
    <n v="4"/>
    <n v="174.54"/>
    <n v="193.33"/>
    <n v="4"/>
    <s v="Q1"/>
    <n v="2025"/>
    <x v="0"/>
    <n v="261.81"/>
    <n v="68.47999999999999"/>
  </r>
  <r>
    <s v="ORD00271"/>
    <d v="2024-08-18T00:00:00"/>
    <s v="C4871"/>
    <x v="270"/>
    <d v="2024-08-25T00:00:00"/>
    <x v="5"/>
    <x v="3"/>
    <s v="Furniture"/>
    <x v="4"/>
    <s v="Mesa"/>
    <s v="Female"/>
    <n v="63"/>
    <n v="2"/>
    <n v="20"/>
    <s v="P793"/>
    <x v="2"/>
    <x v="4"/>
    <x v="0"/>
    <s v="IKEA"/>
    <n v="4"/>
    <n v="506.86"/>
    <n v="426.18"/>
    <n v="7"/>
    <s v="Q3"/>
    <n v="2024"/>
    <x v="11"/>
    <n v="810.97600000000011"/>
    <n v="384.79600000000011"/>
  </r>
  <r>
    <s v="ORD00272"/>
    <d v="2024-06-30T00:00:00"/>
    <s v="C4218"/>
    <x v="271"/>
    <d v="2024-07-04T00:00:00"/>
    <x v="4"/>
    <x v="4"/>
    <s v="Mobile"/>
    <x v="13"/>
    <s v="Savannah"/>
    <s v="Male"/>
    <n v="60"/>
    <n v="3"/>
    <n v="30"/>
    <s v="P624"/>
    <x v="0"/>
    <x v="4"/>
    <x v="0"/>
    <s v="Samsung"/>
    <n v="4"/>
    <n v="793.66"/>
    <n v="903.73"/>
    <n v="4"/>
    <s v="Q2"/>
    <n v="2024"/>
    <x v="2"/>
    <n v="1666.6859999999999"/>
    <n v="762.9559999999999"/>
  </r>
  <r>
    <s v="ORD00273"/>
    <d v="2025-11-20T00:00:00"/>
    <s v="C3904"/>
    <x v="272"/>
    <d v="2025-11-26T00:00:00"/>
    <x v="7"/>
    <x v="4"/>
    <s v="Laptop"/>
    <x v="14"/>
    <s v="St. Louis"/>
    <s v="Male"/>
    <n v="42"/>
    <n v="2"/>
    <n v="20"/>
    <s v="P162"/>
    <x v="1"/>
    <x v="4"/>
    <x v="2"/>
    <s v="Dell"/>
    <n v="5"/>
    <n v="163.49"/>
    <n v="202.49"/>
    <n v="6"/>
    <s v="Q4"/>
    <n v="2025"/>
    <x v="10"/>
    <n v="261.584"/>
    <n v="59.093999999999994"/>
  </r>
  <r>
    <s v="ORD00274"/>
    <d v="2025-03-27T00:00:00"/>
    <s v="C2760"/>
    <x v="273"/>
    <d v="2025-04-03T00:00:00"/>
    <x v="7"/>
    <x v="4"/>
    <s v="Laptop"/>
    <x v="7"/>
    <s v="New York"/>
    <s v="Male"/>
    <n v="31"/>
    <n v="5"/>
    <n v="0"/>
    <s v="P706"/>
    <x v="0"/>
    <x v="3"/>
    <x v="2"/>
    <s v="Dell"/>
    <n v="1"/>
    <n v="552.04999999999995"/>
    <n v="1882.26"/>
    <n v="7"/>
    <s v="Q1"/>
    <n v="2025"/>
    <x v="6"/>
    <n v="2760.25"/>
    <n v="877.99"/>
  </r>
  <r>
    <s v="ORD00275"/>
    <d v="2025-02-13T00:00:00"/>
    <s v="C1604"/>
    <x v="274"/>
    <d v="2025-02-18T00:00:00"/>
    <x v="6"/>
    <x v="5"/>
    <s v="Snacks"/>
    <x v="20"/>
    <s v="Richmond"/>
    <s v="Female"/>
    <n v="54"/>
    <n v="2"/>
    <n v="5"/>
    <s v="P115"/>
    <x v="0"/>
    <x v="0"/>
    <x v="2"/>
    <s v="Britannia"/>
    <n v="5"/>
    <n v="526.24"/>
    <n v="740.05"/>
    <n v="5"/>
    <s v="Q1"/>
    <n v="2025"/>
    <x v="5"/>
    <n v="999.85599999999999"/>
    <n v="259.80600000000004"/>
  </r>
  <r>
    <s v="ORD00276"/>
    <d v="2024-12-22T00:00:00"/>
    <s v="C5602"/>
    <x v="275"/>
    <d v="2024-12-29T00:00:00"/>
    <x v="4"/>
    <x v="4"/>
    <s v="Mobile"/>
    <x v="1"/>
    <s v="Sacramento"/>
    <s v="Female"/>
    <n v="52"/>
    <n v="4"/>
    <n v="0"/>
    <s v="P917"/>
    <x v="0"/>
    <x v="2"/>
    <x v="3"/>
    <s v="Samsung"/>
    <n v="3"/>
    <n v="47.08"/>
    <n v="108.09"/>
    <n v="7"/>
    <s v="Q4"/>
    <n v="2024"/>
    <x v="7"/>
    <n v="188.32"/>
    <n v="80.22999999999999"/>
  </r>
  <r>
    <s v="ORD00277"/>
    <d v="2025-07-09T00:00:00"/>
    <s v="C9522"/>
    <x v="276"/>
    <d v="2025-07-14T00:00:00"/>
    <x v="5"/>
    <x v="3"/>
    <s v="Furniture"/>
    <x v="19"/>
    <s v="Baltimore"/>
    <s v="Male"/>
    <n v="23"/>
    <n v="2"/>
    <n v="25"/>
    <s v="P482"/>
    <x v="1"/>
    <x v="0"/>
    <x v="0"/>
    <s v="IKEA"/>
    <n v="5"/>
    <n v="688.26"/>
    <n v="606.17999999999995"/>
    <n v="5"/>
    <s v="Q3"/>
    <n v="2025"/>
    <x v="4"/>
    <n v="1032.3899999999999"/>
    <n v="426.20999999999992"/>
  </r>
  <r>
    <s v="ORD00278"/>
    <d v="2025-05-03T00:00:00"/>
    <s v="C3136"/>
    <x v="277"/>
    <d v="2025-05-06T00:00:00"/>
    <x v="2"/>
    <x v="2"/>
    <s v="Fitness"/>
    <x v="7"/>
    <s v="Buffalo"/>
    <s v="Female"/>
    <n v="21"/>
    <n v="2"/>
    <n v="5"/>
    <s v="P304"/>
    <x v="2"/>
    <x v="0"/>
    <x v="0"/>
    <s v="Decathlon"/>
    <n v="2"/>
    <n v="315.29000000000002"/>
    <n v="428.25"/>
    <n v="3"/>
    <s v="Q2"/>
    <n v="2025"/>
    <x v="9"/>
    <n v="599.05100000000004"/>
    <n v="170.80100000000004"/>
  </r>
  <r>
    <s v="ORD00279"/>
    <d v="2025-01-05T00:00:00"/>
    <s v="C1490"/>
    <x v="278"/>
    <d v="2025-01-06T00:00:00"/>
    <x v="2"/>
    <x v="2"/>
    <s v="Fitness"/>
    <x v="12"/>
    <s v="Detroit"/>
    <s v="Female"/>
    <n v="43"/>
    <n v="1"/>
    <n v="0"/>
    <s v="P765"/>
    <x v="2"/>
    <x v="4"/>
    <x v="3"/>
    <s v="Decathlon"/>
    <n v="1"/>
    <n v="406.35"/>
    <n v="333.23"/>
    <n v="1"/>
    <s v="Q1"/>
    <n v="2025"/>
    <x v="0"/>
    <n v="406.35"/>
    <n v="73.12"/>
  </r>
  <r>
    <s v="ORD00280"/>
    <d v="2024-01-21T00:00:00"/>
    <s v="C5612"/>
    <x v="279"/>
    <d v="2024-01-26T00:00:00"/>
    <x v="0"/>
    <x v="0"/>
    <s v="Skincare"/>
    <x v="2"/>
    <s v="Cincinnati"/>
    <s v="Male"/>
    <n v="56"/>
    <n v="3"/>
    <n v="0"/>
    <s v="P281"/>
    <x v="1"/>
    <x v="0"/>
    <x v="2"/>
    <s v="Nivea"/>
    <n v="2"/>
    <n v="42.11"/>
    <n v="81.8"/>
    <n v="5"/>
    <s v="Q1"/>
    <n v="2024"/>
    <x v="0"/>
    <n v="126.33"/>
    <n v="44.53"/>
  </r>
  <r>
    <s v="ORD00281"/>
    <d v="2026-01-19T00:00:00"/>
    <s v="C1437"/>
    <x v="280"/>
    <d v="2026-01-21T00:00:00"/>
    <x v="4"/>
    <x v="4"/>
    <s v="Mobile"/>
    <x v="8"/>
    <s v="Miami"/>
    <s v="Male"/>
    <n v="29"/>
    <n v="1"/>
    <n v="5"/>
    <s v="P328"/>
    <x v="2"/>
    <x v="2"/>
    <x v="3"/>
    <s v="Samsung"/>
    <n v="5"/>
    <n v="219.54"/>
    <n v="174.84"/>
    <n v="2"/>
    <s v="Q1"/>
    <n v="2026"/>
    <x v="0"/>
    <n v="208.56299999999999"/>
    <n v="33.722999999999985"/>
  </r>
  <r>
    <s v="ORD00282"/>
    <d v="2024-12-11T00:00:00"/>
    <s v="C1502"/>
    <x v="281"/>
    <d v="2024-12-12T00:00:00"/>
    <x v="6"/>
    <x v="5"/>
    <s v="Snacks"/>
    <x v="3"/>
    <s v="Austin"/>
    <s v="Female"/>
    <n v="28"/>
    <n v="2"/>
    <n v="0"/>
    <s v="P312"/>
    <x v="2"/>
    <x v="3"/>
    <x v="0"/>
    <s v="Britannia"/>
    <n v="5"/>
    <n v="633.98"/>
    <n v="766.52"/>
    <n v="1"/>
    <s v="Q4"/>
    <n v="2024"/>
    <x v="7"/>
    <n v="1267.96"/>
    <n v="501.44000000000005"/>
  </r>
  <r>
    <s v="ORD00283"/>
    <d v="2025-09-22T00:00:00"/>
    <s v="C9317"/>
    <x v="282"/>
    <d v="2025-09-28T00:00:00"/>
    <x v="6"/>
    <x v="5"/>
    <s v="Snacks"/>
    <x v="3"/>
    <s v="San Antonio"/>
    <s v="Male"/>
    <n v="21"/>
    <n v="4"/>
    <n v="10"/>
    <s v="P303"/>
    <x v="2"/>
    <x v="2"/>
    <x v="2"/>
    <s v="Britannia"/>
    <n v="2"/>
    <n v="961.64"/>
    <n v="2637.41"/>
    <n v="6"/>
    <s v="Q3"/>
    <n v="2025"/>
    <x v="1"/>
    <n v="3461.904"/>
    <n v="824.49400000000014"/>
  </r>
  <r>
    <s v="ORD00284"/>
    <d v="2024-11-16T00:00:00"/>
    <s v="C5743"/>
    <x v="283"/>
    <d v="2024-11-21T00:00:00"/>
    <x v="0"/>
    <x v="0"/>
    <s v="Skincare"/>
    <x v="6"/>
    <s v="Greensboro"/>
    <s v="Male"/>
    <n v="61"/>
    <n v="1"/>
    <n v="0"/>
    <s v="P987"/>
    <x v="0"/>
    <x v="2"/>
    <x v="2"/>
    <s v="Nivea"/>
    <n v="2"/>
    <n v="263.04000000000002"/>
    <n v="207.99"/>
    <n v="5"/>
    <s v="Q4"/>
    <n v="2024"/>
    <x v="10"/>
    <n v="263.04000000000002"/>
    <n v="55.050000000000011"/>
  </r>
  <r>
    <s v="ORD00285"/>
    <d v="2024-07-11T00:00:00"/>
    <s v="C3363"/>
    <x v="284"/>
    <d v="2024-07-12T00:00:00"/>
    <x v="6"/>
    <x v="5"/>
    <s v="Snacks"/>
    <x v="19"/>
    <s v="Frederick"/>
    <s v="Female"/>
    <n v="53"/>
    <n v="2"/>
    <n v="10"/>
    <s v="P693"/>
    <x v="0"/>
    <x v="0"/>
    <x v="0"/>
    <s v="Britannia"/>
    <n v="5"/>
    <n v="97.2"/>
    <n v="125.94"/>
    <n v="1"/>
    <s v="Q3"/>
    <n v="2024"/>
    <x v="4"/>
    <n v="174.96"/>
    <n v="49.02000000000001"/>
  </r>
  <r>
    <s v="ORD00286"/>
    <d v="2025-01-08T00:00:00"/>
    <s v="C3518"/>
    <x v="285"/>
    <d v="2025-01-14T00:00:00"/>
    <x v="1"/>
    <x v="1"/>
    <s v="Shirt"/>
    <x v="20"/>
    <s v="Norfolk"/>
    <s v="Female"/>
    <n v="28"/>
    <n v="5"/>
    <n v="30"/>
    <s v="P697"/>
    <x v="0"/>
    <x v="2"/>
    <x v="2"/>
    <s v="Puma"/>
    <n v="1"/>
    <n v="522.25"/>
    <n v="1548"/>
    <n v="6"/>
    <s v="Q1"/>
    <n v="2025"/>
    <x v="0"/>
    <n v="1827.8749999999998"/>
    <n v="279.87499999999977"/>
  </r>
  <r>
    <s v="ORD00287"/>
    <d v="2025-03-24T00:00:00"/>
    <s v="C9239"/>
    <x v="286"/>
    <d v="2025-03-27T00:00:00"/>
    <x v="5"/>
    <x v="3"/>
    <s v="Furniture"/>
    <x v="3"/>
    <s v="Dallas"/>
    <s v="Female"/>
    <n v="24"/>
    <n v="5"/>
    <n v="25"/>
    <s v="P745"/>
    <x v="0"/>
    <x v="4"/>
    <x v="1"/>
    <s v="IKEA"/>
    <n v="5"/>
    <n v="730.73"/>
    <n v="1908.54"/>
    <n v="3"/>
    <s v="Q1"/>
    <n v="2025"/>
    <x v="6"/>
    <n v="2740.2375000000002"/>
    <n v="831.69750000000022"/>
  </r>
  <r>
    <s v="ORD00288"/>
    <d v="2024-08-16T00:00:00"/>
    <s v="C4730"/>
    <x v="287"/>
    <d v="2024-08-21T00:00:00"/>
    <x v="6"/>
    <x v="5"/>
    <s v="Snacks"/>
    <x v="18"/>
    <s v="Nashville"/>
    <s v="Male"/>
    <n v="22"/>
    <n v="1"/>
    <n v="30"/>
    <s v="P830"/>
    <x v="1"/>
    <x v="3"/>
    <x v="3"/>
    <s v="Britannia"/>
    <n v="5"/>
    <n v="386.33"/>
    <n v="168.13"/>
    <n v="5"/>
    <s v="Q3"/>
    <n v="2024"/>
    <x v="11"/>
    <n v="270.43099999999998"/>
    <n v="102.30099999999999"/>
  </r>
  <r>
    <s v="ORD00289"/>
    <d v="2024-10-04T00:00:00"/>
    <s v="C6778"/>
    <x v="288"/>
    <d v="2024-10-05T00:00:00"/>
    <x v="2"/>
    <x v="2"/>
    <s v="Fitness"/>
    <x v="19"/>
    <s v="Annapolis"/>
    <s v="Male"/>
    <n v="46"/>
    <n v="5"/>
    <n v="30"/>
    <s v="P865"/>
    <x v="2"/>
    <x v="3"/>
    <x v="0"/>
    <s v="Decathlon"/>
    <n v="1"/>
    <n v="346.19"/>
    <n v="739.71"/>
    <n v="1"/>
    <s v="Q4"/>
    <n v="2024"/>
    <x v="8"/>
    <n v="1211.665"/>
    <n v="471.95499999999993"/>
  </r>
  <r>
    <s v="ORD00290"/>
    <d v="2025-11-27T00:00:00"/>
    <s v="C9886"/>
    <x v="289"/>
    <d v="2025-12-04T00:00:00"/>
    <x v="0"/>
    <x v="0"/>
    <s v="Skincare"/>
    <x v="18"/>
    <s v="Knoxville"/>
    <s v="Female"/>
    <n v="32"/>
    <n v="2"/>
    <n v="10"/>
    <s v="P626"/>
    <x v="0"/>
    <x v="3"/>
    <x v="2"/>
    <s v="Nivea"/>
    <n v="2"/>
    <n v="610.73"/>
    <n v="750.55"/>
    <n v="7"/>
    <s v="Q4"/>
    <n v="2025"/>
    <x v="10"/>
    <n v="1099.3140000000001"/>
    <n v="348.76400000000012"/>
  </r>
  <r>
    <s v="ORD00291"/>
    <d v="2025-03-17T00:00:00"/>
    <s v="C1270"/>
    <x v="290"/>
    <d v="2025-03-23T00:00:00"/>
    <x v="6"/>
    <x v="5"/>
    <s v="Snacks"/>
    <x v="24"/>
    <s v="Portland"/>
    <s v="Female"/>
    <n v="37"/>
    <n v="1"/>
    <n v="15"/>
    <s v="P624"/>
    <x v="2"/>
    <x v="2"/>
    <x v="3"/>
    <s v="Britannia"/>
    <n v="3"/>
    <n v="182.08"/>
    <n v="93.88"/>
    <n v="6"/>
    <s v="Q1"/>
    <n v="2025"/>
    <x v="6"/>
    <n v="154.768"/>
    <n v="60.888000000000005"/>
  </r>
  <r>
    <s v="ORD00292"/>
    <d v="2026-02-03T00:00:00"/>
    <s v="C6067"/>
    <x v="291"/>
    <d v="2026-02-09T00:00:00"/>
    <x v="6"/>
    <x v="5"/>
    <s v="Snacks"/>
    <x v="15"/>
    <s v="Boulder"/>
    <s v="Male"/>
    <n v="53"/>
    <n v="1"/>
    <n v="10"/>
    <s v="P643"/>
    <x v="1"/>
    <x v="0"/>
    <x v="0"/>
    <s v="Britannia"/>
    <n v="5"/>
    <n v="949.29"/>
    <n v="566.66"/>
    <n v="6"/>
    <s v="Q1"/>
    <n v="2026"/>
    <x v="5"/>
    <n v="854.36099999999999"/>
    <n v="287.70100000000002"/>
  </r>
  <r>
    <s v="ORD00293"/>
    <d v="2025-10-26T00:00:00"/>
    <s v="C7279"/>
    <x v="292"/>
    <d v="2025-11-01T00:00:00"/>
    <x v="3"/>
    <x v="3"/>
    <s v="Kitchen"/>
    <x v="8"/>
    <s v="Orlando"/>
    <s v="Female"/>
    <n v="24"/>
    <n v="4"/>
    <n v="25"/>
    <s v="P253"/>
    <x v="2"/>
    <x v="2"/>
    <x v="2"/>
    <s v="Philips"/>
    <n v="5"/>
    <n v="475.48"/>
    <n v="888.97"/>
    <n v="6"/>
    <s v="Q4"/>
    <n v="2025"/>
    <x v="8"/>
    <n v="1426.44"/>
    <n v="537.47"/>
  </r>
  <r>
    <s v="ORD00294"/>
    <d v="2025-03-02T00:00:00"/>
    <s v="C4147"/>
    <x v="293"/>
    <d v="2025-03-03T00:00:00"/>
    <x v="2"/>
    <x v="2"/>
    <s v="Fitness"/>
    <x v="10"/>
    <s v="Madison"/>
    <s v="Male"/>
    <n v="55"/>
    <n v="4"/>
    <n v="0"/>
    <s v="P171"/>
    <x v="1"/>
    <x v="0"/>
    <x v="1"/>
    <s v="Decathlon"/>
    <n v="5"/>
    <n v="203.31"/>
    <n v="428.75"/>
    <n v="1"/>
    <s v="Q1"/>
    <n v="2025"/>
    <x v="6"/>
    <n v="813.24"/>
    <n v="384.49"/>
  </r>
  <r>
    <s v="ORD00295"/>
    <d v="2025-03-23T00:00:00"/>
    <s v="C3004"/>
    <x v="294"/>
    <d v="2025-03-24T00:00:00"/>
    <x v="1"/>
    <x v="1"/>
    <s v="Shirt"/>
    <x v="1"/>
    <s v="San Francisco"/>
    <s v="Male"/>
    <n v="41"/>
    <n v="5"/>
    <n v="30"/>
    <s v="P712"/>
    <x v="1"/>
    <x v="1"/>
    <x v="3"/>
    <s v="Puma"/>
    <n v="1"/>
    <n v="322.89999999999998"/>
    <n v="949.99"/>
    <n v="1"/>
    <s v="Q1"/>
    <n v="2025"/>
    <x v="6"/>
    <n v="1130.1499999999999"/>
    <n v="180.15999999999985"/>
  </r>
  <r>
    <s v="ORD00296"/>
    <d v="2024-02-15T00:00:00"/>
    <s v="C9989"/>
    <x v="295"/>
    <d v="2024-02-19T00:00:00"/>
    <x v="0"/>
    <x v="0"/>
    <s v="Skincare"/>
    <x v="3"/>
    <s v="Dallas"/>
    <s v="Female"/>
    <n v="48"/>
    <n v="2"/>
    <n v="15"/>
    <s v="P711"/>
    <x v="0"/>
    <x v="3"/>
    <x v="0"/>
    <s v="Nivea"/>
    <n v="2"/>
    <n v="364.33"/>
    <n v="334.42"/>
    <n v="4"/>
    <s v="Q1"/>
    <n v="2024"/>
    <x v="5"/>
    <n v="619.36099999999999"/>
    <n v="284.94099999999997"/>
  </r>
  <r>
    <s v="ORD00297"/>
    <d v="2025-02-01T00:00:00"/>
    <s v="C3572"/>
    <x v="296"/>
    <d v="2025-02-06T00:00:00"/>
    <x v="0"/>
    <x v="0"/>
    <s v="Skincare"/>
    <x v="20"/>
    <s v="Virginia Beach"/>
    <s v="Female"/>
    <n v="55"/>
    <n v="2"/>
    <n v="20"/>
    <s v="P804"/>
    <x v="1"/>
    <x v="0"/>
    <x v="1"/>
    <s v="Nivea"/>
    <n v="3"/>
    <n v="905.45"/>
    <n v="1041.9000000000001"/>
    <n v="5"/>
    <s v="Q1"/>
    <n v="2025"/>
    <x v="5"/>
    <n v="1448.7200000000003"/>
    <n v="406.82000000000016"/>
  </r>
  <r>
    <s v="ORD00298"/>
    <d v="2025-08-28T00:00:00"/>
    <s v="C7489"/>
    <x v="297"/>
    <d v="2025-09-02T00:00:00"/>
    <x v="0"/>
    <x v="0"/>
    <s v="Skincare"/>
    <x v="21"/>
    <s v="Charleston"/>
    <s v="Female"/>
    <n v="34"/>
    <n v="3"/>
    <n v="15"/>
    <s v="P646"/>
    <x v="2"/>
    <x v="1"/>
    <x v="1"/>
    <s v="Nivea"/>
    <n v="1"/>
    <n v="352.59"/>
    <n v="461.66"/>
    <n v="5"/>
    <s v="Q3"/>
    <n v="2025"/>
    <x v="11"/>
    <n v="899.10449999999992"/>
    <n v="437.44449999999989"/>
  </r>
  <r>
    <s v="ORD00299"/>
    <d v="2024-09-29T00:00:00"/>
    <s v="C1774"/>
    <x v="298"/>
    <d v="2024-10-03T00:00:00"/>
    <x v="1"/>
    <x v="1"/>
    <s v="Shirt"/>
    <x v="10"/>
    <s v="Milwaukee"/>
    <s v="Male"/>
    <n v="36"/>
    <n v="4"/>
    <n v="20"/>
    <s v="P924"/>
    <x v="1"/>
    <x v="4"/>
    <x v="3"/>
    <s v="Puma"/>
    <n v="3"/>
    <n v="819.51"/>
    <n v="2198.94"/>
    <n v="4"/>
    <s v="Q3"/>
    <n v="2024"/>
    <x v="1"/>
    <n v="2622.4320000000002"/>
    <n v="423.49200000000019"/>
  </r>
  <r>
    <s v="ORD00300"/>
    <d v="2025-09-25T00:00:00"/>
    <s v="C7338"/>
    <x v="299"/>
    <d v="2025-09-30T00:00:00"/>
    <x v="3"/>
    <x v="3"/>
    <s v="Kitchen"/>
    <x v="8"/>
    <s v="Tampa"/>
    <s v="Male"/>
    <n v="25"/>
    <n v="1"/>
    <n v="10"/>
    <s v="P672"/>
    <x v="2"/>
    <x v="2"/>
    <x v="0"/>
    <s v="Philips"/>
    <n v="5"/>
    <n v="51.56"/>
    <n v="32.090000000000003"/>
    <n v="5"/>
    <s v="Q3"/>
    <n v="2025"/>
    <x v="1"/>
    <n v="46.404000000000003"/>
    <n v="14.314"/>
  </r>
  <r>
    <s v="ORD00301"/>
    <d v="2024-08-05T00:00:00"/>
    <s v="C1786"/>
    <x v="300"/>
    <d v="2024-08-07T00:00:00"/>
    <x v="2"/>
    <x v="2"/>
    <s v="Fitness"/>
    <x v="15"/>
    <s v="Denver"/>
    <s v="Female"/>
    <n v="59"/>
    <n v="5"/>
    <n v="30"/>
    <s v="P877"/>
    <x v="2"/>
    <x v="3"/>
    <x v="2"/>
    <s v="Decathlon"/>
    <n v="1"/>
    <n v="143.74"/>
    <n v="410.49"/>
    <n v="2"/>
    <s v="Q3"/>
    <n v="2024"/>
    <x v="11"/>
    <n v="503.09"/>
    <n v="92.599999999999966"/>
  </r>
  <r>
    <s v="ORD00302"/>
    <d v="2024-08-23T00:00:00"/>
    <s v="C5614"/>
    <x v="301"/>
    <d v="2024-08-26T00:00:00"/>
    <x v="3"/>
    <x v="3"/>
    <s v="Kitchen"/>
    <x v="3"/>
    <s v="Dallas"/>
    <s v="Male"/>
    <n v="45"/>
    <n v="3"/>
    <n v="30"/>
    <s v="P245"/>
    <x v="2"/>
    <x v="2"/>
    <x v="0"/>
    <s v="Philips"/>
    <n v="3"/>
    <n v="483.94"/>
    <n v="811.98"/>
    <n v="3"/>
    <s v="Q3"/>
    <n v="2024"/>
    <x v="11"/>
    <n v="1016.2739999999999"/>
    <n v="204.29399999999987"/>
  </r>
  <r>
    <s v="ORD00303"/>
    <d v="2024-09-17T00:00:00"/>
    <s v="C7480"/>
    <x v="302"/>
    <d v="2024-09-20T00:00:00"/>
    <x v="6"/>
    <x v="5"/>
    <s v="Snacks"/>
    <x v="3"/>
    <s v="Dallas"/>
    <s v="Male"/>
    <n v="47"/>
    <n v="5"/>
    <n v="10"/>
    <s v="P511"/>
    <x v="1"/>
    <x v="2"/>
    <x v="0"/>
    <s v="Britannia"/>
    <n v="4"/>
    <n v="621.53"/>
    <n v="1562.43"/>
    <n v="3"/>
    <s v="Q3"/>
    <n v="2024"/>
    <x v="1"/>
    <n v="2796.8849999999998"/>
    <n v="1234.4549999999997"/>
  </r>
  <r>
    <s v="ORD00304"/>
    <d v="2024-01-11T00:00:00"/>
    <s v="C7627"/>
    <x v="303"/>
    <d v="2024-01-12T00:00:00"/>
    <x v="6"/>
    <x v="5"/>
    <s v="Snacks"/>
    <x v="12"/>
    <s v="Lansing"/>
    <s v="Male"/>
    <n v="31"/>
    <n v="5"/>
    <n v="5"/>
    <s v="P529"/>
    <x v="1"/>
    <x v="0"/>
    <x v="3"/>
    <s v="Britannia"/>
    <n v="2"/>
    <n v="580.73"/>
    <n v="2005.99"/>
    <n v="1"/>
    <s v="Q1"/>
    <n v="2024"/>
    <x v="0"/>
    <n v="2758.4674999999997"/>
    <n v="752.47749999999974"/>
  </r>
  <r>
    <s v="ORD00305"/>
    <d v="2026-03-31T00:00:00"/>
    <s v="C7035"/>
    <x v="304"/>
    <d v="2026-04-01T00:00:00"/>
    <x v="4"/>
    <x v="4"/>
    <s v="Mobile"/>
    <x v="8"/>
    <s v="Jacksonville"/>
    <s v="Female"/>
    <n v="60"/>
    <n v="1"/>
    <n v="30"/>
    <s v="P794"/>
    <x v="1"/>
    <x v="2"/>
    <x v="3"/>
    <s v="Samsung"/>
    <n v="1"/>
    <n v="553.63"/>
    <n v="213.01"/>
    <n v="1"/>
    <s v="Q1"/>
    <n v="2026"/>
    <x v="6"/>
    <n v="387.541"/>
    <n v="174.53100000000001"/>
  </r>
  <r>
    <s v="ORD00306"/>
    <d v="2026-04-22T00:00:00"/>
    <s v="C9888"/>
    <x v="305"/>
    <d v="2026-04-25T00:00:00"/>
    <x v="3"/>
    <x v="3"/>
    <s v="Kitchen"/>
    <x v="7"/>
    <s v="Buffalo"/>
    <s v="Female"/>
    <n v="55"/>
    <n v="5"/>
    <n v="10"/>
    <s v="P105"/>
    <x v="1"/>
    <x v="3"/>
    <x v="0"/>
    <s v="Philips"/>
    <n v="4"/>
    <n v="931.29"/>
    <n v="2975.43"/>
    <n v="3"/>
    <s v="Q2"/>
    <n v="2026"/>
    <x v="3"/>
    <n v="4190.8050000000003"/>
    <n v="1215.3750000000005"/>
  </r>
  <r>
    <s v="ORD00307"/>
    <d v="2025-03-17T00:00:00"/>
    <s v="C6423"/>
    <x v="306"/>
    <d v="2025-03-18T00:00:00"/>
    <x v="8"/>
    <x v="1"/>
    <s v="Shoes"/>
    <x v="7"/>
    <s v="Rochester"/>
    <s v="Female"/>
    <n v="43"/>
    <n v="2"/>
    <n v="25"/>
    <s v="P550"/>
    <x v="1"/>
    <x v="2"/>
    <x v="3"/>
    <s v="Nike"/>
    <n v="5"/>
    <n v="682.8"/>
    <n v="809.5"/>
    <n v="1"/>
    <s v="Q1"/>
    <n v="2025"/>
    <x v="6"/>
    <n v="1024.1999999999998"/>
    <n v="214.69999999999982"/>
  </r>
  <r>
    <s v="ORD00308"/>
    <d v="2025-05-26T00:00:00"/>
    <s v="C8651"/>
    <x v="307"/>
    <d v="2025-06-01T00:00:00"/>
    <x v="3"/>
    <x v="3"/>
    <s v="Kitchen"/>
    <x v="5"/>
    <s v="Indianapolis"/>
    <s v="Male"/>
    <n v="29"/>
    <n v="5"/>
    <n v="25"/>
    <s v="P615"/>
    <x v="1"/>
    <x v="2"/>
    <x v="2"/>
    <s v="Philips"/>
    <n v="5"/>
    <n v="880.9"/>
    <n v="1953.16"/>
    <n v="6"/>
    <s v="Q2"/>
    <n v="2025"/>
    <x v="9"/>
    <n v="3303.375"/>
    <n v="1350.2149999999999"/>
  </r>
  <r>
    <s v="ORD00309"/>
    <d v="2024-10-25T00:00:00"/>
    <s v="C9041"/>
    <x v="308"/>
    <d v="2024-10-30T00:00:00"/>
    <x v="7"/>
    <x v="4"/>
    <s v="Laptop"/>
    <x v="1"/>
    <s v="Los Angeles"/>
    <s v="Male"/>
    <n v="61"/>
    <n v="3"/>
    <n v="25"/>
    <s v="P331"/>
    <x v="0"/>
    <x v="2"/>
    <x v="0"/>
    <s v="Dell"/>
    <n v="2"/>
    <n v="874.19"/>
    <n v="1319.53"/>
    <n v="5"/>
    <s v="Q4"/>
    <n v="2024"/>
    <x v="8"/>
    <n v="1966.9275000000002"/>
    <n v="647.39750000000026"/>
  </r>
  <r>
    <s v="ORD00310"/>
    <d v="2026-04-10T00:00:00"/>
    <s v="C1741"/>
    <x v="309"/>
    <d v="2026-04-14T00:00:00"/>
    <x v="8"/>
    <x v="1"/>
    <s v="Shoes"/>
    <x v="18"/>
    <s v="Memphis"/>
    <s v="Female"/>
    <n v="31"/>
    <n v="5"/>
    <n v="20"/>
    <s v="P679"/>
    <x v="2"/>
    <x v="0"/>
    <x v="0"/>
    <s v="Nike"/>
    <n v="2"/>
    <n v="92.25"/>
    <n v="215.61"/>
    <n v="4"/>
    <s v="Q2"/>
    <n v="2026"/>
    <x v="3"/>
    <n v="369"/>
    <n v="153.38999999999999"/>
  </r>
  <r>
    <s v="ORD00311"/>
    <d v="2024-02-29T00:00:00"/>
    <s v="C9753"/>
    <x v="310"/>
    <d v="2024-03-06T00:00:00"/>
    <x v="6"/>
    <x v="5"/>
    <s v="Snacks"/>
    <x v="3"/>
    <s v="San Antonio"/>
    <s v="Male"/>
    <n v="40"/>
    <n v="1"/>
    <n v="15"/>
    <s v="P404"/>
    <x v="0"/>
    <x v="2"/>
    <x v="1"/>
    <s v="Britannia"/>
    <n v="2"/>
    <n v="145.97"/>
    <n v="64.790000000000006"/>
    <n v="6"/>
    <s v="Q1"/>
    <n v="2024"/>
    <x v="5"/>
    <n v="124.0745"/>
    <n v="59.284499999999994"/>
  </r>
  <r>
    <s v="ORD00312"/>
    <d v="2025-08-13T00:00:00"/>
    <s v="C5629"/>
    <x v="311"/>
    <d v="2025-08-19T00:00:00"/>
    <x v="2"/>
    <x v="2"/>
    <s v="Fitness"/>
    <x v="9"/>
    <s v="Birmingham"/>
    <s v="Female"/>
    <n v="37"/>
    <n v="4"/>
    <n v="10"/>
    <s v="P135"/>
    <x v="0"/>
    <x v="3"/>
    <x v="2"/>
    <s v="Decathlon"/>
    <n v="4"/>
    <n v="323.41000000000003"/>
    <n v="762.17"/>
    <n v="6"/>
    <s v="Q3"/>
    <n v="2025"/>
    <x v="11"/>
    <n v="1164.2760000000001"/>
    <n v="402.10600000000011"/>
  </r>
  <r>
    <s v="ORD00313"/>
    <d v="2026-06-10T00:00:00"/>
    <s v="C9152"/>
    <x v="312"/>
    <d v="2026-06-15T00:00:00"/>
    <x v="3"/>
    <x v="3"/>
    <s v="Kitchen"/>
    <x v="7"/>
    <s v="Albany"/>
    <s v="Male"/>
    <n v="36"/>
    <n v="4"/>
    <n v="0"/>
    <s v="P278"/>
    <x v="2"/>
    <x v="0"/>
    <x v="2"/>
    <s v="Philips"/>
    <n v="3"/>
    <n v="397.43"/>
    <n v="1166.94"/>
    <n v="5"/>
    <s v="Q2"/>
    <n v="2026"/>
    <x v="2"/>
    <n v="1589.72"/>
    <n v="422.78"/>
  </r>
  <r>
    <s v="ORD00314"/>
    <d v="2025-06-03T00:00:00"/>
    <s v="C2118"/>
    <x v="313"/>
    <d v="2025-06-06T00:00:00"/>
    <x v="6"/>
    <x v="5"/>
    <s v="Snacks"/>
    <x v="2"/>
    <s v="Columbus"/>
    <s v="Male"/>
    <n v="30"/>
    <n v="4"/>
    <n v="5"/>
    <s v="P877"/>
    <x v="1"/>
    <x v="4"/>
    <x v="1"/>
    <s v="Britannia"/>
    <n v="3"/>
    <n v="360.19"/>
    <n v="1034.0999999999999"/>
    <n v="3"/>
    <s v="Q2"/>
    <n v="2025"/>
    <x v="2"/>
    <n v="1368.722"/>
    <n v="334.62200000000007"/>
  </r>
  <r>
    <s v="ORD00315"/>
    <d v="2024-09-29T00:00:00"/>
    <s v="C7788"/>
    <x v="314"/>
    <d v="2024-10-05T00:00:00"/>
    <x v="1"/>
    <x v="1"/>
    <s v="Shirt"/>
    <x v="5"/>
    <s v="Evansville"/>
    <s v="Female"/>
    <n v="61"/>
    <n v="5"/>
    <n v="15"/>
    <s v="P277"/>
    <x v="0"/>
    <x v="0"/>
    <x v="3"/>
    <s v="Puma"/>
    <n v="3"/>
    <n v="352.91"/>
    <n v="1208.82"/>
    <n v="6"/>
    <s v="Q3"/>
    <n v="2024"/>
    <x v="1"/>
    <n v="1499.8675000000001"/>
    <n v="291.04750000000013"/>
  </r>
  <r>
    <s v="ORD00316"/>
    <d v="2025-12-22T00:00:00"/>
    <s v="C8211"/>
    <x v="315"/>
    <d v="2025-12-28T00:00:00"/>
    <x v="0"/>
    <x v="0"/>
    <s v="Skincare"/>
    <x v="16"/>
    <s v="Seattle"/>
    <s v="Male"/>
    <n v="45"/>
    <n v="4"/>
    <n v="5"/>
    <s v="P463"/>
    <x v="2"/>
    <x v="2"/>
    <x v="3"/>
    <s v="Nivea"/>
    <n v="1"/>
    <n v="126.62"/>
    <n v="310.79000000000002"/>
    <n v="6"/>
    <s v="Q4"/>
    <n v="2025"/>
    <x v="7"/>
    <n v="481.15600000000001"/>
    <n v="170.36599999999999"/>
  </r>
  <r>
    <s v="ORD00317"/>
    <d v="2024-01-31T00:00:00"/>
    <s v="C6915"/>
    <x v="316"/>
    <d v="2024-02-04T00:00:00"/>
    <x v="5"/>
    <x v="3"/>
    <s v="Furniture"/>
    <x v="19"/>
    <s v="Frederick"/>
    <s v="Female"/>
    <n v="23"/>
    <n v="5"/>
    <n v="25"/>
    <s v="P720"/>
    <x v="1"/>
    <x v="2"/>
    <x v="3"/>
    <s v="IKEA"/>
    <n v="2"/>
    <n v="208.45"/>
    <n v="659.19"/>
    <n v="4"/>
    <s v="Q1"/>
    <n v="2024"/>
    <x v="0"/>
    <n v="781.6875"/>
    <n v="122.49749999999995"/>
  </r>
  <r>
    <s v="ORD00318"/>
    <d v="2024-12-14T00:00:00"/>
    <s v="C2491"/>
    <x v="317"/>
    <d v="2024-12-16T00:00:00"/>
    <x v="1"/>
    <x v="1"/>
    <s v="Shirt"/>
    <x v="24"/>
    <s v="Salem"/>
    <s v="Male"/>
    <n v="45"/>
    <n v="5"/>
    <n v="30"/>
    <s v="P945"/>
    <x v="0"/>
    <x v="2"/>
    <x v="1"/>
    <s v="Puma"/>
    <n v="1"/>
    <n v="843.53"/>
    <n v="2115.37"/>
    <n v="2"/>
    <s v="Q4"/>
    <n v="2024"/>
    <x v="7"/>
    <n v="2952.3549999999996"/>
    <n v="836.98499999999967"/>
  </r>
  <r>
    <s v="ORD00319"/>
    <d v="2025-04-25T00:00:00"/>
    <s v="C3820"/>
    <x v="318"/>
    <d v="2025-05-02T00:00:00"/>
    <x v="7"/>
    <x v="4"/>
    <s v="Laptop"/>
    <x v="4"/>
    <s v="Tucson"/>
    <s v="Female"/>
    <n v="34"/>
    <n v="4"/>
    <n v="0"/>
    <s v="P994"/>
    <x v="0"/>
    <x v="1"/>
    <x v="1"/>
    <s v="Dell"/>
    <n v="2"/>
    <n v="244.2"/>
    <n v="650.20000000000005"/>
    <n v="7"/>
    <s v="Q2"/>
    <n v="2025"/>
    <x v="3"/>
    <n v="976.8"/>
    <n v="326.59999999999991"/>
  </r>
  <r>
    <s v="ORD00320"/>
    <d v="2026-03-29T00:00:00"/>
    <s v="C3339"/>
    <x v="319"/>
    <d v="2026-04-03T00:00:00"/>
    <x v="3"/>
    <x v="3"/>
    <s v="Kitchen"/>
    <x v="10"/>
    <s v="Milwaukee"/>
    <s v="Female"/>
    <n v="20"/>
    <n v="2"/>
    <n v="25"/>
    <s v="P215"/>
    <x v="1"/>
    <x v="4"/>
    <x v="3"/>
    <s v="Philips"/>
    <n v="2"/>
    <n v="323.97000000000003"/>
    <n v="325.60000000000002"/>
    <n v="5"/>
    <s v="Q1"/>
    <n v="2026"/>
    <x v="6"/>
    <n v="485.95500000000004"/>
    <n v="160.35500000000002"/>
  </r>
  <r>
    <s v="ORD00321"/>
    <d v="2024-01-23T00:00:00"/>
    <s v="C5803"/>
    <x v="320"/>
    <d v="2024-01-26T00:00:00"/>
    <x v="1"/>
    <x v="1"/>
    <s v="Shirt"/>
    <x v="15"/>
    <s v="Denver"/>
    <s v="Male"/>
    <n v="21"/>
    <n v="5"/>
    <n v="30"/>
    <s v="P515"/>
    <x v="2"/>
    <x v="4"/>
    <x v="3"/>
    <s v="Puma"/>
    <n v="4"/>
    <n v="303.69"/>
    <n v="785.77"/>
    <n v="3"/>
    <s v="Q1"/>
    <n v="2024"/>
    <x v="0"/>
    <n v="1062.915"/>
    <n v="277.14499999999998"/>
  </r>
  <r>
    <s v="ORD00322"/>
    <d v="2026-01-11T00:00:00"/>
    <s v="C1381"/>
    <x v="321"/>
    <d v="2026-01-17T00:00:00"/>
    <x v="5"/>
    <x v="3"/>
    <s v="Furniture"/>
    <x v="11"/>
    <s v="Trenton"/>
    <s v="Male"/>
    <n v="32"/>
    <n v="3"/>
    <n v="20"/>
    <s v="P665"/>
    <x v="2"/>
    <x v="1"/>
    <x v="3"/>
    <s v="IKEA"/>
    <n v="1"/>
    <n v="673.65"/>
    <n v="1072.71"/>
    <n v="6"/>
    <s v="Q1"/>
    <n v="2026"/>
    <x v="0"/>
    <n v="1616.76"/>
    <n v="544.04999999999995"/>
  </r>
  <r>
    <s v="ORD00323"/>
    <d v="2025-07-13T00:00:00"/>
    <s v="C3148"/>
    <x v="322"/>
    <d v="2025-07-20T00:00:00"/>
    <x v="4"/>
    <x v="4"/>
    <s v="Mobile"/>
    <x v="15"/>
    <s v="Colorado Springs"/>
    <s v="Male"/>
    <n v="61"/>
    <n v="1"/>
    <n v="30"/>
    <s v="P528"/>
    <x v="2"/>
    <x v="1"/>
    <x v="2"/>
    <s v="Samsung"/>
    <n v="5"/>
    <n v="85.04"/>
    <n v="38.61"/>
    <n v="7"/>
    <s v="Q3"/>
    <n v="2025"/>
    <x v="4"/>
    <n v="59.527999999999999"/>
    <n v="20.917999999999999"/>
  </r>
  <r>
    <s v="ORD00324"/>
    <d v="2024-02-25T00:00:00"/>
    <s v="C1713"/>
    <x v="323"/>
    <d v="2024-02-29T00:00:00"/>
    <x v="8"/>
    <x v="1"/>
    <s v="Shoes"/>
    <x v="20"/>
    <s v="Norfolk"/>
    <s v="Male"/>
    <n v="56"/>
    <n v="5"/>
    <n v="0"/>
    <s v="P649"/>
    <x v="1"/>
    <x v="2"/>
    <x v="3"/>
    <s v="Nike"/>
    <n v="5"/>
    <n v="298.92"/>
    <n v="1208.29"/>
    <n v="4"/>
    <s v="Q1"/>
    <n v="2024"/>
    <x v="5"/>
    <n v="1494.6000000000001"/>
    <n v="286.31000000000017"/>
  </r>
  <r>
    <s v="ORD00325"/>
    <d v="2025-03-26T00:00:00"/>
    <s v="C5124"/>
    <x v="324"/>
    <d v="2025-04-01T00:00:00"/>
    <x v="3"/>
    <x v="3"/>
    <s v="Kitchen"/>
    <x v="9"/>
    <s v="Birmingham"/>
    <s v="Female"/>
    <n v="63"/>
    <n v="3"/>
    <n v="15"/>
    <s v="P788"/>
    <x v="2"/>
    <x v="3"/>
    <x v="3"/>
    <s v="Philips"/>
    <n v="1"/>
    <n v="51.78"/>
    <n v="91.81"/>
    <n v="6"/>
    <s v="Q1"/>
    <n v="2025"/>
    <x v="6"/>
    <n v="132.03899999999999"/>
    <n v="40.228999999999985"/>
  </r>
  <r>
    <s v="ORD00326"/>
    <d v="2024-11-29T00:00:00"/>
    <s v="C8739"/>
    <x v="325"/>
    <d v="2024-12-05T00:00:00"/>
    <x v="2"/>
    <x v="2"/>
    <s v="Fitness"/>
    <x v="8"/>
    <s v="Jacksonville"/>
    <s v="Male"/>
    <n v="61"/>
    <n v="5"/>
    <n v="20"/>
    <s v="P818"/>
    <x v="0"/>
    <x v="3"/>
    <x v="2"/>
    <s v="Decathlon"/>
    <n v="4"/>
    <n v="193.29"/>
    <n v="405.27"/>
    <n v="6"/>
    <s v="Q4"/>
    <n v="2024"/>
    <x v="10"/>
    <n v="773.16"/>
    <n v="367.89"/>
  </r>
  <r>
    <s v="ORD00327"/>
    <d v="2024-06-21T00:00:00"/>
    <s v="C9007"/>
    <x v="326"/>
    <d v="2024-06-27T00:00:00"/>
    <x v="3"/>
    <x v="3"/>
    <s v="Kitchen"/>
    <x v="14"/>
    <s v="Springfield"/>
    <s v="Female"/>
    <n v="37"/>
    <n v="1"/>
    <n v="15"/>
    <s v="P807"/>
    <x v="2"/>
    <x v="1"/>
    <x v="0"/>
    <s v="Philips"/>
    <n v="4"/>
    <n v="569.64"/>
    <n v="350.15"/>
    <n v="6"/>
    <s v="Q2"/>
    <n v="2024"/>
    <x v="2"/>
    <n v="484.19399999999996"/>
    <n v="134.04399999999998"/>
  </r>
  <r>
    <s v="ORD00328"/>
    <d v="2024-12-09T00:00:00"/>
    <s v="C7437"/>
    <x v="327"/>
    <d v="2024-12-12T00:00:00"/>
    <x v="1"/>
    <x v="1"/>
    <s v="Shirt"/>
    <x v="5"/>
    <s v="Evansville"/>
    <s v="Female"/>
    <n v="25"/>
    <n v="3"/>
    <n v="20"/>
    <s v="P547"/>
    <x v="0"/>
    <x v="3"/>
    <x v="3"/>
    <s v="Puma"/>
    <n v="1"/>
    <n v="265.31"/>
    <n v="404.29"/>
    <n v="3"/>
    <s v="Q4"/>
    <n v="2024"/>
    <x v="7"/>
    <n v="636.74400000000014"/>
    <n v="232.45400000000012"/>
  </r>
  <r>
    <s v="ORD00329"/>
    <d v="2025-11-12T00:00:00"/>
    <s v="C5700"/>
    <x v="328"/>
    <d v="2025-11-14T00:00:00"/>
    <x v="7"/>
    <x v="4"/>
    <s v="Laptop"/>
    <x v="11"/>
    <s v="Newark"/>
    <s v="Female"/>
    <n v="43"/>
    <n v="3"/>
    <n v="5"/>
    <s v="P933"/>
    <x v="0"/>
    <x v="4"/>
    <x v="0"/>
    <s v="Dell"/>
    <n v="1"/>
    <n v="535.41999999999996"/>
    <n v="896.93"/>
    <n v="2"/>
    <s v="Q4"/>
    <n v="2025"/>
    <x v="10"/>
    <n v="1525.9469999999997"/>
    <n v="629.01699999999971"/>
  </r>
  <r>
    <s v="ORD00330"/>
    <d v="2026-03-16T00:00:00"/>
    <s v="C1958"/>
    <x v="329"/>
    <d v="2026-03-21T00:00:00"/>
    <x v="3"/>
    <x v="3"/>
    <s v="Kitchen"/>
    <x v="1"/>
    <s v="Sacramento"/>
    <s v="Female"/>
    <n v="28"/>
    <n v="4"/>
    <n v="10"/>
    <s v="P703"/>
    <x v="2"/>
    <x v="3"/>
    <x v="3"/>
    <s v="Philips"/>
    <n v="2"/>
    <n v="34.06"/>
    <n v="71.180000000000007"/>
    <n v="5"/>
    <s v="Q1"/>
    <n v="2026"/>
    <x v="6"/>
    <n v="122.61600000000001"/>
    <n v="51.436000000000007"/>
  </r>
  <r>
    <s v="ORD00331"/>
    <d v="2024-05-09T00:00:00"/>
    <s v="C7085"/>
    <x v="330"/>
    <d v="2024-05-15T00:00:00"/>
    <x v="6"/>
    <x v="5"/>
    <s v="Snacks"/>
    <x v="7"/>
    <s v="New York"/>
    <s v="Male"/>
    <n v="25"/>
    <n v="4"/>
    <n v="25"/>
    <s v="P691"/>
    <x v="2"/>
    <x v="4"/>
    <x v="3"/>
    <s v="Britannia"/>
    <n v="1"/>
    <n v="713.54"/>
    <n v="1184.03"/>
    <n v="6"/>
    <s v="Q2"/>
    <n v="2024"/>
    <x v="9"/>
    <n v="2140.62"/>
    <n v="956.58999999999992"/>
  </r>
  <r>
    <s v="ORD00332"/>
    <d v="2026-02-12T00:00:00"/>
    <s v="C8101"/>
    <x v="331"/>
    <d v="2026-02-13T00:00:00"/>
    <x v="5"/>
    <x v="3"/>
    <s v="Furniture"/>
    <x v="4"/>
    <s v="Tucson"/>
    <s v="Male"/>
    <n v="54"/>
    <n v="3"/>
    <n v="5"/>
    <s v="P151"/>
    <x v="2"/>
    <x v="1"/>
    <x v="2"/>
    <s v="IKEA"/>
    <n v="3"/>
    <n v="302.52"/>
    <n v="572.73"/>
    <n v="1"/>
    <s v="Q1"/>
    <n v="2026"/>
    <x v="5"/>
    <n v="862.1819999999999"/>
    <n v="289.45199999999988"/>
  </r>
  <r>
    <s v="ORD00333"/>
    <d v="2024-02-29T00:00:00"/>
    <s v="C1822"/>
    <x v="332"/>
    <d v="2024-03-07T00:00:00"/>
    <x v="0"/>
    <x v="0"/>
    <s v="Skincare"/>
    <x v="6"/>
    <s v="Charlotte"/>
    <s v="Male"/>
    <n v="64"/>
    <n v="3"/>
    <n v="20"/>
    <s v="P478"/>
    <x v="2"/>
    <x v="2"/>
    <x v="3"/>
    <s v="Nivea"/>
    <n v="5"/>
    <n v="468.12"/>
    <n v="747.37"/>
    <n v="7"/>
    <s v="Q1"/>
    <n v="2024"/>
    <x v="5"/>
    <n v="1123.4880000000001"/>
    <n v="376.11800000000005"/>
  </r>
  <r>
    <s v="ORD00334"/>
    <d v="2025-03-26T00:00:00"/>
    <s v="C1222"/>
    <x v="333"/>
    <d v="2025-04-02T00:00:00"/>
    <x v="2"/>
    <x v="2"/>
    <s v="Fitness"/>
    <x v="3"/>
    <s v="Austin"/>
    <s v="Female"/>
    <n v="44"/>
    <n v="5"/>
    <n v="10"/>
    <s v="P334"/>
    <x v="2"/>
    <x v="0"/>
    <x v="2"/>
    <s v="Decathlon"/>
    <n v="1"/>
    <n v="980.35"/>
    <n v="3199.24"/>
    <n v="7"/>
    <s v="Q1"/>
    <n v="2025"/>
    <x v="6"/>
    <n v="4411.5749999999998"/>
    <n v="1212.335"/>
  </r>
  <r>
    <s v="ORD00335"/>
    <d v="2026-04-11T00:00:00"/>
    <s v="C5296"/>
    <x v="334"/>
    <d v="2026-04-16T00:00:00"/>
    <x v="8"/>
    <x v="1"/>
    <s v="Shoes"/>
    <x v="21"/>
    <s v="Columbia"/>
    <s v="Male"/>
    <n v="59"/>
    <n v="4"/>
    <n v="15"/>
    <s v="P860"/>
    <x v="1"/>
    <x v="4"/>
    <x v="2"/>
    <s v="Nike"/>
    <n v="4"/>
    <n v="742.99"/>
    <n v="1314.7"/>
    <n v="5"/>
    <s v="Q2"/>
    <n v="2026"/>
    <x v="3"/>
    <n v="2526.1660000000002"/>
    <n v="1211.4660000000001"/>
  </r>
  <r>
    <s v="ORD00336"/>
    <d v="2026-04-18T00:00:00"/>
    <s v="C8092"/>
    <x v="335"/>
    <d v="2026-04-24T00:00:00"/>
    <x v="9"/>
    <x v="0"/>
    <s v="Skincare"/>
    <x v="11"/>
    <s v="Trenton"/>
    <s v="Female"/>
    <n v="30"/>
    <n v="2"/>
    <n v="10"/>
    <s v="P478"/>
    <x v="0"/>
    <x v="4"/>
    <x v="0"/>
    <s v="Nivea"/>
    <n v="5"/>
    <n v="335.57"/>
    <n v="463.14"/>
    <n v="6"/>
    <s v="Q2"/>
    <n v="2026"/>
    <x v="3"/>
    <n v="604.02599999999995"/>
    <n v="140.88599999999997"/>
  </r>
  <r>
    <s v="ORD00337"/>
    <d v="2024-10-18T00:00:00"/>
    <s v="C5439"/>
    <x v="336"/>
    <d v="2024-10-19T00:00:00"/>
    <x v="9"/>
    <x v="0"/>
    <s v="Skincare"/>
    <x v="8"/>
    <s v="Orlando"/>
    <s v="Female"/>
    <n v="59"/>
    <n v="3"/>
    <n v="0"/>
    <s v="P517"/>
    <x v="1"/>
    <x v="2"/>
    <x v="1"/>
    <s v="Nivea"/>
    <n v="2"/>
    <n v="485.06"/>
    <n v="1092.29"/>
    <n v="1"/>
    <s v="Q4"/>
    <n v="2024"/>
    <x v="8"/>
    <n v="1455.18"/>
    <n v="362.8900000000001"/>
  </r>
  <r>
    <s v="ORD00338"/>
    <d v="2025-03-02T00:00:00"/>
    <s v="C3826"/>
    <x v="337"/>
    <d v="2025-03-03T00:00:00"/>
    <x v="2"/>
    <x v="2"/>
    <s v="Fitness"/>
    <x v="11"/>
    <s v="Trenton"/>
    <s v="Male"/>
    <n v="26"/>
    <n v="2"/>
    <n v="5"/>
    <s v="P185"/>
    <x v="1"/>
    <x v="0"/>
    <x v="1"/>
    <s v="Decathlon"/>
    <n v="4"/>
    <n v="923.56"/>
    <n v="888.56"/>
    <n v="1"/>
    <s v="Q1"/>
    <n v="2025"/>
    <x v="6"/>
    <n v="1754.7639999999999"/>
    <n v="866.20399999999995"/>
  </r>
  <r>
    <s v="ORD00339"/>
    <d v="2024-05-21T00:00:00"/>
    <s v="C5476"/>
    <x v="338"/>
    <d v="2024-05-26T00:00:00"/>
    <x v="7"/>
    <x v="4"/>
    <s v="Laptop"/>
    <x v="19"/>
    <s v="Annapolis"/>
    <s v="Male"/>
    <n v="33"/>
    <n v="4"/>
    <n v="30"/>
    <s v="P272"/>
    <x v="1"/>
    <x v="2"/>
    <x v="0"/>
    <s v="Dell"/>
    <n v="4"/>
    <n v="629.97"/>
    <n v="1423.56"/>
    <n v="5"/>
    <s v="Q2"/>
    <n v="2024"/>
    <x v="9"/>
    <n v="1763.9159999999999"/>
    <n v="340.35599999999999"/>
  </r>
  <r>
    <s v="ORD00340"/>
    <d v="2026-02-25T00:00:00"/>
    <s v="C5702"/>
    <x v="339"/>
    <d v="2026-02-27T00:00:00"/>
    <x v="6"/>
    <x v="5"/>
    <s v="Snacks"/>
    <x v="3"/>
    <s v="San Antonio"/>
    <s v="Male"/>
    <n v="50"/>
    <n v="2"/>
    <n v="20"/>
    <s v="P482"/>
    <x v="1"/>
    <x v="2"/>
    <x v="1"/>
    <s v="Britannia"/>
    <n v="4"/>
    <n v="55.43"/>
    <n v="64.87"/>
    <n v="2"/>
    <s v="Q1"/>
    <n v="2026"/>
    <x v="5"/>
    <n v="88.688000000000002"/>
    <n v="23.817999999999998"/>
  </r>
  <r>
    <s v="ORD00341"/>
    <d v="2025-06-16T00:00:00"/>
    <s v="C3240"/>
    <x v="340"/>
    <d v="2025-06-20T00:00:00"/>
    <x v="7"/>
    <x v="4"/>
    <s v="Laptop"/>
    <x v="4"/>
    <s v="Mesa"/>
    <s v="Female"/>
    <n v="63"/>
    <n v="2"/>
    <n v="5"/>
    <s v="P199"/>
    <x v="0"/>
    <x v="1"/>
    <x v="0"/>
    <s v="Dell"/>
    <n v="4"/>
    <n v="21.91"/>
    <n v="25.39"/>
    <n v="4"/>
    <s v="Q2"/>
    <n v="2025"/>
    <x v="2"/>
    <n v="41.628999999999998"/>
    <n v="16.238999999999997"/>
  </r>
  <r>
    <s v="ORD00342"/>
    <d v="2025-03-09T00:00:00"/>
    <s v="C7636"/>
    <x v="341"/>
    <d v="2025-03-13T00:00:00"/>
    <x v="4"/>
    <x v="4"/>
    <s v="Mobile"/>
    <x v="13"/>
    <s v="Augusta"/>
    <s v="Male"/>
    <n v="26"/>
    <n v="2"/>
    <n v="0"/>
    <s v="P762"/>
    <x v="1"/>
    <x v="0"/>
    <x v="3"/>
    <s v="Samsung"/>
    <n v="2"/>
    <n v="415.24"/>
    <n v="450.53"/>
    <n v="4"/>
    <s v="Q1"/>
    <n v="2025"/>
    <x v="6"/>
    <n v="830.48"/>
    <n v="379.95000000000005"/>
  </r>
  <r>
    <s v="ORD00343"/>
    <d v="2026-06-07T00:00:00"/>
    <s v="C2728"/>
    <x v="342"/>
    <d v="2026-06-14T00:00:00"/>
    <x v="5"/>
    <x v="3"/>
    <s v="Furniture"/>
    <x v="14"/>
    <s v="Kansas City"/>
    <s v="Male"/>
    <n v="65"/>
    <n v="3"/>
    <n v="25"/>
    <s v="P644"/>
    <x v="2"/>
    <x v="0"/>
    <x v="0"/>
    <s v="IKEA"/>
    <n v="3"/>
    <n v="821.05"/>
    <n v="1215.29"/>
    <n v="7"/>
    <s v="Q2"/>
    <n v="2026"/>
    <x v="2"/>
    <n v="1847.3624999999997"/>
    <n v="632.07249999999976"/>
  </r>
  <r>
    <s v="ORD00344"/>
    <d v="2025-01-19T00:00:00"/>
    <s v="C9712"/>
    <x v="343"/>
    <d v="2025-01-25T00:00:00"/>
    <x v="2"/>
    <x v="2"/>
    <s v="Fitness"/>
    <x v="4"/>
    <s v="Phoenix"/>
    <s v="Female"/>
    <n v="22"/>
    <n v="5"/>
    <n v="15"/>
    <s v="P650"/>
    <x v="0"/>
    <x v="2"/>
    <x v="3"/>
    <s v="Decathlon"/>
    <n v="5"/>
    <n v="17.75"/>
    <n v="48.45"/>
    <n v="6"/>
    <s v="Q1"/>
    <n v="2025"/>
    <x v="0"/>
    <n v="75.4375"/>
    <n v="26.987499999999997"/>
  </r>
  <r>
    <s v="ORD00345"/>
    <d v="2024-07-28T00:00:00"/>
    <s v="C5465"/>
    <x v="344"/>
    <d v="2024-07-30T00:00:00"/>
    <x v="9"/>
    <x v="0"/>
    <s v="Skincare"/>
    <x v="1"/>
    <s v="Los Angeles"/>
    <s v="Male"/>
    <n v="20"/>
    <n v="5"/>
    <n v="25"/>
    <s v="P638"/>
    <x v="0"/>
    <x v="1"/>
    <x v="1"/>
    <s v="Nivea"/>
    <n v="3"/>
    <n v="822.01"/>
    <n v="2276.75"/>
    <n v="2"/>
    <s v="Q3"/>
    <n v="2024"/>
    <x v="4"/>
    <n v="3082.5375000000004"/>
    <n v="805.78750000000036"/>
  </r>
  <r>
    <s v="ORD00346"/>
    <d v="2026-04-18T00:00:00"/>
    <s v="C7343"/>
    <x v="345"/>
    <d v="2026-04-21T00:00:00"/>
    <x v="7"/>
    <x v="4"/>
    <s v="Laptop"/>
    <x v="15"/>
    <s v="Boulder"/>
    <s v="Male"/>
    <n v="52"/>
    <n v="5"/>
    <n v="25"/>
    <s v="P803"/>
    <x v="2"/>
    <x v="1"/>
    <x v="1"/>
    <s v="Dell"/>
    <n v="1"/>
    <n v="325.39"/>
    <n v="753.23"/>
    <n v="3"/>
    <s v="Q2"/>
    <n v="2026"/>
    <x v="3"/>
    <n v="1220.2124999999999"/>
    <n v="466.98249999999985"/>
  </r>
  <r>
    <s v="ORD00347"/>
    <d v="2024-10-12T00:00:00"/>
    <s v="C1470"/>
    <x v="346"/>
    <d v="2024-10-18T00:00:00"/>
    <x v="1"/>
    <x v="1"/>
    <s v="Shirt"/>
    <x v="15"/>
    <s v="Boulder"/>
    <s v="Male"/>
    <n v="28"/>
    <n v="4"/>
    <n v="30"/>
    <s v="P571"/>
    <x v="2"/>
    <x v="2"/>
    <x v="3"/>
    <s v="Puma"/>
    <n v="4"/>
    <n v="793.03"/>
    <n v="1776.87"/>
    <n v="6"/>
    <s v="Q4"/>
    <n v="2024"/>
    <x v="8"/>
    <n v="2220.4839999999999"/>
    <n v="443.61400000000003"/>
  </r>
  <r>
    <s v="ORD00348"/>
    <d v="2025-01-18T00:00:00"/>
    <s v="C7208"/>
    <x v="347"/>
    <d v="2025-01-22T00:00:00"/>
    <x v="9"/>
    <x v="0"/>
    <s v="Skincare"/>
    <x v="16"/>
    <s v="Tacoma"/>
    <s v="Female"/>
    <n v="36"/>
    <n v="4"/>
    <n v="5"/>
    <s v="P114"/>
    <x v="0"/>
    <x v="4"/>
    <x v="1"/>
    <s v="Nivea"/>
    <n v="4"/>
    <n v="933.46"/>
    <n v="2629.59"/>
    <n v="4"/>
    <s v="Q1"/>
    <n v="2025"/>
    <x v="0"/>
    <n v="3547.1480000000001"/>
    <n v="917.55799999999999"/>
  </r>
  <r>
    <s v="ORD00349"/>
    <d v="2024-09-01T00:00:00"/>
    <s v="C7913"/>
    <x v="348"/>
    <d v="2024-09-08T00:00:00"/>
    <x v="6"/>
    <x v="5"/>
    <s v="Snacks"/>
    <x v="12"/>
    <s v="Lansing"/>
    <s v="Female"/>
    <n v="31"/>
    <n v="4"/>
    <n v="15"/>
    <s v="P404"/>
    <x v="1"/>
    <x v="2"/>
    <x v="2"/>
    <s v="Britannia"/>
    <n v="5"/>
    <n v="885.96"/>
    <n v="2127.16"/>
    <n v="7"/>
    <s v="Q3"/>
    <n v="2024"/>
    <x v="1"/>
    <n v="3012.2640000000001"/>
    <n v="885.10400000000027"/>
  </r>
  <r>
    <s v="ORD00350"/>
    <d v="2026-03-03T00:00:00"/>
    <s v="C8336"/>
    <x v="349"/>
    <d v="2026-03-06T00:00:00"/>
    <x v="6"/>
    <x v="5"/>
    <s v="Snacks"/>
    <x v="17"/>
    <s v="Pittsburgh"/>
    <s v="Male"/>
    <n v="53"/>
    <n v="4"/>
    <n v="10"/>
    <s v="P455"/>
    <x v="2"/>
    <x v="0"/>
    <x v="1"/>
    <s v="Britannia"/>
    <n v="2"/>
    <n v="900.85"/>
    <n v="1947.89"/>
    <n v="3"/>
    <s v="Q1"/>
    <n v="2026"/>
    <x v="6"/>
    <n v="3243.06"/>
    <n v="1295.1699999999998"/>
  </r>
  <r>
    <s v="ORD00351"/>
    <d v="2025-11-18T00:00:00"/>
    <s v="C1955"/>
    <x v="350"/>
    <d v="2025-11-21T00:00:00"/>
    <x v="9"/>
    <x v="0"/>
    <s v="Skincare"/>
    <x v="8"/>
    <s v="Jacksonville"/>
    <s v="Male"/>
    <n v="44"/>
    <n v="4"/>
    <n v="25"/>
    <s v="P179"/>
    <x v="2"/>
    <x v="2"/>
    <x v="2"/>
    <s v="Nivea"/>
    <n v="4"/>
    <n v="816.64"/>
    <n v="1632.86"/>
    <n v="3"/>
    <s v="Q4"/>
    <n v="2025"/>
    <x v="10"/>
    <n v="2449.92"/>
    <n v="817.06000000000017"/>
  </r>
  <r>
    <s v="ORD00352"/>
    <d v="2024-11-08T00:00:00"/>
    <s v="C6325"/>
    <x v="351"/>
    <d v="2024-11-14T00:00:00"/>
    <x v="5"/>
    <x v="3"/>
    <s v="Furniture"/>
    <x v="14"/>
    <s v="St. Louis"/>
    <s v="Male"/>
    <n v="32"/>
    <n v="2"/>
    <n v="15"/>
    <s v="P200"/>
    <x v="1"/>
    <x v="2"/>
    <x v="0"/>
    <s v="IKEA"/>
    <n v="2"/>
    <n v="991.84"/>
    <n v="1175.06"/>
    <n v="6"/>
    <s v="Q4"/>
    <n v="2024"/>
    <x v="10"/>
    <n v="1686.1279999999999"/>
    <n v="511.06799999999998"/>
  </r>
  <r>
    <s v="ORD00353"/>
    <d v="2024-05-12T00:00:00"/>
    <s v="C3943"/>
    <x v="352"/>
    <d v="2024-05-13T00:00:00"/>
    <x v="6"/>
    <x v="5"/>
    <s v="Snacks"/>
    <x v="3"/>
    <s v="Austin"/>
    <s v="Female"/>
    <n v="20"/>
    <n v="5"/>
    <n v="25"/>
    <s v="P960"/>
    <x v="0"/>
    <x v="1"/>
    <x v="2"/>
    <s v="Britannia"/>
    <n v="5"/>
    <n v="383.3"/>
    <n v="1043.9100000000001"/>
    <n v="1"/>
    <s v="Q2"/>
    <n v="2024"/>
    <x v="9"/>
    <n v="1437.375"/>
    <n v="393.46499999999992"/>
  </r>
  <r>
    <s v="ORD00354"/>
    <d v="2024-11-08T00:00:00"/>
    <s v="C4846"/>
    <x v="353"/>
    <d v="2024-11-13T00:00:00"/>
    <x v="2"/>
    <x v="2"/>
    <s v="Fitness"/>
    <x v="19"/>
    <s v="Frederick"/>
    <s v="Female"/>
    <n v="44"/>
    <n v="4"/>
    <n v="30"/>
    <s v="P801"/>
    <x v="2"/>
    <x v="3"/>
    <x v="1"/>
    <s v="Decathlon"/>
    <n v="2"/>
    <n v="588.14"/>
    <n v="1150.6500000000001"/>
    <n v="5"/>
    <s v="Q4"/>
    <n v="2024"/>
    <x v="10"/>
    <n v="1646.7919999999999"/>
    <n v="496.14199999999983"/>
  </r>
  <r>
    <s v="ORD00355"/>
    <d v="2025-03-25T00:00:00"/>
    <s v="C1469"/>
    <x v="354"/>
    <d v="2025-03-30T00:00:00"/>
    <x v="6"/>
    <x v="5"/>
    <s v="Snacks"/>
    <x v="22"/>
    <s v="Springfield"/>
    <s v="Male"/>
    <n v="19"/>
    <n v="1"/>
    <n v="20"/>
    <s v="P993"/>
    <x v="0"/>
    <x v="4"/>
    <x v="3"/>
    <s v="Britannia"/>
    <n v="1"/>
    <n v="23.62"/>
    <n v="9.84"/>
    <n v="5"/>
    <s v="Q1"/>
    <n v="2025"/>
    <x v="6"/>
    <n v="18.896000000000001"/>
    <n v="9.0560000000000009"/>
  </r>
  <r>
    <s v="ORD00356"/>
    <d v="2024-04-23T00:00:00"/>
    <s v="C1967"/>
    <x v="355"/>
    <d v="2024-04-24T00:00:00"/>
    <x v="4"/>
    <x v="4"/>
    <s v="Mobile"/>
    <x v="0"/>
    <s v="Boston"/>
    <s v="Male"/>
    <n v="30"/>
    <n v="1"/>
    <n v="15"/>
    <s v="P475"/>
    <x v="2"/>
    <x v="0"/>
    <x v="0"/>
    <s v="Samsung"/>
    <n v="5"/>
    <n v="829.4"/>
    <n v="421.76"/>
    <n v="1"/>
    <s v="Q2"/>
    <n v="2024"/>
    <x v="3"/>
    <n v="704.99"/>
    <n v="283.23"/>
  </r>
  <r>
    <s v="ORD00357"/>
    <d v="2025-04-25T00:00:00"/>
    <s v="C9921"/>
    <x v="356"/>
    <d v="2025-04-30T00:00:00"/>
    <x v="3"/>
    <x v="3"/>
    <s v="Kitchen"/>
    <x v="15"/>
    <s v="Boulder"/>
    <s v="Male"/>
    <n v="23"/>
    <n v="3"/>
    <n v="30"/>
    <s v="P689"/>
    <x v="0"/>
    <x v="4"/>
    <x v="0"/>
    <s v="Philips"/>
    <n v="2"/>
    <n v="702.78"/>
    <n v="1190.57"/>
    <n v="5"/>
    <s v="Q2"/>
    <n v="2025"/>
    <x v="3"/>
    <n v="1475.838"/>
    <n v="285.26800000000003"/>
  </r>
  <r>
    <s v="ORD00358"/>
    <d v="2025-09-21T00:00:00"/>
    <s v="C2413"/>
    <x v="357"/>
    <d v="2025-09-23T00:00:00"/>
    <x v="3"/>
    <x v="3"/>
    <s v="Kitchen"/>
    <x v="8"/>
    <s v="Miami"/>
    <s v="Male"/>
    <n v="49"/>
    <n v="3"/>
    <n v="20"/>
    <s v="P545"/>
    <x v="2"/>
    <x v="1"/>
    <x v="0"/>
    <s v="Philips"/>
    <n v="4"/>
    <n v="167"/>
    <n v="201.57"/>
    <n v="2"/>
    <s v="Q3"/>
    <n v="2025"/>
    <x v="1"/>
    <n v="400.8"/>
    <n v="199.23000000000002"/>
  </r>
  <r>
    <s v="ORD00359"/>
    <d v="2024-04-16T00:00:00"/>
    <s v="C3949"/>
    <x v="358"/>
    <d v="2024-04-22T00:00:00"/>
    <x v="5"/>
    <x v="3"/>
    <s v="Furniture"/>
    <x v="14"/>
    <s v="Kansas City"/>
    <s v="Male"/>
    <n v="50"/>
    <n v="5"/>
    <n v="5"/>
    <s v="P131"/>
    <x v="0"/>
    <x v="3"/>
    <x v="3"/>
    <s v="IKEA"/>
    <n v="2"/>
    <n v="788.76"/>
    <n v="2473.92"/>
    <n v="6"/>
    <s v="Q2"/>
    <n v="2024"/>
    <x v="3"/>
    <n v="3746.61"/>
    <n v="1272.69"/>
  </r>
  <r>
    <s v="ORD00360"/>
    <d v="2024-06-06T00:00:00"/>
    <s v="C9768"/>
    <x v="359"/>
    <d v="2024-06-12T00:00:00"/>
    <x v="6"/>
    <x v="5"/>
    <s v="Snacks"/>
    <x v="5"/>
    <s v="Fort Wayne"/>
    <s v="Male"/>
    <n v="25"/>
    <n v="2"/>
    <n v="15"/>
    <s v="P555"/>
    <x v="0"/>
    <x v="0"/>
    <x v="0"/>
    <s v="Britannia"/>
    <n v="5"/>
    <n v="979.52"/>
    <n v="976.44"/>
    <n v="6"/>
    <s v="Q2"/>
    <n v="2024"/>
    <x v="2"/>
    <n v="1665.184"/>
    <n v="688.74399999999991"/>
  </r>
  <r>
    <s v="ORD00361"/>
    <d v="2024-11-03T00:00:00"/>
    <s v="C7688"/>
    <x v="360"/>
    <d v="2024-11-10T00:00:00"/>
    <x v="5"/>
    <x v="3"/>
    <s v="Furniture"/>
    <x v="3"/>
    <s v="Dallas"/>
    <s v="Female"/>
    <n v="35"/>
    <n v="5"/>
    <n v="20"/>
    <s v="P969"/>
    <x v="2"/>
    <x v="4"/>
    <x v="2"/>
    <s v="IKEA"/>
    <n v="3"/>
    <n v="957.29"/>
    <n v="2523.84"/>
    <n v="7"/>
    <s v="Q4"/>
    <n v="2024"/>
    <x v="10"/>
    <n v="3829.16"/>
    <n v="1305.3199999999997"/>
  </r>
  <r>
    <s v="ORD00362"/>
    <d v="2025-06-10T00:00:00"/>
    <s v="C1118"/>
    <x v="361"/>
    <d v="2025-06-17T00:00:00"/>
    <x v="8"/>
    <x v="1"/>
    <s v="Shoes"/>
    <x v="22"/>
    <s v="Springfield"/>
    <s v="Male"/>
    <n v="30"/>
    <n v="3"/>
    <n v="30"/>
    <s v="P848"/>
    <x v="1"/>
    <x v="4"/>
    <x v="0"/>
    <s v="Nike"/>
    <n v="3"/>
    <n v="298.79000000000002"/>
    <n v="467.82"/>
    <n v="7"/>
    <s v="Q2"/>
    <n v="2025"/>
    <x v="2"/>
    <n v="627.45900000000006"/>
    <n v="159.63900000000007"/>
  </r>
  <r>
    <s v="ORD00363"/>
    <d v="2025-07-02T00:00:00"/>
    <s v="C5215"/>
    <x v="362"/>
    <d v="2025-07-09T00:00:00"/>
    <x v="6"/>
    <x v="5"/>
    <s v="Snacks"/>
    <x v="8"/>
    <s v="Orlando"/>
    <s v="Female"/>
    <n v="20"/>
    <n v="4"/>
    <n v="25"/>
    <s v="P262"/>
    <x v="1"/>
    <x v="3"/>
    <x v="0"/>
    <s v="Britannia"/>
    <n v="1"/>
    <n v="187.45"/>
    <n v="392.03"/>
    <n v="7"/>
    <s v="Q3"/>
    <n v="2025"/>
    <x v="4"/>
    <n v="562.34999999999991"/>
    <n v="170.31999999999994"/>
  </r>
  <r>
    <s v="ORD00364"/>
    <d v="2025-07-11T00:00:00"/>
    <s v="C3169"/>
    <x v="363"/>
    <d v="2025-07-17T00:00:00"/>
    <x v="9"/>
    <x v="0"/>
    <s v="Skincare"/>
    <x v="22"/>
    <s v="Naperville"/>
    <s v="Male"/>
    <n v="58"/>
    <n v="2"/>
    <n v="20"/>
    <s v="P698"/>
    <x v="1"/>
    <x v="2"/>
    <x v="0"/>
    <s v="Nivea"/>
    <n v="3"/>
    <n v="882.21"/>
    <n v="1181.9100000000001"/>
    <n v="6"/>
    <s v="Q3"/>
    <n v="2025"/>
    <x v="4"/>
    <n v="1411.5360000000001"/>
    <n v="229.62599999999998"/>
  </r>
  <r>
    <s v="ORD00365"/>
    <d v="2025-03-19T00:00:00"/>
    <s v="C9202"/>
    <x v="364"/>
    <d v="2025-03-21T00:00:00"/>
    <x v="7"/>
    <x v="4"/>
    <s v="Laptop"/>
    <x v="0"/>
    <s v="Boston"/>
    <s v="Female"/>
    <n v="20"/>
    <n v="1"/>
    <n v="20"/>
    <s v="P370"/>
    <x v="1"/>
    <x v="1"/>
    <x v="1"/>
    <s v="Dell"/>
    <n v="2"/>
    <n v="593.19000000000005"/>
    <n v="343.22"/>
    <n v="2"/>
    <s v="Q1"/>
    <n v="2025"/>
    <x v="6"/>
    <n v="474.55200000000008"/>
    <n v="131.33200000000005"/>
  </r>
  <r>
    <s v="ORD00366"/>
    <d v="2025-09-21T00:00:00"/>
    <s v="C5122"/>
    <x v="365"/>
    <d v="2025-09-24T00:00:00"/>
    <x v="1"/>
    <x v="1"/>
    <s v="Shirt"/>
    <x v="5"/>
    <s v="Evansville"/>
    <s v="Male"/>
    <n v="32"/>
    <n v="1"/>
    <n v="10"/>
    <s v="P671"/>
    <x v="0"/>
    <x v="1"/>
    <x v="2"/>
    <s v="Puma"/>
    <n v="1"/>
    <n v="239.91"/>
    <n v="169.56"/>
    <n v="3"/>
    <s v="Q3"/>
    <n v="2025"/>
    <x v="1"/>
    <n v="215.91900000000001"/>
    <n v="46.359000000000009"/>
  </r>
  <r>
    <s v="ORD00367"/>
    <d v="2026-04-01T00:00:00"/>
    <s v="C2331"/>
    <x v="366"/>
    <d v="2026-04-04T00:00:00"/>
    <x v="1"/>
    <x v="1"/>
    <s v="Shirt"/>
    <x v="16"/>
    <s v="Seattle"/>
    <s v="Male"/>
    <n v="25"/>
    <n v="2"/>
    <n v="10"/>
    <s v="P178"/>
    <x v="0"/>
    <x v="2"/>
    <x v="2"/>
    <s v="Puma"/>
    <n v="4"/>
    <n v="141.13999999999999"/>
    <n v="172.48"/>
    <n v="3"/>
    <s v="Q2"/>
    <n v="2026"/>
    <x v="3"/>
    <n v="254.05199999999999"/>
    <n v="81.572000000000003"/>
  </r>
  <r>
    <s v="ORD00368"/>
    <d v="2024-12-26T00:00:00"/>
    <s v="C4446"/>
    <x v="367"/>
    <d v="2025-01-02T00:00:00"/>
    <x v="5"/>
    <x v="3"/>
    <s v="Furniture"/>
    <x v="1"/>
    <s v="Sacramento"/>
    <s v="Male"/>
    <n v="34"/>
    <n v="4"/>
    <n v="15"/>
    <s v="P794"/>
    <x v="0"/>
    <x v="1"/>
    <x v="3"/>
    <s v="IKEA"/>
    <n v="4"/>
    <n v="933.24"/>
    <n v="1979.72"/>
    <n v="7"/>
    <s v="Q4"/>
    <n v="2024"/>
    <x v="7"/>
    <n v="3173.0160000000001"/>
    <n v="1193.296"/>
  </r>
  <r>
    <s v="ORD00369"/>
    <d v="2025-12-06T00:00:00"/>
    <s v="C2900"/>
    <x v="368"/>
    <d v="2025-12-09T00:00:00"/>
    <x v="8"/>
    <x v="1"/>
    <s v="Shoes"/>
    <x v="6"/>
    <s v="Greensboro"/>
    <s v="Female"/>
    <n v="36"/>
    <n v="2"/>
    <n v="5"/>
    <s v="P820"/>
    <x v="2"/>
    <x v="3"/>
    <x v="0"/>
    <s v="Nike"/>
    <n v="1"/>
    <n v="694.91"/>
    <n v="1092.19"/>
    <n v="3"/>
    <s v="Q4"/>
    <n v="2025"/>
    <x v="7"/>
    <n v="1320.329"/>
    <n v="228.1389999999999"/>
  </r>
  <r>
    <s v="ORD00370"/>
    <d v="2025-02-22T00:00:00"/>
    <s v="C3422"/>
    <x v="369"/>
    <d v="2025-02-28T00:00:00"/>
    <x v="9"/>
    <x v="0"/>
    <s v="Skincare"/>
    <x v="6"/>
    <s v="Greensboro"/>
    <s v="Female"/>
    <n v="63"/>
    <n v="4"/>
    <n v="15"/>
    <s v="P255"/>
    <x v="0"/>
    <x v="0"/>
    <x v="1"/>
    <s v="Nivea"/>
    <n v="1"/>
    <n v="994.83"/>
    <n v="1991.93"/>
    <n v="6"/>
    <s v="Q1"/>
    <n v="2025"/>
    <x v="5"/>
    <n v="3382.422"/>
    <n v="1390.492"/>
  </r>
  <r>
    <s v="ORD00371"/>
    <d v="2024-11-07T00:00:00"/>
    <s v="C5810"/>
    <x v="370"/>
    <d v="2024-11-12T00:00:00"/>
    <x v="9"/>
    <x v="0"/>
    <s v="Skincare"/>
    <x v="6"/>
    <s v="Charlotte"/>
    <s v="Female"/>
    <n v="59"/>
    <n v="4"/>
    <n v="0"/>
    <s v="P863"/>
    <x v="1"/>
    <x v="2"/>
    <x v="0"/>
    <s v="Nivea"/>
    <n v="3"/>
    <n v="143.15"/>
    <n v="468.26"/>
    <n v="5"/>
    <s v="Q4"/>
    <n v="2024"/>
    <x v="10"/>
    <n v="572.6"/>
    <n v="104.34000000000003"/>
  </r>
  <r>
    <s v="ORD00372"/>
    <d v="2025-08-23T00:00:00"/>
    <s v="C6762"/>
    <x v="371"/>
    <d v="2025-08-30T00:00:00"/>
    <x v="9"/>
    <x v="0"/>
    <s v="Skincare"/>
    <x v="1"/>
    <s v="Los Angeles"/>
    <s v="Female"/>
    <n v="48"/>
    <n v="3"/>
    <n v="20"/>
    <s v="P804"/>
    <x v="0"/>
    <x v="3"/>
    <x v="1"/>
    <s v="Nivea"/>
    <n v="3"/>
    <n v="986.15"/>
    <n v="1773.61"/>
    <n v="7"/>
    <s v="Q3"/>
    <n v="2025"/>
    <x v="11"/>
    <n v="2366.7599999999998"/>
    <n v="593.14999999999986"/>
  </r>
  <r>
    <s v="ORD00373"/>
    <d v="2025-07-25T00:00:00"/>
    <s v="C5834"/>
    <x v="372"/>
    <d v="2025-07-28T00:00:00"/>
    <x v="1"/>
    <x v="1"/>
    <s v="Shirt"/>
    <x v="14"/>
    <s v="Kansas City"/>
    <s v="Male"/>
    <n v="24"/>
    <n v="3"/>
    <n v="0"/>
    <s v="P182"/>
    <x v="1"/>
    <x v="0"/>
    <x v="3"/>
    <s v="Puma"/>
    <n v="4"/>
    <n v="25.04"/>
    <n v="59.23"/>
    <n v="3"/>
    <s v="Q3"/>
    <n v="2025"/>
    <x v="4"/>
    <n v="75.12"/>
    <n v="15.890000000000008"/>
  </r>
  <r>
    <s v="ORD00374"/>
    <d v="2025-02-16T00:00:00"/>
    <s v="C8009"/>
    <x v="373"/>
    <d v="2025-02-21T00:00:00"/>
    <x v="6"/>
    <x v="5"/>
    <s v="Snacks"/>
    <x v="3"/>
    <s v="Houston"/>
    <s v="Female"/>
    <n v="65"/>
    <n v="5"/>
    <n v="20"/>
    <s v="P395"/>
    <x v="0"/>
    <x v="1"/>
    <x v="2"/>
    <s v="Britannia"/>
    <n v="5"/>
    <n v="994.52"/>
    <n v="2178.91"/>
    <n v="5"/>
    <s v="Q1"/>
    <n v="2025"/>
    <x v="5"/>
    <n v="3978.0800000000004"/>
    <n v="1799.1700000000005"/>
  </r>
  <r>
    <s v="ORD00375"/>
    <d v="2026-04-15T00:00:00"/>
    <s v="C9436"/>
    <x v="374"/>
    <d v="2026-04-19T00:00:00"/>
    <x v="3"/>
    <x v="3"/>
    <s v="Kitchen"/>
    <x v="17"/>
    <s v="Pittsburgh"/>
    <s v="Male"/>
    <n v="23"/>
    <n v="2"/>
    <n v="0"/>
    <s v="P296"/>
    <x v="1"/>
    <x v="3"/>
    <x v="2"/>
    <s v="Philips"/>
    <n v="5"/>
    <n v="328.67"/>
    <n v="383.62"/>
    <n v="4"/>
    <s v="Q2"/>
    <n v="2026"/>
    <x v="3"/>
    <n v="657.34"/>
    <n v="273.72000000000003"/>
  </r>
  <r>
    <s v="ORD00376"/>
    <d v="2025-04-21T00:00:00"/>
    <s v="C6957"/>
    <x v="375"/>
    <d v="2025-04-23T00:00:00"/>
    <x v="6"/>
    <x v="5"/>
    <s v="Snacks"/>
    <x v="11"/>
    <s v="Newark"/>
    <s v="Male"/>
    <n v="42"/>
    <n v="4"/>
    <n v="20"/>
    <s v="P489"/>
    <x v="0"/>
    <x v="4"/>
    <x v="2"/>
    <s v="Britannia"/>
    <n v="4"/>
    <n v="148.18"/>
    <n v="377.59"/>
    <n v="2"/>
    <s v="Q2"/>
    <n v="2025"/>
    <x v="3"/>
    <n v="474.17600000000004"/>
    <n v="96.58600000000007"/>
  </r>
  <r>
    <s v="ORD00377"/>
    <d v="2025-04-12T00:00:00"/>
    <s v="C6408"/>
    <x v="376"/>
    <d v="2025-04-17T00:00:00"/>
    <x v="4"/>
    <x v="4"/>
    <s v="Mobile"/>
    <x v="1"/>
    <s v="Los Angeles"/>
    <s v="Male"/>
    <n v="33"/>
    <n v="5"/>
    <n v="10"/>
    <s v="P753"/>
    <x v="0"/>
    <x v="1"/>
    <x v="1"/>
    <s v="Samsung"/>
    <n v="4"/>
    <n v="948.45"/>
    <n v="2886.33"/>
    <n v="5"/>
    <s v="Q2"/>
    <n v="2025"/>
    <x v="3"/>
    <n v="4268.0250000000005"/>
    <n v="1381.6950000000006"/>
  </r>
  <r>
    <s v="ORD00378"/>
    <d v="2025-08-11T00:00:00"/>
    <s v="C1464"/>
    <x v="377"/>
    <d v="2025-08-18T00:00:00"/>
    <x v="7"/>
    <x v="4"/>
    <s v="Laptop"/>
    <x v="7"/>
    <s v="Albany"/>
    <s v="Male"/>
    <n v="49"/>
    <n v="3"/>
    <n v="25"/>
    <s v="P869"/>
    <x v="2"/>
    <x v="0"/>
    <x v="0"/>
    <s v="Dell"/>
    <n v="2"/>
    <n v="517.88"/>
    <n v="653.11"/>
    <n v="7"/>
    <s v="Q3"/>
    <n v="2025"/>
    <x v="11"/>
    <n v="1165.23"/>
    <n v="512.12"/>
  </r>
  <r>
    <s v="ORD00379"/>
    <d v="2024-06-12T00:00:00"/>
    <s v="C5161"/>
    <x v="378"/>
    <d v="2024-06-14T00:00:00"/>
    <x v="1"/>
    <x v="1"/>
    <s v="Shirt"/>
    <x v="8"/>
    <s v="Orlando"/>
    <s v="Male"/>
    <n v="38"/>
    <n v="2"/>
    <n v="15"/>
    <s v="P997"/>
    <x v="2"/>
    <x v="4"/>
    <x v="2"/>
    <s v="Puma"/>
    <n v="4"/>
    <n v="440.09"/>
    <n v="543.27"/>
    <n v="2"/>
    <s v="Q2"/>
    <n v="2024"/>
    <x v="2"/>
    <n v="748.15299999999991"/>
    <n v="204.88299999999992"/>
  </r>
  <r>
    <s v="ORD00380"/>
    <d v="2025-04-26T00:00:00"/>
    <s v="C8520"/>
    <x v="379"/>
    <d v="2025-04-27T00:00:00"/>
    <x v="2"/>
    <x v="2"/>
    <s v="Fitness"/>
    <x v="7"/>
    <s v="Albany"/>
    <s v="Female"/>
    <n v="23"/>
    <n v="3"/>
    <n v="20"/>
    <s v="P252"/>
    <x v="1"/>
    <x v="4"/>
    <x v="1"/>
    <s v="Decathlon"/>
    <n v="1"/>
    <n v="837"/>
    <n v="1315.56"/>
    <n v="1"/>
    <s v="Q2"/>
    <n v="2025"/>
    <x v="3"/>
    <n v="2008.8000000000002"/>
    <n v="693.24000000000024"/>
  </r>
  <r>
    <s v="ORD00381"/>
    <d v="2026-05-01T00:00:00"/>
    <s v="C9776"/>
    <x v="380"/>
    <d v="2026-05-05T00:00:00"/>
    <x v="5"/>
    <x v="3"/>
    <s v="Furniture"/>
    <x v="22"/>
    <s v="Naperville"/>
    <s v="Female"/>
    <n v="46"/>
    <n v="5"/>
    <n v="5"/>
    <s v="P222"/>
    <x v="1"/>
    <x v="0"/>
    <x v="3"/>
    <s v="IKEA"/>
    <n v="5"/>
    <n v="493.33"/>
    <n v="1678.65"/>
    <n v="4"/>
    <s v="Q2"/>
    <n v="2026"/>
    <x v="9"/>
    <n v="2343.3175000000001"/>
    <n v="664.66750000000002"/>
  </r>
  <r>
    <s v="ORD00382"/>
    <d v="2025-05-22T00:00:00"/>
    <s v="C3813"/>
    <x v="381"/>
    <d v="2025-05-29T00:00:00"/>
    <x v="4"/>
    <x v="4"/>
    <s v="Mobile"/>
    <x v="15"/>
    <s v="Boulder"/>
    <s v="Male"/>
    <n v="45"/>
    <n v="4"/>
    <n v="20"/>
    <s v="P839"/>
    <x v="0"/>
    <x v="4"/>
    <x v="0"/>
    <s v="Samsung"/>
    <n v="4"/>
    <n v="410.49"/>
    <n v="907.93"/>
    <n v="7"/>
    <s v="Q2"/>
    <n v="2025"/>
    <x v="9"/>
    <n v="1313.5680000000002"/>
    <n v="405.63800000000026"/>
  </r>
  <r>
    <s v="ORD00383"/>
    <d v="2024-09-22T00:00:00"/>
    <s v="C2886"/>
    <x v="382"/>
    <d v="2024-09-24T00:00:00"/>
    <x v="1"/>
    <x v="1"/>
    <s v="Shirt"/>
    <x v="18"/>
    <s v="Nashville"/>
    <s v="Male"/>
    <n v="65"/>
    <n v="5"/>
    <n v="25"/>
    <s v="P555"/>
    <x v="1"/>
    <x v="3"/>
    <x v="0"/>
    <s v="Puma"/>
    <n v="5"/>
    <n v="881.14"/>
    <n v="2157.38"/>
    <n v="2"/>
    <s v="Q3"/>
    <n v="2024"/>
    <x v="1"/>
    <n v="3304.2749999999996"/>
    <n v="1146.8949999999995"/>
  </r>
  <r>
    <s v="ORD00384"/>
    <d v="2025-01-21T00:00:00"/>
    <s v="C8435"/>
    <x v="383"/>
    <d v="2025-01-28T00:00:00"/>
    <x v="1"/>
    <x v="1"/>
    <s v="Shirt"/>
    <x v="3"/>
    <s v="San Antonio"/>
    <s v="Male"/>
    <n v="26"/>
    <n v="4"/>
    <n v="15"/>
    <s v="P923"/>
    <x v="0"/>
    <x v="0"/>
    <x v="3"/>
    <s v="Puma"/>
    <n v="4"/>
    <n v="428.73"/>
    <n v="1071.81"/>
    <n v="7"/>
    <s v="Q1"/>
    <n v="2025"/>
    <x v="0"/>
    <n v="1457.682"/>
    <n v="385.87200000000007"/>
  </r>
  <r>
    <s v="ORD00385"/>
    <d v="2025-08-22T00:00:00"/>
    <s v="C8126"/>
    <x v="384"/>
    <d v="2025-08-29T00:00:00"/>
    <x v="1"/>
    <x v="1"/>
    <s v="Shirt"/>
    <x v="5"/>
    <s v="Fort Wayne"/>
    <s v="Male"/>
    <n v="57"/>
    <n v="3"/>
    <n v="25"/>
    <s v="P655"/>
    <x v="1"/>
    <x v="1"/>
    <x v="1"/>
    <s v="Puma"/>
    <n v="4"/>
    <n v="393.18"/>
    <n v="666.89"/>
    <n v="7"/>
    <s v="Q3"/>
    <n v="2025"/>
    <x v="11"/>
    <n v="884.65499999999997"/>
    <n v="217.76499999999999"/>
  </r>
  <r>
    <s v="ORD00386"/>
    <d v="2026-01-25T00:00:00"/>
    <s v="C8846"/>
    <x v="385"/>
    <d v="2026-01-28T00:00:00"/>
    <x v="6"/>
    <x v="5"/>
    <s v="Snacks"/>
    <x v="0"/>
    <s v="Boston"/>
    <s v="Female"/>
    <n v="22"/>
    <n v="3"/>
    <n v="25"/>
    <s v="P172"/>
    <x v="1"/>
    <x v="0"/>
    <x v="2"/>
    <s v="Britannia"/>
    <n v="2"/>
    <n v="736.19"/>
    <n v="1028.95"/>
    <n v="3"/>
    <s v="Q1"/>
    <n v="2026"/>
    <x v="0"/>
    <n v="1656.4275000000002"/>
    <n v="627.47750000000019"/>
  </r>
  <r>
    <s v="ORD00387"/>
    <d v="2025-12-08T00:00:00"/>
    <s v="C2247"/>
    <x v="386"/>
    <d v="2025-12-10T00:00:00"/>
    <x v="7"/>
    <x v="4"/>
    <s v="Laptop"/>
    <x v="17"/>
    <s v="Allentown"/>
    <s v="Female"/>
    <n v="21"/>
    <n v="1"/>
    <n v="30"/>
    <s v="P158"/>
    <x v="0"/>
    <x v="1"/>
    <x v="1"/>
    <s v="Dell"/>
    <n v="3"/>
    <n v="724.84"/>
    <n v="384.91"/>
    <n v="2"/>
    <s v="Q4"/>
    <n v="2025"/>
    <x v="7"/>
    <n v="507.38799999999998"/>
    <n v="122.47799999999995"/>
  </r>
  <r>
    <s v="ORD00388"/>
    <d v="2025-01-03T00:00:00"/>
    <s v="C9848"/>
    <x v="387"/>
    <d v="2025-01-08T00:00:00"/>
    <x v="8"/>
    <x v="1"/>
    <s v="Shoes"/>
    <x v="8"/>
    <s v="Jacksonville"/>
    <s v="Male"/>
    <n v="33"/>
    <n v="5"/>
    <n v="30"/>
    <s v="P202"/>
    <x v="0"/>
    <x v="1"/>
    <x v="3"/>
    <s v="Nike"/>
    <n v="3"/>
    <n v="413.27"/>
    <n v="779.09"/>
    <n v="5"/>
    <s v="Q1"/>
    <n v="2025"/>
    <x v="0"/>
    <n v="1446.4449999999999"/>
    <n v="667.3549999999999"/>
  </r>
  <r>
    <s v="ORD00389"/>
    <d v="2025-10-14T00:00:00"/>
    <s v="C2958"/>
    <x v="388"/>
    <d v="2025-10-20T00:00:00"/>
    <x v="3"/>
    <x v="3"/>
    <s v="Kitchen"/>
    <x v="14"/>
    <s v="Kansas City"/>
    <s v="Male"/>
    <n v="58"/>
    <n v="2"/>
    <n v="0"/>
    <s v="P152"/>
    <x v="1"/>
    <x v="3"/>
    <x v="1"/>
    <s v="Philips"/>
    <n v="1"/>
    <n v="413.63"/>
    <n v="494.42"/>
    <n v="6"/>
    <s v="Q4"/>
    <n v="2025"/>
    <x v="8"/>
    <n v="827.26"/>
    <n v="332.84"/>
  </r>
  <r>
    <s v="ORD00390"/>
    <d v="2026-02-21T00:00:00"/>
    <s v="C1111"/>
    <x v="389"/>
    <d v="2026-02-24T00:00:00"/>
    <x v="6"/>
    <x v="5"/>
    <s v="Snacks"/>
    <x v="7"/>
    <s v="New York"/>
    <s v="Female"/>
    <n v="65"/>
    <n v="2"/>
    <n v="5"/>
    <s v="P597"/>
    <x v="0"/>
    <x v="1"/>
    <x v="3"/>
    <s v="Britannia"/>
    <n v="1"/>
    <n v="848.3"/>
    <n v="1326.02"/>
    <n v="3"/>
    <s v="Q1"/>
    <n v="2026"/>
    <x v="5"/>
    <n v="1611.7699999999998"/>
    <n v="285.74999999999977"/>
  </r>
  <r>
    <s v="ORD00391"/>
    <d v="2025-03-20T00:00:00"/>
    <s v="C8197"/>
    <x v="390"/>
    <d v="2025-03-26T00:00:00"/>
    <x v="6"/>
    <x v="5"/>
    <s v="Snacks"/>
    <x v="3"/>
    <s v="San Antonio"/>
    <s v="Female"/>
    <n v="35"/>
    <n v="5"/>
    <n v="25"/>
    <s v="P777"/>
    <x v="1"/>
    <x v="0"/>
    <x v="3"/>
    <s v="Britannia"/>
    <n v="1"/>
    <n v="802"/>
    <n v="1859.31"/>
    <n v="6"/>
    <s v="Q1"/>
    <n v="2025"/>
    <x v="6"/>
    <n v="3007.5"/>
    <n v="1148.19"/>
  </r>
  <r>
    <s v="ORD00392"/>
    <d v="2024-09-24T00:00:00"/>
    <s v="C4077"/>
    <x v="391"/>
    <d v="2024-09-25T00:00:00"/>
    <x v="1"/>
    <x v="1"/>
    <s v="Shirt"/>
    <x v="20"/>
    <s v="Virginia Beach"/>
    <s v="Female"/>
    <n v="51"/>
    <n v="3"/>
    <n v="30"/>
    <s v="P461"/>
    <x v="1"/>
    <x v="4"/>
    <x v="1"/>
    <s v="Puma"/>
    <n v="4"/>
    <n v="591.41"/>
    <n v="796.32"/>
    <n v="1"/>
    <s v="Q3"/>
    <n v="2024"/>
    <x v="1"/>
    <n v="1241.961"/>
    <n v="445.64099999999996"/>
  </r>
  <r>
    <s v="ORD00393"/>
    <d v="2024-12-11T00:00:00"/>
    <s v="C3976"/>
    <x v="392"/>
    <d v="2024-12-16T00:00:00"/>
    <x v="5"/>
    <x v="3"/>
    <s v="Furniture"/>
    <x v="1"/>
    <s v="Los Angeles"/>
    <s v="Female"/>
    <n v="46"/>
    <n v="1"/>
    <n v="25"/>
    <s v="P946"/>
    <x v="2"/>
    <x v="4"/>
    <x v="3"/>
    <s v="IKEA"/>
    <n v="3"/>
    <n v="878.04"/>
    <n v="374.24"/>
    <n v="5"/>
    <s v="Q4"/>
    <n v="2024"/>
    <x v="7"/>
    <n v="658.53"/>
    <n v="284.28999999999996"/>
  </r>
  <r>
    <s v="ORD00394"/>
    <d v="2025-12-06T00:00:00"/>
    <s v="C5831"/>
    <x v="393"/>
    <d v="2025-12-07T00:00:00"/>
    <x v="2"/>
    <x v="2"/>
    <s v="Fitness"/>
    <x v="18"/>
    <s v="Knoxville"/>
    <s v="Female"/>
    <n v="31"/>
    <n v="2"/>
    <n v="25"/>
    <s v="P799"/>
    <x v="0"/>
    <x v="2"/>
    <x v="0"/>
    <s v="Decathlon"/>
    <n v="5"/>
    <n v="506.51"/>
    <n v="485.27"/>
    <n v="1"/>
    <s v="Q4"/>
    <n v="2025"/>
    <x v="7"/>
    <n v="759.76499999999999"/>
    <n v="274.495"/>
  </r>
  <r>
    <s v="ORD00395"/>
    <d v="2025-03-09T00:00:00"/>
    <s v="C8783"/>
    <x v="394"/>
    <d v="2025-03-16T00:00:00"/>
    <x v="2"/>
    <x v="2"/>
    <s v="Fitness"/>
    <x v="22"/>
    <s v="Chicago"/>
    <s v="Male"/>
    <n v="24"/>
    <n v="3"/>
    <n v="5"/>
    <s v="P226"/>
    <x v="1"/>
    <x v="3"/>
    <x v="1"/>
    <s v="Decathlon"/>
    <n v="2"/>
    <n v="573.71"/>
    <n v="865.33"/>
    <n v="7"/>
    <s v="Q1"/>
    <n v="2025"/>
    <x v="6"/>
    <n v="1635.0735"/>
    <n v="769.74349999999993"/>
  </r>
  <r>
    <s v="ORD00396"/>
    <d v="2024-04-19T00:00:00"/>
    <s v="C6565"/>
    <x v="395"/>
    <d v="2024-04-26T00:00:00"/>
    <x v="1"/>
    <x v="1"/>
    <s v="Shirt"/>
    <x v="3"/>
    <s v="San Antonio"/>
    <s v="Female"/>
    <n v="65"/>
    <n v="4"/>
    <n v="5"/>
    <s v="P421"/>
    <x v="0"/>
    <x v="0"/>
    <x v="3"/>
    <s v="Puma"/>
    <n v="1"/>
    <n v="28.67"/>
    <n v="64.47"/>
    <n v="7"/>
    <s v="Q2"/>
    <n v="2024"/>
    <x v="3"/>
    <n v="108.946"/>
    <n v="44.475999999999999"/>
  </r>
  <r>
    <s v="ORD00397"/>
    <d v="2024-04-27T00:00:00"/>
    <s v="C2430"/>
    <x v="396"/>
    <d v="2024-04-30T00:00:00"/>
    <x v="9"/>
    <x v="0"/>
    <s v="Skincare"/>
    <x v="3"/>
    <s v="San Antonio"/>
    <s v="Male"/>
    <n v="18"/>
    <n v="4"/>
    <n v="20"/>
    <s v="P775"/>
    <x v="0"/>
    <x v="1"/>
    <x v="3"/>
    <s v="Nivea"/>
    <n v="5"/>
    <n v="133.53"/>
    <n v="324.86"/>
    <n v="3"/>
    <s v="Q2"/>
    <n v="2024"/>
    <x v="3"/>
    <n v="427.29600000000005"/>
    <n v="102.43600000000004"/>
  </r>
  <r>
    <s v="ORD00398"/>
    <d v="2024-03-23T00:00:00"/>
    <s v="C8729"/>
    <x v="397"/>
    <d v="2024-03-24T00:00:00"/>
    <x v="2"/>
    <x v="2"/>
    <s v="Fitness"/>
    <x v="5"/>
    <s v="Fort Wayne"/>
    <s v="Male"/>
    <n v="55"/>
    <n v="2"/>
    <n v="10"/>
    <s v="P467"/>
    <x v="0"/>
    <x v="0"/>
    <x v="0"/>
    <s v="Decathlon"/>
    <n v="1"/>
    <n v="614.16999999999996"/>
    <n v="655.77"/>
    <n v="1"/>
    <s v="Q1"/>
    <n v="2024"/>
    <x v="6"/>
    <n v="1105.5059999999999"/>
    <n v="449.73599999999988"/>
  </r>
  <r>
    <s v="ORD00399"/>
    <d v="2024-12-13T00:00:00"/>
    <s v="C9290"/>
    <x v="398"/>
    <d v="2024-12-17T00:00:00"/>
    <x v="4"/>
    <x v="4"/>
    <s v="Mobile"/>
    <x v="7"/>
    <s v="Rochester"/>
    <s v="Female"/>
    <n v="36"/>
    <n v="5"/>
    <n v="20"/>
    <s v="P513"/>
    <x v="0"/>
    <x v="3"/>
    <x v="2"/>
    <s v="Samsung"/>
    <n v="2"/>
    <n v="358.06"/>
    <n v="938.22"/>
    <n v="4"/>
    <s v="Q4"/>
    <n v="2024"/>
    <x v="7"/>
    <n v="1432.24"/>
    <n v="494.02"/>
  </r>
  <r>
    <s v="ORD00400"/>
    <d v="2024-01-19T00:00:00"/>
    <s v="C8250"/>
    <x v="399"/>
    <d v="2024-01-25T00:00:00"/>
    <x v="8"/>
    <x v="1"/>
    <s v="Shoes"/>
    <x v="14"/>
    <s v="St. Louis"/>
    <s v="Female"/>
    <n v="24"/>
    <n v="5"/>
    <n v="20"/>
    <s v="P563"/>
    <x v="0"/>
    <x v="1"/>
    <x v="0"/>
    <s v="Nike"/>
    <n v="5"/>
    <n v="218.55"/>
    <n v="658.03"/>
    <n v="6"/>
    <s v="Q1"/>
    <n v="2024"/>
    <x v="0"/>
    <n v="874.2"/>
    <n v="216.17000000000007"/>
  </r>
  <r>
    <s v="ORD00401"/>
    <d v="2024-08-09T00:00:00"/>
    <s v="C1544"/>
    <x v="400"/>
    <d v="2024-08-12T00:00:00"/>
    <x v="2"/>
    <x v="2"/>
    <s v="Fitness"/>
    <x v="0"/>
    <s v="Cambridge"/>
    <s v="Female"/>
    <n v="61"/>
    <n v="2"/>
    <n v="10"/>
    <s v="P830"/>
    <x v="1"/>
    <x v="2"/>
    <x v="0"/>
    <s v="Decathlon"/>
    <n v="1"/>
    <n v="533"/>
    <n v="698.24"/>
    <n v="3"/>
    <s v="Q3"/>
    <n v="2024"/>
    <x v="11"/>
    <n v="959.4"/>
    <n v="261.15999999999997"/>
  </r>
  <r>
    <s v="ORD00402"/>
    <d v="2024-06-17T00:00:00"/>
    <s v="C2513"/>
    <x v="401"/>
    <d v="2024-06-22T00:00:00"/>
    <x v="3"/>
    <x v="3"/>
    <s v="Kitchen"/>
    <x v="2"/>
    <s v="Cleveland"/>
    <s v="Male"/>
    <n v="31"/>
    <n v="5"/>
    <n v="0"/>
    <s v="P951"/>
    <x v="1"/>
    <x v="0"/>
    <x v="3"/>
    <s v="Philips"/>
    <n v="2"/>
    <n v="695.67"/>
    <n v="2078.62"/>
    <n v="5"/>
    <s v="Q2"/>
    <n v="2024"/>
    <x v="2"/>
    <n v="3478.35"/>
    <n v="1399.73"/>
  </r>
  <r>
    <s v="ORD00403"/>
    <d v="2025-03-12T00:00:00"/>
    <s v="C6865"/>
    <x v="402"/>
    <d v="2025-03-18T00:00:00"/>
    <x v="2"/>
    <x v="2"/>
    <s v="Fitness"/>
    <x v="7"/>
    <s v="Rochester"/>
    <s v="Female"/>
    <n v="41"/>
    <n v="4"/>
    <n v="5"/>
    <s v="P288"/>
    <x v="2"/>
    <x v="3"/>
    <x v="0"/>
    <s v="Decathlon"/>
    <n v="3"/>
    <n v="447.95"/>
    <n v="1388.66"/>
    <n v="6"/>
    <s v="Q1"/>
    <n v="2025"/>
    <x v="6"/>
    <n v="1702.2099999999998"/>
    <n v="313.54999999999973"/>
  </r>
  <r>
    <s v="ORD00404"/>
    <d v="2024-08-10T00:00:00"/>
    <s v="C5904"/>
    <x v="403"/>
    <d v="2024-08-15T00:00:00"/>
    <x v="9"/>
    <x v="0"/>
    <s v="Skincare"/>
    <x v="18"/>
    <s v="Nashville"/>
    <s v="Male"/>
    <n v="43"/>
    <n v="4"/>
    <n v="10"/>
    <s v="P815"/>
    <x v="1"/>
    <x v="0"/>
    <x v="0"/>
    <s v="Nivea"/>
    <n v="1"/>
    <n v="242.47"/>
    <n v="511.92"/>
    <n v="5"/>
    <s v="Q3"/>
    <n v="2024"/>
    <x v="11"/>
    <n v="872.89200000000005"/>
    <n v="360.97200000000004"/>
  </r>
  <r>
    <s v="ORD00405"/>
    <d v="2025-01-01T00:00:00"/>
    <s v="C7892"/>
    <x v="404"/>
    <d v="2025-01-02T00:00:00"/>
    <x v="8"/>
    <x v="1"/>
    <s v="Shoes"/>
    <x v="8"/>
    <s v="Tampa"/>
    <s v="Male"/>
    <n v="47"/>
    <n v="1"/>
    <n v="0"/>
    <s v="P184"/>
    <x v="2"/>
    <x v="2"/>
    <x v="2"/>
    <s v="Nike"/>
    <n v="4"/>
    <n v="240.8"/>
    <n v="139.88999999999999"/>
    <n v="1"/>
    <s v="Q1"/>
    <n v="2025"/>
    <x v="0"/>
    <n v="240.8"/>
    <n v="100.91000000000003"/>
  </r>
  <r>
    <s v="ORD00406"/>
    <d v="2025-07-08T00:00:00"/>
    <s v="C6945"/>
    <x v="405"/>
    <d v="2025-07-13T00:00:00"/>
    <x v="9"/>
    <x v="0"/>
    <s v="Skincare"/>
    <x v="17"/>
    <s v="Pittsburgh"/>
    <s v="Female"/>
    <n v="27"/>
    <n v="1"/>
    <n v="0"/>
    <s v="P829"/>
    <x v="2"/>
    <x v="1"/>
    <x v="0"/>
    <s v="Nivea"/>
    <n v="3"/>
    <n v="297.97000000000003"/>
    <n v="193.77"/>
    <n v="5"/>
    <s v="Q3"/>
    <n v="2025"/>
    <x v="4"/>
    <n v="297.97000000000003"/>
    <n v="104.20000000000002"/>
  </r>
  <r>
    <s v="ORD00407"/>
    <d v="2024-12-22T00:00:00"/>
    <s v="C8208"/>
    <x v="406"/>
    <d v="2024-12-23T00:00:00"/>
    <x v="6"/>
    <x v="5"/>
    <s v="Snacks"/>
    <x v="8"/>
    <s v="Tampa"/>
    <s v="Female"/>
    <n v="59"/>
    <n v="4"/>
    <n v="20"/>
    <s v="P378"/>
    <x v="0"/>
    <x v="4"/>
    <x v="2"/>
    <s v="Britannia"/>
    <n v="4"/>
    <n v="497.17"/>
    <n v="1326.17"/>
    <n v="1"/>
    <s v="Q4"/>
    <n v="2024"/>
    <x v="7"/>
    <n v="1590.9440000000002"/>
    <n v="264.77400000000011"/>
  </r>
  <r>
    <s v="ORD00408"/>
    <d v="2025-09-28T00:00:00"/>
    <s v="C6828"/>
    <x v="407"/>
    <d v="2025-10-03T00:00:00"/>
    <x v="9"/>
    <x v="0"/>
    <s v="Skincare"/>
    <x v="3"/>
    <s v="Austin"/>
    <s v="Female"/>
    <n v="39"/>
    <n v="3"/>
    <n v="10"/>
    <s v="P965"/>
    <x v="1"/>
    <x v="4"/>
    <x v="2"/>
    <s v="Nivea"/>
    <n v="5"/>
    <n v="20.37"/>
    <n v="37.86"/>
    <n v="5"/>
    <s v="Q3"/>
    <n v="2025"/>
    <x v="1"/>
    <n v="54.999000000000002"/>
    <n v="17.139000000000003"/>
  </r>
  <r>
    <s v="ORD00409"/>
    <d v="2025-10-29T00:00:00"/>
    <s v="C2854"/>
    <x v="408"/>
    <d v="2025-11-05T00:00:00"/>
    <x v="9"/>
    <x v="0"/>
    <s v="Skincare"/>
    <x v="2"/>
    <s v="Columbus"/>
    <s v="Female"/>
    <n v="32"/>
    <n v="1"/>
    <n v="10"/>
    <s v="P616"/>
    <x v="2"/>
    <x v="3"/>
    <x v="3"/>
    <s v="Nivea"/>
    <n v="1"/>
    <n v="566.73"/>
    <n v="317.60000000000002"/>
    <n v="7"/>
    <s v="Q4"/>
    <n v="2025"/>
    <x v="8"/>
    <n v="510.05700000000002"/>
    <n v="192.45699999999999"/>
  </r>
  <r>
    <s v="ORD00410"/>
    <d v="2024-12-03T00:00:00"/>
    <s v="C1160"/>
    <x v="409"/>
    <d v="2024-12-04T00:00:00"/>
    <x v="3"/>
    <x v="3"/>
    <s v="Kitchen"/>
    <x v="8"/>
    <s v="Orlando"/>
    <s v="Female"/>
    <n v="52"/>
    <n v="2"/>
    <n v="15"/>
    <s v="P105"/>
    <x v="2"/>
    <x v="3"/>
    <x v="3"/>
    <s v="Philips"/>
    <n v="2"/>
    <n v="607.12"/>
    <n v="806.7"/>
    <n v="1"/>
    <s v="Q4"/>
    <n v="2024"/>
    <x v="7"/>
    <n v="1032.104"/>
    <n v="225.404"/>
  </r>
  <r>
    <s v="ORD00411"/>
    <d v="2024-07-27T00:00:00"/>
    <s v="C1514"/>
    <x v="410"/>
    <d v="2024-07-28T00:00:00"/>
    <x v="6"/>
    <x v="5"/>
    <s v="Snacks"/>
    <x v="24"/>
    <s v="Salem"/>
    <s v="Female"/>
    <n v="61"/>
    <n v="3"/>
    <n v="30"/>
    <s v="P179"/>
    <x v="0"/>
    <x v="0"/>
    <x v="1"/>
    <s v="Britannia"/>
    <n v="2"/>
    <n v="476.8"/>
    <n v="721.64"/>
    <n v="1"/>
    <s v="Q3"/>
    <n v="2024"/>
    <x v="4"/>
    <n v="1001.28"/>
    <n v="279.64"/>
  </r>
  <r>
    <s v="ORD00412"/>
    <d v="2026-04-05T00:00:00"/>
    <s v="C9707"/>
    <x v="411"/>
    <d v="2026-04-09T00:00:00"/>
    <x v="4"/>
    <x v="4"/>
    <s v="Mobile"/>
    <x v="13"/>
    <s v="Atlanta"/>
    <s v="Female"/>
    <n v="60"/>
    <n v="3"/>
    <n v="25"/>
    <s v="P339"/>
    <x v="1"/>
    <x v="2"/>
    <x v="2"/>
    <s v="Samsung"/>
    <n v="1"/>
    <n v="588.16"/>
    <n v="1104.78"/>
    <n v="4"/>
    <s v="Q2"/>
    <n v="2026"/>
    <x v="3"/>
    <n v="1323.3600000000001"/>
    <n v="218.58000000000015"/>
  </r>
  <r>
    <s v="ORD00413"/>
    <d v="2026-05-20T00:00:00"/>
    <s v="C1319"/>
    <x v="412"/>
    <d v="2026-05-23T00:00:00"/>
    <x v="9"/>
    <x v="0"/>
    <s v="Skincare"/>
    <x v="18"/>
    <s v="Knoxville"/>
    <s v="Male"/>
    <n v="31"/>
    <n v="5"/>
    <n v="5"/>
    <s v="P168"/>
    <x v="0"/>
    <x v="4"/>
    <x v="3"/>
    <s v="Nivea"/>
    <n v="1"/>
    <n v="822.34"/>
    <n v="2244.29"/>
    <n v="3"/>
    <s v="Q2"/>
    <n v="2026"/>
    <x v="9"/>
    <n v="3906.1149999999998"/>
    <n v="1661.8249999999998"/>
  </r>
  <r>
    <s v="ORD00414"/>
    <d v="2025-11-21T00:00:00"/>
    <s v="C6708"/>
    <x v="413"/>
    <d v="2025-11-24T00:00:00"/>
    <x v="4"/>
    <x v="4"/>
    <s v="Mobile"/>
    <x v="15"/>
    <s v="Boulder"/>
    <s v="Male"/>
    <n v="23"/>
    <n v="2"/>
    <n v="5"/>
    <s v="P810"/>
    <x v="2"/>
    <x v="1"/>
    <x v="0"/>
    <s v="Samsung"/>
    <n v="4"/>
    <n v="782.61"/>
    <n v="1005.79"/>
    <n v="3"/>
    <s v="Q4"/>
    <n v="2025"/>
    <x v="10"/>
    <n v="1486.9590000000001"/>
    <n v="481.1690000000001"/>
  </r>
  <r>
    <s v="ORD00415"/>
    <d v="2025-11-26T00:00:00"/>
    <s v="C9116"/>
    <x v="414"/>
    <d v="2025-12-01T00:00:00"/>
    <x v="2"/>
    <x v="2"/>
    <s v="Fitness"/>
    <x v="4"/>
    <s v="Phoenix"/>
    <s v="Male"/>
    <n v="40"/>
    <n v="2"/>
    <n v="15"/>
    <s v="P906"/>
    <x v="1"/>
    <x v="2"/>
    <x v="1"/>
    <s v="Decathlon"/>
    <n v="2"/>
    <n v="724.2"/>
    <n v="976.17"/>
    <n v="5"/>
    <s v="Q4"/>
    <n v="2025"/>
    <x v="10"/>
    <n v="1231.1400000000001"/>
    <n v="254.97000000000014"/>
  </r>
  <r>
    <s v="ORD00416"/>
    <d v="2025-03-08T00:00:00"/>
    <s v="C7791"/>
    <x v="415"/>
    <d v="2025-03-15T00:00:00"/>
    <x v="3"/>
    <x v="3"/>
    <s v="Kitchen"/>
    <x v="15"/>
    <s v="Boulder"/>
    <s v="Male"/>
    <n v="38"/>
    <n v="2"/>
    <n v="5"/>
    <s v="P474"/>
    <x v="0"/>
    <x v="1"/>
    <x v="0"/>
    <s v="Philips"/>
    <n v="2"/>
    <n v="806.17"/>
    <n v="1171.28"/>
    <n v="7"/>
    <s v="Q1"/>
    <n v="2025"/>
    <x v="6"/>
    <n v="1531.723"/>
    <n v="360.44299999999998"/>
  </r>
  <r>
    <s v="ORD00417"/>
    <d v="2026-01-26T00:00:00"/>
    <s v="C3077"/>
    <x v="416"/>
    <d v="2026-01-31T00:00:00"/>
    <x v="8"/>
    <x v="1"/>
    <s v="Shoes"/>
    <x v="22"/>
    <s v="Springfield"/>
    <s v="Female"/>
    <n v="46"/>
    <n v="1"/>
    <n v="20"/>
    <s v="P292"/>
    <x v="2"/>
    <x v="3"/>
    <x v="3"/>
    <s v="Nike"/>
    <n v="2"/>
    <n v="701.76"/>
    <n v="361.39"/>
    <n v="5"/>
    <s v="Q1"/>
    <n v="2026"/>
    <x v="0"/>
    <n v="561.40800000000002"/>
    <n v="200.01800000000003"/>
  </r>
  <r>
    <s v="ORD00418"/>
    <d v="2025-10-22T00:00:00"/>
    <s v="C4631"/>
    <x v="417"/>
    <d v="2025-10-25T00:00:00"/>
    <x v="9"/>
    <x v="0"/>
    <s v="Skincare"/>
    <x v="3"/>
    <s v="San Antonio"/>
    <s v="Male"/>
    <n v="33"/>
    <n v="4"/>
    <n v="10"/>
    <s v="P990"/>
    <x v="1"/>
    <x v="0"/>
    <x v="3"/>
    <s v="Nivea"/>
    <n v="1"/>
    <n v="337.07"/>
    <n v="988.78"/>
    <n v="3"/>
    <s v="Q4"/>
    <n v="2025"/>
    <x v="8"/>
    <n v="1213.452"/>
    <n v="224.67200000000003"/>
  </r>
  <r>
    <s v="ORD00419"/>
    <d v="2025-11-03T00:00:00"/>
    <s v="C8790"/>
    <x v="418"/>
    <d v="2025-11-04T00:00:00"/>
    <x v="2"/>
    <x v="2"/>
    <s v="Fitness"/>
    <x v="15"/>
    <s v="Colorado Springs"/>
    <s v="Male"/>
    <n v="18"/>
    <n v="2"/>
    <n v="15"/>
    <s v="P568"/>
    <x v="1"/>
    <x v="0"/>
    <x v="2"/>
    <s v="Decathlon"/>
    <n v="1"/>
    <n v="897.94"/>
    <n v="1215.69"/>
    <n v="1"/>
    <s v="Q4"/>
    <n v="2025"/>
    <x v="10"/>
    <n v="1526.498"/>
    <n v="310.80799999999999"/>
  </r>
  <r>
    <s v="ORD00420"/>
    <d v="2025-09-09T00:00:00"/>
    <s v="C4330"/>
    <x v="419"/>
    <d v="2025-09-10T00:00:00"/>
    <x v="7"/>
    <x v="4"/>
    <s v="Laptop"/>
    <x v="13"/>
    <s v="Augusta"/>
    <s v="Male"/>
    <n v="27"/>
    <n v="1"/>
    <n v="5"/>
    <s v="P468"/>
    <x v="2"/>
    <x v="0"/>
    <x v="0"/>
    <s v="Dell"/>
    <n v="4"/>
    <n v="391.83"/>
    <n v="202.07"/>
    <n v="1"/>
    <s v="Q3"/>
    <n v="2025"/>
    <x v="1"/>
    <n v="372.23849999999999"/>
    <n v="170.16849999999999"/>
  </r>
  <r>
    <s v="ORD00421"/>
    <d v="2025-06-12T00:00:00"/>
    <s v="C7148"/>
    <x v="420"/>
    <d v="2025-06-13T00:00:00"/>
    <x v="2"/>
    <x v="2"/>
    <s v="Fitness"/>
    <x v="3"/>
    <s v="Houston"/>
    <s v="Male"/>
    <n v="43"/>
    <n v="3"/>
    <n v="15"/>
    <s v="P805"/>
    <x v="2"/>
    <x v="2"/>
    <x v="0"/>
    <s v="Decathlon"/>
    <n v="2"/>
    <n v="230.79"/>
    <n v="470.85"/>
    <n v="1"/>
    <s v="Q2"/>
    <n v="2025"/>
    <x v="2"/>
    <n v="588.5145"/>
    <n v="117.66449999999998"/>
  </r>
  <r>
    <s v="ORD00422"/>
    <d v="2024-07-07T00:00:00"/>
    <s v="C1040"/>
    <x v="421"/>
    <d v="2024-07-13T00:00:00"/>
    <x v="9"/>
    <x v="0"/>
    <s v="Skincare"/>
    <x v="11"/>
    <s v="Trenton"/>
    <s v="Male"/>
    <n v="58"/>
    <n v="5"/>
    <n v="20"/>
    <s v="P164"/>
    <x v="0"/>
    <x v="2"/>
    <x v="3"/>
    <s v="Nivea"/>
    <n v="2"/>
    <n v="162.41999999999999"/>
    <n v="436.26"/>
    <n v="6"/>
    <s v="Q3"/>
    <n v="2024"/>
    <x v="4"/>
    <n v="649.67999999999995"/>
    <n v="213.41999999999996"/>
  </r>
  <r>
    <s v="ORD00423"/>
    <d v="2024-08-21T00:00:00"/>
    <s v="C5003"/>
    <x v="422"/>
    <d v="2024-08-24T00:00:00"/>
    <x v="8"/>
    <x v="1"/>
    <s v="Shoes"/>
    <x v="1"/>
    <s v="San Francisco"/>
    <s v="Female"/>
    <n v="57"/>
    <n v="1"/>
    <n v="15"/>
    <s v="P959"/>
    <x v="0"/>
    <x v="2"/>
    <x v="0"/>
    <s v="Nike"/>
    <n v="2"/>
    <n v="245.51"/>
    <n v="152.71"/>
    <n v="3"/>
    <s v="Q3"/>
    <n v="2024"/>
    <x v="11"/>
    <n v="208.68349999999998"/>
    <n v="55.973499999999973"/>
  </r>
  <r>
    <s v="ORD00424"/>
    <d v="2025-10-20T00:00:00"/>
    <s v="C4117"/>
    <x v="423"/>
    <d v="2025-10-24T00:00:00"/>
    <x v="6"/>
    <x v="5"/>
    <s v="Snacks"/>
    <x v="7"/>
    <s v="Albany"/>
    <s v="Male"/>
    <n v="36"/>
    <n v="4"/>
    <n v="0"/>
    <s v="P123"/>
    <x v="2"/>
    <x v="0"/>
    <x v="3"/>
    <s v="Britannia"/>
    <n v="3"/>
    <n v="887.23"/>
    <n v="2471.46"/>
    <n v="4"/>
    <s v="Q4"/>
    <n v="2025"/>
    <x v="8"/>
    <n v="3548.92"/>
    <n v="1077.46"/>
  </r>
  <r>
    <s v="ORD00425"/>
    <d v="2024-09-24T00:00:00"/>
    <s v="C1822"/>
    <x v="424"/>
    <d v="2024-09-25T00:00:00"/>
    <x v="9"/>
    <x v="0"/>
    <s v="Skincare"/>
    <x v="17"/>
    <s v="Philadelphia"/>
    <s v="Female"/>
    <n v="61"/>
    <n v="4"/>
    <n v="10"/>
    <s v="P906"/>
    <x v="1"/>
    <x v="0"/>
    <x v="1"/>
    <s v="Nivea"/>
    <n v="2"/>
    <n v="876.3"/>
    <n v="2659.66"/>
    <n v="1"/>
    <s v="Q3"/>
    <n v="2024"/>
    <x v="1"/>
    <n v="3154.68"/>
    <n v="495.02"/>
  </r>
  <r>
    <s v="ORD00426"/>
    <d v="2024-11-07T00:00:00"/>
    <s v="C1887"/>
    <x v="425"/>
    <d v="2024-11-09T00:00:00"/>
    <x v="2"/>
    <x v="2"/>
    <s v="Fitness"/>
    <x v="3"/>
    <s v="San Antonio"/>
    <s v="Female"/>
    <n v="18"/>
    <n v="3"/>
    <n v="15"/>
    <s v="P385"/>
    <x v="1"/>
    <x v="4"/>
    <x v="1"/>
    <s v="Decathlon"/>
    <n v="2"/>
    <n v="783.39"/>
    <n v="1553.16"/>
    <n v="2"/>
    <s v="Q4"/>
    <n v="2024"/>
    <x v="10"/>
    <n v="1997.6445000000001"/>
    <n v="444.48450000000003"/>
  </r>
  <r>
    <s v="ORD00427"/>
    <d v="2024-07-01T00:00:00"/>
    <s v="C3982"/>
    <x v="426"/>
    <d v="2024-07-05T00:00:00"/>
    <x v="5"/>
    <x v="3"/>
    <s v="Furniture"/>
    <x v="17"/>
    <s v="Allentown"/>
    <s v="Female"/>
    <n v="52"/>
    <n v="1"/>
    <n v="25"/>
    <s v="P496"/>
    <x v="2"/>
    <x v="2"/>
    <x v="3"/>
    <s v="IKEA"/>
    <n v="5"/>
    <n v="614.20000000000005"/>
    <n v="362.01"/>
    <n v="4"/>
    <s v="Q3"/>
    <n v="2024"/>
    <x v="4"/>
    <n v="460.65000000000003"/>
    <n v="98.640000000000043"/>
  </r>
  <r>
    <s v="ORD00428"/>
    <d v="2026-05-14T00:00:00"/>
    <s v="C4183"/>
    <x v="427"/>
    <d v="2026-05-16T00:00:00"/>
    <x v="6"/>
    <x v="5"/>
    <s v="Snacks"/>
    <x v="20"/>
    <s v="Virginia Beach"/>
    <s v="Male"/>
    <n v="26"/>
    <n v="3"/>
    <n v="15"/>
    <s v="P531"/>
    <x v="0"/>
    <x v="1"/>
    <x v="1"/>
    <s v="Britannia"/>
    <n v="1"/>
    <n v="219.3"/>
    <n v="315.64"/>
    <n v="2"/>
    <s v="Q2"/>
    <n v="2026"/>
    <x v="9"/>
    <n v="559.21500000000003"/>
    <n v="243.57500000000005"/>
  </r>
  <r>
    <s v="ORD00429"/>
    <d v="2025-04-26T00:00:00"/>
    <s v="C7028"/>
    <x v="428"/>
    <d v="2025-04-27T00:00:00"/>
    <x v="5"/>
    <x v="3"/>
    <s v="Furniture"/>
    <x v="23"/>
    <s v="Rochester"/>
    <s v="Female"/>
    <n v="19"/>
    <n v="3"/>
    <n v="20"/>
    <s v="P999"/>
    <x v="1"/>
    <x v="1"/>
    <x v="3"/>
    <s v="IKEA"/>
    <n v="4"/>
    <n v="474.2"/>
    <n v="714.49"/>
    <n v="1"/>
    <s v="Q2"/>
    <n v="2025"/>
    <x v="3"/>
    <n v="1138.08"/>
    <n v="423.58999999999992"/>
  </r>
  <r>
    <s v="ORD00430"/>
    <d v="2024-11-05T00:00:00"/>
    <s v="C4079"/>
    <x v="429"/>
    <d v="2024-11-12T00:00:00"/>
    <x v="8"/>
    <x v="1"/>
    <s v="Shoes"/>
    <x v="11"/>
    <s v="Trenton"/>
    <s v="Male"/>
    <n v="54"/>
    <n v="4"/>
    <n v="0"/>
    <s v="P236"/>
    <x v="1"/>
    <x v="0"/>
    <x v="2"/>
    <s v="Nike"/>
    <n v="2"/>
    <n v="498.65"/>
    <n v="1635.96"/>
    <n v="7"/>
    <s v="Q4"/>
    <n v="2024"/>
    <x v="10"/>
    <n v="1994.6"/>
    <n v="358.63999999999987"/>
  </r>
  <r>
    <s v="ORD00431"/>
    <d v="2026-04-28T00:00:00"/>
    <s v="C1355"/>
    <x v="430"/>
    <d v="2026-05-05T00:00:00"/>
    <x v="5"/>
    <x v="3"/>
    <s v="Furniture"/>
    <x v="13"/>
    <s v="Savannah"/>
    <s v="Male"/>
    <n v="28"/>
    <n v="1"/>
    <n v="25"/>
    <s v="P950"/>
    <x v="0"/>
    <x v="1"/>
    <x v="1"/>
    <s v="IKEA"/>
    <n v="2"/>
    <n v="40.69"/>
    <n v="16.3"/>
    <n v="7"/>
    <s v="Q2"/>
    <n v="2026"/>
    <x v="3"/>
    <n v="30.517499999999998"/>
    <n v="14.217499999999998"/>
  </r>
  <r>
    <s v="ORD00432"/>
    <d v="2025-05-16T00:00:00"/>
    <s v="C2316"/>
    <x v="431"/>
    <d v="2025-05-17T00:00:00"/>
    <x v="8"/>
    <x v="1"/>
    <s v="Shoes"/>
    <x v="11"/>
    <s v="Jersey City"/>
    <s v="Male"/>
    <n v="55"/>
    <n v="1"/>
    <n v="15"/>
    <s v="P891"/>
    <x v="0"/>
    <x v="3"/>
    <x v="0"/>
    <s v="Nike"/>
    <n v="4"/>
    <n v="869.03"/>
    <n v="555.48"/>
    <n v="1"/>
    <s v="Q2"/>
    <n v="2025"/>
    <x v="9"/>
    <n v="738.67549999999994"/>
    <n v="183.19549999999992"/>
  </r>
  <r>
    <s v="ORD00433"/>
    <d v="2025-07-12T00:00:00"/>
    <s v="C7226"/>
    <x v="432"/>
    <d v="2025-07-14T00:00:00"/>
    <x v="1"/>
    <x v="1"/>
    <s v="Shirt"/>
    <x v="1"/>
    <s v="Sacramento"/>
    <s v="Male"/>
    <n v="38"/>
    <n v="5"/>
    <n v="15"/>
    <s v="P786"/>
    <x v="1"/>
    <x v="4"/>
    <x v="1"/>
    <s v="Puma"/>
    <n v="4"/>
    <n v="578.84"/>
    <n v="1304.22"/>
    <n v="2"/>
    <s v="Q3"/>
    <n v="2025"/>
    <x v="4"/>
    <n v="2460.0700000000002"/>
    <n v="1155.8500000000001"/>
  </r>
  <r>
    <s v="ORD00434"/>
    <d v="2024-05-27T00:00:00"/>
    <s v="C1564"/>
    <x v="433"/>
    <d v="2024-06-03T00:00:00"/>
    <x v="5"/>
    <x v="3"/>
    <s v="Furniture"/>
    <x v="10"/>
    <s v="Green Bay"/>
    <s v="Male"/>
    <n v="23"/>
    <n v="1"/>
    <n v="30"/>
    <s v="P853"/>
    <x v="0"/>
    <x v="0"/>
    <x v="1"/>
    <s v="IKEA"/>
    <n v="1"/>
    <n v="380.8"/>
    <n v="185.69"/>
    <n v="7"/>
    <s v="Q2"/>
    <n v="2024"/>
    <x v="9"/>
    <n v="266.56"/>
    <n v="80.87"/>
  </r>
  <r>
    <s v="ORD00435"/>
    <d v="2024-10-19T00:00:00"/>
    <s v="C8259"/>
    <x v="434"/>
    <d v="2024-10-22T00:00:00"/>
    <x v="3"/>
    <x v="3"/>
    <s v="Kitchen"/>
    <x v="12"/>
    <s v="Detroit"/>
    <s v="Male"/>
    <n v="53"/>
    <n v="1"/>
    <n v="20"/>
    <s v="P456"/>
    <x v="2"/>
    <x v="2"/>
    <x v="2"/>
    <s v="Philips"/>
    <n v="4"/>
    <n v="398.1"/>
    <n v="254.8"/>
    <n v="3"/>
    <s v="Q4"/>
    <n v="2024"/>
    <x v="8"/>
    <n v="318.48"/>
    <n v="63.680000000000007"/>
  </r>
  <r>
    <s v="ORD00436"/>
    <d v="2025-12-01T00:00:00"/>
    <s v="C9089"/>
    <x v="435"/>
    <d v="2025-12-04T00:00:00"/>
    <x v="4"/>
    <x v="4"/>
    <s v="Mobile"/>
    <x v="22"/>
    <s v="Springfield"/>
    <s v="Male"/>
    <n v="47"/>
    <n v="4"/>
    <n v="5"/>
    <s v="P104"/>
    <x v="0"/>
    <x v="1"/>
    <x v="2"/>
    <s v="Samsung"/>
    <n v="5"/>
    <n v="41.19"/>
    <n v="80.72"/>
    <n v="3"/>
    <s v="Q4"/>
    <n v="2025"/>
    <x v="7"/>
    <n v="156.52199999999999"/>
    <n v="75.801999999999992"/>
  </r>
  <r>
    <s v="ORD00437"/>
    <d v="2024-08-22T00:00:00"/>
    <s v="C7826"/>
    <x v="436"/>
    <d v="2024-08-23T00:00:00"/>
    <x v="2"/>
    <x v="2"/>
    <s v="Fitness"/>
    <x v="2"/>
    <s v="Columbus"/>
    <s v="Female"/>
    <n v="59"/>
    <n v="5"/>
    <n v="10"/>
    <s v="P894"/>
    <x v="2"/>
    <x v="1"/>
    <x v="0"/>
    <s v="Decathlon"/>
    <n v="1"/>
    <n v="400.22"/>
    <n v="1163.0899999999999"/>
    <n v="1"/>
    <s v="Q3"/>
    <n v="2024"/>
    <x v="11"/>
    <n v="1800.9900000000002"/>
    <n v="637.90000000000032"/>
  </r>
  <r>
    <s v="ORD00438"/>
    <d v="2025-07-18T00:00:00"/>
    <s v="C9660"/>
    <x v="437"/>
    <d v="2025-07-20T00:00:00"/>
    <x v="8"/>
    <x v="1"/>
    <s v="Shoes"/>
    <x v="24"/>
    <s v="Salem"/>
    <s v="Male"/>
    <n v="31"/>
    <n v="4"/>
    <n v="5"/>
    <s v="P251"/>
    <x v="1"/>
    <x v="1"/>
    <x v="1"/>
    <s v="Nike"/>
    <n v="1"/>
    <n v="388.01"/>
    <n v="1221.3"/>
    <n v="2"/>
    <s v="Q3"/>
    <n v="2025"/>
    <x v="4"/>
    <n v="1474.4379999999999"/>
    <n v="253.13799999999992"/>
  </r>
  <r>
    <s v="ORD00439"/>
    <d v="2026-02-26T00:00:00"/>
    <s v="C4384"/>
    <x v="438"/>
    <d v="2026-03-04T00:00:00"/>
    <x v="6"/>
    <x v="5"/>
    <s v="Snacks"/>
    <x v="8"/>
    <s v="Tampa"/>
    <s v="Male"/>
    <n v="28"/>
    <n v="2"/>
    <n v="15"/>
    <s v="P280"/>
    <x v="1"/>
    <x v="4"/>
    <x v="0"/>
    <s v="Britannia"/>
    <n v="4"/>
    <n v="237.05"/>
    <n v="213.98"/>
    <n v="6"/>
    <s v="Q1"/>
    <n v="2026"/>
    <x v="5"/>
    <n v="402.98500000000001"/>
    <n v="189.00500000000002"/>
  </r>
  <r>
    <s v="ORD00440"/>
    <d v="2025-08-29T00:00:00"/>
    <s v="C7706"/>
    <x v="439"/>
    <d v="2025-09-04T00:00:00"/>
    <x v="2"/>
    <x v="2"/>
    <s v="Fitness"/>
    <x v="2"/>
    <s v="Columbus"/>
    <s v="Female"/>
    <n v="44"/>
    <n v="4"/>
    <n v="30"/>
    <s v="P166"/>
    <x v="0"/>
    <x v="4"/>
    <x v="1"/>
    <s v="Decathlon"/>
    <n v="3"/>
    <n v="715.42"/>
    <n v="1163.4100000000001"/>
    <n v="6"/>
    <s v="Q3"/>
    <n v="2025"/>
    <x v="11"/>
    <n v="2003.1759999999997"/>
    <n v="839.76599999999962"/>
  </r>
  <r>
    <s v="ORD00441"/>
    <d v="2025-10-25T00:00:00"/>
    <s v="C2174"/>
    <x v="440"/>
    <d v="2025-10-31T00:00:00"/>
    <x v="3"/>
    <x v="3"/>
    <s v="Kitchen"/>
    <x v="24"/>
    <s v="Portland"/>
    <s v="Female"/>
    <n v="51"/>
    <n v="2"/>
    <n v="5"/>
    <s v="P875"/>
    <x v="2"/>
    <x v="4"/>
    <x v="0"/>
    <s v="Philips"/>
    <n v="1"/>
    <n v="547.72"/>
    <n v="524.76"/>
    <n v="6"/>
    <s v="Q4"/>
    <n v="2025"/>
    <x v="8"/>
    <n v="1040.6679999999999"/>
    <n v="515.9079999999999"/>
  </r>
  <r>
    <s v="ORD00442"/>
    <d v="2025-01-19T00:00:00"/>
    <s v="C6827"/>
    <x v="441"/>
    <d v="2025-01-22T00:00:00"/>
    <x v="9"/>
    <x v="0"/>
    <s v="Skincare"/>
    <x v="11"/>
    <s v="Newark"/>
    <s v="Male"/>
    <n v="18"/>
    <n v="2"/>
    <n v="15"/>
    <s v="P718"/>
    <x v="1"/>
    <x v="4"/>
    <x v="3"/>
    <s v="Nivea"/>
    <n v="5"/>
    <n v="706.08"/>
    <n v="781.81"/>
    <n v="3"/>
    <s v="Q1"/>
    <n v="2025"/>
    <x v="0"/>
    <n v="1200.336"/>
    <n v="418.52600000000007"/>
  </r>
  <r>
    <s v="ORD00443"/>
    <d v="2024-12-29T00:00:00"/>
    <s v="C4743"/>
    <x v="442"/>
    <d v="2025-01-04T00:00:00"/>
    <x v="1"/>
    <x v="1"/>
    <s v="Shirt"/>
    <x v="18"/>
    <s v="Nashville"/>
    <s v="Female"/>
    <n v="57"/>
    <n v="3"/>
    <n v="20"/>
    <s v="P445"/>
    <x v="1"/>
    <x v="4"/>
    <x v="2"/>
    <s v="Puma"/>
    <n v="5"/>
    <n v="96.99"/>
    <n v="186.86"/>
    <n v="6"/>
    <s v="Q4"/>
    <n v="2024"/>
    <x v="7"/>
    <n v="232.77599999999998"/>
    <n v="45.915999999999968"/>
  </r>
  <r>
    <s v="ORD00444"/>
    <d v="2024-06-27T00:00:00"/>
    <s v="C8928"/>
    <x v="443"/>
    <d v="2024-07-02T00:00:00"/>
    <x v="7"/>
    <x v="4"/>
    <s v="Laptop"/>
    <x v="12"/>
    <s v="Lansing"/>
    <s v="Female"/>
    <n v="39"/>
    <n v="2"/>
    <n v="10"/>
    <s v="P709"/>
    <x v="1"/>
    <x v="0"/>
    <x v="2"/>
    <s v="Dell"/>
    <n v="4"/>
    <n v="752.46"/>
    <n v="750.65"/>
    <n v="5"/>
    <s v="Q2"/>
    <n v="2024"/>
    <x v="2"/>
    <n v="1354.4280000000001"/>
    <n v="603.77800000000013"/>
  </r>
  <r>
    <s v="ORD00445"/>
    <d v="2026-02-14T00:00:00"/>
    <s v="C2193"/>
    <x v="444"/>
    <d v="2026-02-15T00:00:00"/>
    <x v="6"/>
    <x v="5"/>
    <s v="Snacks"/>
    <x v="3"/>
    <s v="Houston"/>
    <s v="Female"/>
    <n v="33"/>
    <n v="2"/>
    <n v="5"/>
    <s v="P671"/>
    <x v="1"/>
    <x v="4"/>
    <x v="3"/>
    <s v="Britannia"/>
    <n v="5"/>
    <n v="256.10000000000002"/>
    <n v="413.02"/>
    <n v="1"/>
    <s v="Q1"/>
    <n v="2026"/>
    <x v="5"/>
    <n v="486.59000000000003"/>
    <n v="73.57000000000005"/>
  </r>
  <r>
    <s v="ORD00446"/>
    <d v="2025-01-17T00:00:00"/>
    <s v="C7864"/>
    <x v="445"/>
    <d v="2025-01-20T00:00:00"/>
    <x v="9"/>
    <x v="0"/>
    <s v="Skincare"/>
    <x v="9"/>
    <s v="Mobile"/>
    <s v="Male"/>
    <n v="42"/>
    <n v="3"/>
    <n v="30"/>
    <s v="P617"/>
    <x v="0"/>
    <x v="4"/>
    <x v="3"/>
    <s v="Nivea"/>
    <n v="3"/>
    <n v="430.63"/>
    <n v="670.52"/>
    <n v="3"/>
    <s v="Q1"/>
    <n v="2025"/>
    <x v="0"/>
    <n v="904.32299999999987"/>
    <n v="233.80299999999988"/>
  </r>
  <r>
    <s v="ORD00447"/>
    <d v="2025-10-08T00:00:00"/>
    <s v="C9603"/>
    <x v="446"/>
    <d v="2025-10-14T00:00:00"/>
    <x v="9"/>
    <x v="0"/>
    <s v="Skincare"/>
    <x v="17"/>
    <s v="Pittsburgh"/>
    <s v="Male"/>
    <n v="49"/>
    <n v="2"/>
    <n v="25"/>
    <s v="P372"/>
    <x v="1"/>
    <x v="0"/>
    <x v="2"/>
    <s v="Nivea"/>
    <n v="5"/>
    <n v="646.66999999999996"/>
    <n v="720.77"/>
    <n v="6"/>
    <s v="Q4"/>
    <n v="2025"/>
    <x v="8"/>
    <n v="970.00499999999988"/>
    <n v="249.2349999999999"/>
  </r>
  <r>
    <s v="ORD00448"/>
    <d v="2026-02-19T00:00:00"/>
    <s v="C9565"/>
    <x v="447"/>
    <d v="2026-02-22T00:00:00"/>
    <x v="6"/>
    <x v="5"/>
    <s v="Snacks"/>
    <x v="6"/>
    <s v="Greensboro"/>
    <s v="Male"/>
    <n v="51"/>
    <n v="3"/>
    <n v="15"/>
    <s v="P568"/>
    <x v="1"/>
    <x v="4"/>
    <x v="1"/>
    <s v="Britannia"/>
    <n v="1"/>
    <n v="757.07"/>
    <n v="1626.13"/>
    <n v="3"/>
    <s v="Q1"/>
    <n v="2026"/>
    <x v="5"/>
    <n v="1930.5284999999999"/>
    <n v="304.39849999999979"/>
  </r>
  <r>
    <s v="ORD00449"/>
    <d v="2024-05-16T00:00:00"/>
    <s v="C3034"/>
    <x v="448"/>
    <d v="2024-05-19T00:00:00"/>
    <x v="6"/>
    <x v="5"/>
    <s v="Snacks"/>
    <x v="4"/>
    <s v="Mesa"/>
    <s v="Male"/>
    <n v="52"/>
    <n v="2"/>
    <n v="25"/>
    <s v="P355"/>
    <x v="1"/>
    <x v="1"/>
    <x v="1"/>
    <s v="Britannia"/>
    <n v="1"/>
    <n v="420.6"/>
    <n v="415.71"/>
    <n v="3"/>
    <s v="Q2"/>
    <n v="2024"/>
    <x v="9"/>
    <n v="630.90000000000009"/>
    <n v="215.19000000000011"/>
  </r>
  <r>
    <s v="ORD00450"/>
    <d v="2024-02-28T00:00:00"/>
    <s v="C6387"/>
    <x v="449"/>
    <d v="2024-03-04T00:00:00"/>
    <x v="2"/>
    <x v="2"/>
    <s v="Fitness"/>
    <x v="22"/>
    <s v="Naperville"/>
    <s v="Male"/>
    <n v="45"/>
    <n v="1"/>
    <n v="30"/>
    <s v="P835"/>
    <x v="0"/>
    <x v="0"/>
    <x v="2"/>
    <s v="Decathlon"/>
    <n v="2"/>
    <n v="339.11"/>
    <n v="171.83"/>
    <n v="5"/>
    <s v="Q1"/>
    <n v="2024"/>
    <x v="5"/>
    <n v="237.37699999999998"/>
    <n v="65.546999999999969"/>
  </r>
  <r>
    <s v="ORD00451"/>
    <d v="2025-04-14T00:00:00"/>
    <s v="C7512"/>
    <x v="450"/>
    <d v="2025-04-17T00:00:00"/>
    <x v="2"/>
    <x v="2"/>
    <s v="Fitness"/>
    <x v="13"/>
    <s v="Augusta"/>
    <s v="Male"/>
    <n v="37"/>
    <n v="2"/>
    <n v="15"/>
    <s v="P113"/>
    <x v="1"/>
    <x v="3"/>
    <x v="1"/>
    <s v="Decathlon"/>
    <n v="1"/>
    <n v="497.2"/>
    <n v="674.38"/>
    <n v="3"/>
    <s v="Q2"/>
    <n v="2025"/>
    <x v="3"/>
    <n v="845.24"/>
    <n v="170.86"/>
  </r>
  <r>
    <s v="ORD00452"/>
    <d v="2025-11-01T00:00:00"/>
    <s v="C2865"/>
    <x v="451"/>
    <d v="2025-11-05T00:00:00"/>
    <x v="2"/>
    <x v="2"/>
    <s v="Fitness"/>
    <x v="17"/>
    <s v="Pittsburgh"/>
    <s v="Male"/>
    <n v="29"/>
    <n v="2"/>
    <n v="10"/>
    <s v="P180"/>
    <x v="2"/>
    <x v="4"/>
    <x v="0"/>
    <s v="Decathlon"/>
    <n v="4"/>
    <n v="505.63"/>
    <n v="757.56"/>
    <n v="4"/>
    <s v="Q4"/>
    <n v="2025"/>
    <x v="10"/>
    <n v="910.13400000000001"/>
    <n v="152.57400000000007"/>
  </r>
  <r>
    <s v="ORD00453"/>
    <d v="2025-08-27T00:00:00"/>
    <s v="C4332"/>
    <x v="452"/>
    <d v="2025-08-30T00:00:00"/>
    <x v="3"/>
    <x v="3"/>
    <s v="Kitchen"/>
    <x v="5"/>
    <s v="Indianapolis"/>
    <s v="Male"/>
    <n v="18"/>
    <n v="1"/>
    <n v="10"/>
    <s v="P703"/>
    <x v="0"/>
    <x v="0"/>
    <x v="0"/>
    <s v="Philips"/>
    <n v="3"/>
    <n v="735.22"/>
    <n v="410.44"/>
    <n v="3"/>
    <s v="Q3"/>
    <n v="2025"/>
    <x v="11"/>
    <n v="661.69800000000009"/>
    <n v="251.2580000000001"/>
  </r>
  <r>
    <s v="ORD00454"/>
    <d v="2024-08-15T00:00:00"/>
    <s v="C3385"/>
    <x v="453"/>
    <d v="2024-08-21T00:00:00"/>
    <x v="3"/>
    <x v="3"/>
    <s v="Kitchen"/>
    <x v="8"/>
    <s v="Tampa"/>
    <s v="Female"/>
    <n v="65"/>
    <n v="3"/>
    <n v="5"/>
    <s v="P721"/>
    <x v="0"/>
    <x v="0"/>
    <x v="2"/>
    <s v="Philips"/>
    <n v="4"/>
    <n v="527.65"/>
    <n v="1144.55"/>
    <n v="6"/>
    <s v="Q3"/>
    <n v="2024"/>
    <x v="11"/>
    <n v="1503.8024999999998"/>
    <n v="359.25249999999983"/>
  </r>
  <r>
    <s v="ORD00455"/>
    <d v="2026-01-19T00:00:00"/>
    <s v="C8351"/>
    <x v="454"/>
    <d v="2026-01-21T00:00:00"/>
    <x v="9"/>
    <x v="0"/>
    <s v="Skincare"/>
    <x v="12"/>
    <s v="Lansing"/>
    <s v="Female"/>
    <n v="28"/>
    <n v="1"/>
    <n v="20"/>
    <s v="P641"/>
    <x v="1"/>
    <x v="4"/>
    <x v="3"/>
    <s v="Nivea"/>
    <n v="2"/>
    <n v="855.81"/>
    <n v="567.19000000000005"/>
    <n v="2"/>
    <s v="Q1"/>
    <n v="2026"/>
    <x v="0"/>
    <n v="684.64800000000002"/>
    <n v="117.45799999999997"/>
  </r>
  <r>
    <s v="ORD00456"/>
    <d v="2024-07-19T00:00:00"/>
    <s v="C6471"/>
    <x v="455"/>
    <d v="2024-07-25T00:00:00"/>
    <x v="6"/>
    <x v="5"/>
    <s v="Snacks"/>
    <x v="13"/>
    <s v="Savannah"/>
    <s v="Male"/>
    <n v="34"/>
    <n v="3"/>
    <n v="30"/>
    <s v="P739"/>
    <x v="1"/>
    <x v="1"/>
    <x v="3"/>
    <s v="Britannia"/>
    <n v="5"/>
    <n v="393.03"/>
    <n v="582.88"/>
    <n v="6"/>
    <s v="Q3"/>
    <n v="2024"/>
    <x v="4"/>
    <n v="825.36299999999994"/>
    <n v="242.48299999999995"/>
  </r>
  <r>
    <s v="ORD00457"/>
    <d v="2024-02-15T00:00:00"/>
    <s v="C2655"/>
    <x v="456"/>
    <d v="2024-02-19T00:00:00"/>
    <x v="2"/>
    <x v="2"/>
    <s v="Fitness"/>
    <x v="13"/>
    <s v="Atlanta"/>
    <s v="Male"/>
    <n v="51"/>
    <n v="1"/>
    <n v="30"/>
    <s v="P748"/>
    <x v="1"/>
    <x v="4"/>
    <x v="3"/>
    <s v="Decathlon"/>
    <n v="5"/>
    <n v="315.14"/>
    <n v="183.4"/>
    <n v="4"/>
    <s v="Q1"/>
    <n v="2024"/>
    <x v="5"/>
    <n v="220.59799999999998"/>
    <n v="37.197999999999979"/>
  </r>
  <r>
    <s v="ORD00458"/>
    <d v="2024-04-14T00:00:00"/>
    <s v="C6266"/>
    <x v="457"/>
    <d v="2024-04-17T00:00:00"/>
    <x v="7"/>
    <x v="4"/>
    <s v="Laptop"/>
    <x v="1"/>
    <s v="San Diego"/>
    <s v="Female"/>
    <n v="50"/>
    <n v="1"/>
    <n v="15"/>
    <s v="P505"/>
    <x v="1"/>
    <x v="0"/>
    <x v="1"/>
    <s v="Dell"/>
    <n v="4"/>
    <n v="122.66"/>
    <n v="70.790000000000006"/>
    <n v="3"/>
    <s v="Q2"/>
    <n v="2024"/>
    <x v="3"/>
    <n v="104.261"/>
    <n v="33.470999999999989"/>
  </r>
  <r>
    <s v="ORD00459"/>
    <d v="2025-04-08T00:00:00"/>
    <s v="C4698"/>
    <x v="458"/>
    <d v="2025-04-12T00:00:00"/>
    <x v="3"/>
    <x v="3"/>
    <s v="Kitchen"/>
    <x v="5"/>
    <s v="Evansville"/>
    <s v="Female"/>
    <n v="31"/>
    <n v="5"/>
    <n v="30"/>
    <s v="P700"/>
    <x v="0"/>
    <x v="1"/>
    <x v="1"/>
    <s v="Philips"/>
    <n v="4"/>
    <n v="848.44"/>
    <n v="2269.38"/>
    <n v="4"/>
    <s v="Q2"/>
    <n v="2025"/>
    <x v="3"/>
    <n v="2969.5400000000004"/>
    <n v="700.16000000000031"/>
  </r>
  <r>
    <s v="ORD00460"/>
    <d v="2024-03-08T00:00:00"/>
    <s v="C4297"/>
    <x v="459"/>
    <d v="2024-03-15T00:00:00"/>
    <x v="9"/>
    <x v="0"/>
    <s v="Skincare"/>
    <x v="8"/>
    <s v="Miami"/>
    <s v="Female"/>
    <n v="21"/>
    <n v="3"/>
    <n v="25"/>
    <s v="P590"/>
    <x v="1"/>
    <x v="3"/>
    <x v="3"/>
    <s v="Nivea"/>
    <n v="2"/>
    <n v="257.37"/>
    <n v="403.05"/>
    <n v="7"/>
    <s v="Q1"/>
    <n v="2024"/>
    <x v="6"/>
    <n v="579.08249999999998"/>
    <n v="176.03249999999997"/>
  </r>
  <r>
    <s v="ORD00461"/>
    <d v="2024-08-29T00:00:00"/>
    <s v="C6353"/>
    <x v="460"/>
    <d v="2024-09-04T00:00:00"/>
    <x v="6"/>
    <x v="5"/>
    <s v="Snacks"/>
    <x v="9"/>
    <s v="Birmingham"/>
    <s v="Female"/>
    <n v="43"/>
    <n v="3"/>
    <n v="5"/>
    <s v="P312"/>
    <x v="0"/>
    <x v="3"/>
    <x v="3"/>
    <s v="Britannia"/>
    <n v="3"/>
    <n v="913.04"/>
    <n v="1778.64"/>
    <n v="6"/>
    <s v="Q3"/>
    <n v="2024"/>
    <x v="11"/>
    <n v="2602.1639999999998"/>
    <n v="823.52399999999966"/>
  </r>
  <r>
    <s v="ORD00462"/>
    <d v="2025-02-26T00:00:00"/>
    <s v="C4430"/>
    <x v="461"/>
    <d v="2025-03-02T00:00:00"/>
    <x v="2"/>
    <x v="2"/>
    <s v="Fitness"/>
    <x v="16"/>
    <s v="Spokane"/>
    <s v="Male"/>
    <n v="34"/>
    <n v="1"/>
    <n v="10"/>
    <s v="P307"/>
    <x v="0"/>
    <x v="0"/>
    <x v="3"/>
    <s v="Decathlon"/>
    <n v="1"/>
    <n v="154.31"/>
    <n v="75.88"/>
    <n v="4"/>
    <s v="Q1"/>
    <n v="2025"/>
    <x v="5"/>
    <n v="138.87900000000002"/>
    <n v="62.999000000000024"/>
  </r>
  <r>
    <s v="ORD00463"/>
    <d v="2025-10-16T00:00:00"/>
    <s v="C1662"/>
    <x v="462"/>
    <d v="2025-10-17T00:00:00"/>
    <x v="4"/>
    <x v="4"/>
    <s v="Mobile"/>
    <x v="8"/>
    <s v="Jacksonville"/>
    <s v="Male"/>
    <n v="47"/>
    <n v="2"/>
    <n v="30"/>
    <s v="P877"/>
    <x v="1"/>
    <x v="2"/>
    <x v="1"/>
    <s v="Samsung"/>
    <n v="3"/>
    <n v="232.46"/>
    <n v="213.6"/>
    <n v="1"/>
    <s v="Q4"/>
    <n v="2025"/>
    <x v="8"/>
    <n v="325.44400000000002"/>
    <n v="111.84400000000002"/>
  </r>
  <r>
    <s v="ORD00464"/>
    <d v="2024-11-18T00:00:00"/>
    <s v="C4279"/>
    <x v="463"/>
    <d v="2024-11-19T00:00:00"/>
    <x v="2"/>
    <x v="2"/>
    <s v="Fitness"/>
    <x v="3"/>
    <s v="Dallas"/>
    <s v="Male"/>
    <n v="39"/>
    <n v="2"/>
    <n v="10"/>
    <s v="P743"/>
    <x v="0"/>
    <x v="3"/>
    <x v="1"/>
    <s v="Decathlon"/>
    <n v="4"/>
    <n v="839.88"/>
    <n v="1026.07"/>
    <n v="1"/>
    <s v="Q4"/>
    <n v="2024"/>
    <x v="10"/>
    <n v="1511.7840000000001"/>
    <n v="485.71400000000017"/>
  </r>
  <r>
    <s v="ORD00465"/>
    <d v="2024-08-27T00:00:00"/>
    <s v="C7024"/>
    <x v="464"/>
    <d v="2024-08-29T00:00:00"/>
    <x v="4"/>
    <x v="4"/>
    <s v="Mobile"/>
    <x v="21"/>
    <s v="Greenville"/>
    <s v="Female"/>
    <n v="36"/>
    <n v="2"/>
    <n v="30"/>
    <s v="P669"/>
    <x v="2"/>
    <x v="2"/>
    <x v="1"/>
    <s v="Samsung"/>
    <n v="4"/>
    <n v="216.48"/>
    <n v="184.21"/>
    <n v="2"/>
    <s v="Q3"/>
    <n v="2024"/>
    <x v="11"/>
    <n v="303.07199999999995"/>
    <n v="118.86199999999994"/>
  </r>
  <r>
    <s v="ORD00466"/>
    <d v="2024-12-09T00:00:00"/>
    <s v="C6627"/>
    <x v="465"/>
    <d v="2024-12-14T00:00:00"/>
    <x v="6"/>
    <x v="5"/>
    <s v="Snacks"/>
    <x v="17"/>
    <s v="Allentown"/>
    <s v="Male"/>
    <n v="30"/>
    <n v="5"/>
    <n v="25"/>
    <s v="P704"/>
    <x v="2"/>
    <x v="0"/>
    <x v="2"/>
    <s v="Britannia"/>
    <n v="4"/>
    <n v="471.63"/>
    <n v="894.85"/>
    <n v="5"/>
    <s v="Q4"/>
    <n v="2024"/>
    <x v="7"/>
    <n v="1768.6125000000002"/>
    <n v="873.76250000000016"/>
  </r>
  <r>
    <s v="ORD00467"/>
    <d v="2025-10-06T00:00:00"/>
    <s v="C3607"/>
    <x v="466"/>
    <d v="2025-10-10T00:00:00"/>
    <x v="3"/>
    <x v="3"/>
    <s v="Kitchen"/>
    <x v="17"/>
    <s v="Philadelphia"/>
    <s v="Female"/>
    <n v="59"/>
    <n v="4"/>
    <n v="20"/>
    <s v="P303"/>
    <x v="2"/>
    <x v="2"/>
    <x v="0"/>
    <s v="Philips"/>
    <n v="1"/>
    <n v="416.28"/>
    <n v="858.68"/>
    <n v="4"/>
    <s v="Q4"/>
    <n v="2025"/>
    <x v="8"/>
    <n v="1332.096"/>
    <n v="473.41600000000005"/>
  </r>
  <r>
    <s v="ORD00468"/>
    <d v="2025-10-02T00:00:00"/>
    <s v="C4644"/>
    <x v="467"/>
    <d v="2025-10-03T00:00:00"/>
    <x v="9"/>
    <x v="0"/>
    <s v="Skincare"/>
    <x v="9"/>
    <s v="Birmingham"/>
    <s v="Female"/>
    <n v="20"/>
    <n v="2"/>
    <n v="10"/>
    <s v="P205"/>
    <x v="1"/>
    <x v="3"/>
    <x v="3"/>
    <s v="Nivea"/>
    <n v="2"/>
    <n v="611.35"/>
    <n v="609.32000000000005"/>
    <n v="1"/>
    <s v="Q4"/>
    <n v="2025"/>
    <x v="8"/>
    <n v="1100.43"/>
    <n v="491.11"/>
  </r>
  <r>
    <s v="ORD00469"/>
    <d v="2026-03-06T00:00:00"/>
    <s v="C9646"/>
    <x v="468"/>
    <d v="2026-03-13T00:00:00"/>
    <x v="9"/>
    <x v="0"/>
    <s v="Skincare"/>
    <x v="17"/>
    <s v="Philadelphia"/>
    <s v="Male"/>
    <n v="50"/>
    <n v="2"/>
    <n v="30"/>
    <s v="P727"/>
    <x v="0"/>
    <x v="0"/>
    <x v="1"/>
    <s v="Nivea"/>
    <n v="2"/>
    <n v="568.09"/>
    <n v="632.89"/>
    <n v="7"/>
    <s v="Q1"/>
    <n v="2026"/>
    <x v="6"/>
    <n v="795.32600000000002"/>
    <n v="162.43600000000004"/>
  </r>
  <r>
    <s v="ORD00470"/>
    <d v="2024-01-31T00:00:00"/>
    <s v="C3674"/>
    <x v="469"/>
    <d v="2024-02-03T00:00:00"/>
    <x v="6"/>
    <x v="5"/>
    <s v="Snacks"/>
    <x v="17"/>
    <s v="Pittsburgh"/>
    <s v="Female"/>
    <n v="41"/>
    <n v="1"/>
    <n v="10"/>
    <s v="P888"/>
    <x v="0"/>
    <x v="1"/>
    <x v="0"/>
    <s v="Britannia"/>
    <n v="5"/>
    <n v="53.53"/>
    <n v="35.299999999999997"/>
    <n v="3"/>
    <s v="Q1"/>
    <n v="2024"/>
    <x v="0"/>
    <n v="48.177"/>
    <n v="12.877000000000002"/>
  </r>
  <r>
    <s v="ORD00471"/>
    <d v="2025-02-24T00:00:00"/>
    <s v="C4385"/>
    <x v="470"/>
    <d v="2025-02-28T00:00:00"/>
    <x v="9"/>
    <x v="0"/>
    <s v="Skincare"/>
    <x v="22"/>
    <s v="Springfield"/>
    <s v="Female"/>
    <n v="18"/>
    <n v="4"/>
    <n v="30"/>
    <s v="P770"/>
    <x v="0"/>
    <x v="0"/>
    <x v="0"/>
    <s v="Nivea"/>
    <n v="3"/>
    <n v="150.30000000000001"/>
    <n v="235.44"/>
    <n v="4"/>
    <s v="Q1"/>
    <n v="2025"/>
    <x v="5"/>
    <n v="420.84000000000003"/>
    <n v="185.40000000000003"/>
  </r>
  <r>
    <s v="ORD00472"/>
    <d v="2026-03-02T00:00:00"/>
    <s v="C2858"/>
    <x v="471"/>
    <d v="2026-03-05T00:00:00"/>
    <x v="6"/>
    <x v="5"/>
    <s v="Snacks"/>
    <x v="22"/>
    <s v="Naperville"/>
    <s v="Female"/>
    <n v="32"/>
    <n v="5"/>
    <n v="5"/>
    <s v="P480"/>
    <x v="0"/>
    <x v="3"/>
    <x v="3"/>
    <s v="Britannia"/>
    <n v="4"/>
    <n v="921.41"/>
    <n v="3028.64"/>
    <n v="3"/>
    <s v="Q1"/>
    <n v="2026"/>
    <x v="6"/>
    <n v="4376.6975000000002"/>
    <n v="1348.0575000000003"/>
  </r>
  <r>
    <s v="ORD00473"/>
    <d v="2025-05-08T00:00:00"/>
    <s v="C1577"/>
    <x v="472"/>
    <d v="2025-05-14T00:00:00"/>
    <x v="9"/>
    <x v="0"/>
    <s v="Skincare"/>
    <x v="3"/>
    <s v="Dallas"/>
    <s v="Female"/>
    <n v="52"/>
    <n v="4"/>
    <n v="5"/>
    <s v="P147"/>
    <x v="2"/>
    <x v="4"/>
    <x v="2"/>
    <s v="Nivea"/>
    <n v="5"/>
    <n v="220.74"/>
    <n v="641.22"/>
    <n v="6"/>
    <s v="Q2"/>
    <n v="2025"/>
    <x v="9"/>
    <n v="838.81200000000001"/>
    <n v="197.59199999999998"/>
  </r>
  <r>
    <s v="ORD00474"/>
    <d v="2026-03-20T00:00:00"/>
    <s v="C9976"/>
    <x v="473"/>
    <d v="2026-03-27T00:00:00"/>
    <x v="3"/>
    <x v="3"/>
    <s v="Kitchen"/>
    <x v="5"/>
    <s v="Fort Wayne"/>
    <s v="Female"/>
    <n v="23"/>
    <n v="3"/>
    <n v="0"/>
    <s v="P243"/>
    <x v="1"/>
    <x v="0"/>
    <x v="1"/>
    <s v="Philips"/>
    <n v="3"/>
    <n v="429.71"/>
    <n v="813.19"/>
    <n v="7"/>
    <s v="Q1"/>
    <n v="2026"/>
    <x v="6"/>
    <n v="1289.1299999999999"/>
    <n v="475.93999999999983"/>
  </r>
  <r>
    <s v="ORD00475"/>
    <d v="2024-04-18T00:00:00"/>
    <s v="C4921"/>
    <x v="474"/>
    <d v="2024-04-25T00:00:00"/>
    <x v="8"/>
    <x v="1"/>
    <s v="Shoes"/>
    <x v="16"/>
    <s v="Tacoma"/>
    <s v="Male"/>
    <n v="53"/>
    <n v="1"/>
    <n v="0"/>
    <s v="P538"/>
    <x v="1"/>
    <x v="1"/>
    <x v="0"/>
    <s v="Nike"/>
    <n v="5"/>
    <n v="92.78"/>
    <n v="70.489999999999995"/>
    <n v="7"/>
    <s v="Q2"/>
    <n v="2024"/>
    <x v="3"/>
    <n v="92.78"/>
    <n v="22.290000000000006"/>
  </r>
  <r>
    <s v="ORD00476"/>
    <d v="2024-01-12T00:00:00"/>
    <s v="C7056"/>
    <x v="475"/>
    <d v="2024-01-15T00:00:00"/>
    <x v="8"/>
    <x v="1"/>
    <s v="Shoes"/>
    <x v="22"/>
    <s v="Chicago"/>
    <s v="Male"/>
    <n v="20"/>
    <n v="4"/>
    <n v="20"/>
    <s v="P141"/>
    <x v="0"/>
    <x v="3"/>
    <x v="0"/>
    <s v="Nike"/>
    <n v="3"/>
    <n v="968.05"/>
    <n v="1584.24"/>
    <n v="3"/>
    <s v="Q1"/>
    <n v="2024"/>
    <x v="0"/>
    <n v="3097.76"/>
    <n v="1513.5200000000002"/>
  </r>
  <r>
    <s v="ORD00477"/>
    <d v="2024-02-04T00:00:00"/>
    <s v="C8328"/>
    <x v="476"/>
    <d v="2024-02-05T00:00:00"/>
    <x v="1"/>
    <x v="1"/>
    <s v="Shirt"/>
    <x v="0"/>
    <s v="Worcester"/>
    <s v="Male"/>
    <n v="54"/>
    <n v="5"/>
    <n v="10"/>
    <s v="P847"/>
    <x v="0"/>
    <x v="0"/>
    <x v="1"/>
    <s v="Puma"/>
    <n v="4"/>
    <n v="621.69000000000005"/>
    <n v="2181.0500000000002"/>
    <n v="1"/>
    <s v="Q1"/>
    <n v="2024"/>
    <x v="5"/>
    <n v="2797.6050000000005"/>
    <n v="616.55500000000029"/>
  </r>
  <r>
    <s v="ORD00478"/>
    <d v="2024-07-16T00:00:00"/>
    <s v="C4452"/>
    <x v="477"/>
    <d v="2024-07-17T00:00:00"/>
    <x v="7"/>
    <x v="4"/>
    <s v="Laptop"/>
    <x v="20"/>
    <s v="Richmond"/>
    <s v="Male"/>
    <n v="29"/>
    <n v="1"/>
    <n v="30"/>
    <s v="P163"/>
    <x v="1"/>
    <x v="3"/>
    <x v="3"/>
    <s v="Dell"/>
    <n v="4"/>
    <n v="162.72"/>
    <n v="81.349999999999994"/>
    <n v="1"/>
    <s v="Q3"/>
    <n v="2024"/>
    <x v="4"/>
    <n v="113.904"/>
    <n v="32.554000000000002"/>
  </r>
  <r>
    <s v="ORD00479"/>
    <d v="2026-01-24T00:00:00"/>
    <s v="C6389"/>
    <x v="478"/>
    <d v="2026-01-28T00:00:00"/>
    <x v="9"/>
    <x v="0"/>
    <s v="Skincare"/>
    <x v="15"/>
    <s v="Denver"/>
    <s v="Female"/>
    <n v="37"/>
    <n v="4"/>
    <n v="25"/>
    <s v="P799"/>
    <x v="1"/>
    <x v="0"/>
    <x v="0"/>
    <s v="Nivea"/>
    <n v="4"/>
    <n v="309.27"/>
    <n v="546.85"/>
    <n v="4"/>
    <s v="Q1"/>
    <n v="2026"/>
    <x v="0"/>
    <n v="927.81"/>
    <n v="380.95999999999992"/>
  </r>
  <r>
    <s v="ORD00480"/>
    <d v="2024-07-22T00:00:00"/>
    <s v="C7279"/>
    <x v="479"/>
    <d v="2024-07-23T00:00:00"/>
    <x v="9"/>
    <x v="0"/>
    <s v="Skincare"/>
    <x v="3"/>
    <s v="Austin"/>
    <s v="Male"/>
    <n v="62"/>
    <n v="1"/>
    <n v="0"/>
    <s v="P535"/>
    <x v="0"/>
    <x v="3"/>
    <x v="0"/>
    <s v="Nivea"/>
    <n v="2"/>
    <n v="607"/>
    <n v="351.27"/>
    <n v="1"/>
    <s v="Q3"/>
    <n v="2024"/>
    <x v="4"/>
    <n v="607"/>
    <n v="255.73000000000002"/>
  </r>
  <r>
    <s v="ORD00481"/>
    <d v="2026-05-08T00:00:00"/>
    <s v="C9607"/>
    <x v="480"/>
    <d v="2026-05-10T00:00:00"/>
    <x v="7"/>
    <x v="4"/>
    <s v="Laptop"/>
    <x v="18"/>
    <s v="Memphis"/>
    <s v="Female"/>
    <n v="58"/>
    <n v="4"/>
    <n v="25"/>
    <s v="P407"/>
    <x v="2"/>
    <x v="0"/>
    <x v="3"/>
    <s v="Dell"/>
    <n v="5"/>
    <n v="860.74"/>
    <n v="1756.62"/>
    <n v="2"/>
    <s v="Q2"/>
    <n v="2026"/>
    <x v="9"/>
    <n v="2582.2200000000003"/>
    <n v="825.60000000000036"/>
  </r>
  <r>
    <s v="ORD00482"/>
    <d v="2026-02-23T00:00:00"/>
    <s v="C5523"/>
    <x v="481"/>
    <d v="2026-03-02T00:00:00"/>
    <x v="6"/>
    <x v="5"/>
    <s v="Snacks"/>
    <x v="3"/>
    <s v="Houston"/>
    <s v="Male"/>
    <n v="42"/>
    <n v="4"/>
    <n v="5"/>
    <s v="P948"/>
    <x v="0"/>
    <x v="0"/>
    <x v="2"/>
    <s v="Britannia"/>
    <n v="2"/>
    <n v="207.8"/>
    <n v="665.51"/>
    <n v="7"/>
    <s v="Q1"/>
    <n v="2026"/>
    <x v="5"/>
    <n v="789.64"/>
    <n v="124.13"/>
  </r>
  <r>
    <s v="ORD00483"/>
    <d v="2025-08-26T00:00:00"/>
    <s v="C3129"/>
    <x v="482"/>
    <d v="2025-09-02T00:00:00"/>
    <x v="9"/>
    <x v="0"/>
    <s v="Skincare"/>
    <x v="8"/>
    <s v="Orlando"/>
    <s v="Female"/>
    <n v="29"/>
    <n v="5"/>
    <n v="5"/>
    <s v="P833"/>
    <x v="2"/>
    <x v="4"/>
    <x v="3"/>
    <s v="Nivea"/>
    <n v="3"/>
    <n v="339.74"/>
    <n v="1105.33"/>
    <n v="7"/>
    <s v="Q3"/>
    <n v="2025"/>
    <x v="11"/>
    <n v="1613.7649999999999"/>
    <n v="508.43499999999995"/>
  </r>
  <r>
    <s v="ORD00484"/>
    <d v="2025-08-10T00:00:00"/>
    <s v="C4051"/>
    <x v="483"/>
    <d v="2025-08-16T00:00:00"/>
    <x v="8"/>
    <x v="1"/>
    <s v="Shoes"/>
    <x v="14"/>
    <s v="Springfield"/>
    <s v="Male"/>
    <n v="29"/>
    <n v="4"/>
    <n v="15"/>
    <s v="P859"/>
    <x v="0"/>
    <x v="2"/>
    <x v="0"/>
    <s v="Nike"/>
    <n v="5"/>
    <n v="966.41"/>
    <n v="2294.17"/>
    <n v="6"/>
    <s v="Q3"/>
    <n v="2025"/>
    <x v="11"/>
    <n v="3285.7939999999999"/>
    <n v="991.6239999999998"/>
  </r>
  <r>
    <s v="ORD00485"/>
    <d v="2025-04-04T00:00:00"/>
    <s v="C3364"/>
    <x v="484"/>
    <d v="2025-04-10T00:00:00"/>
    <x v="1"/>
    <x v="1"/>
    <s v="Shirt"/>
    <x v="16"/>
    <s v="Spokane"/>
    <s v="Female"/>
    <n v="34"/>
    <n v="4"/>
    <n v="0"/>
    <s v="P708"/>
    <x v="1"/>
    <x v="3"/>
    <x v="1"/>
    <s v="Puma"/>
    <n v="4"/>
    <n v="586.23"/>
    <n v="1726.49"/>
    <n v="6"/>
    <s v="Q2"/>
    <n v="2025"/>
    <x v="3"/>
    <n v="2344.92"/>
    <n v="618.43000000000006"/>
  </r>
  <r>
    <s v="ORD00486"/>
    <d v="2024-08-30T00:00:00"/>
    <s v="C2804"/>
    <x v="485"/>
    <d v="2024-09-01T00:00:00"/>
    <x v="1"/>
    <x v="1"/>
    <s v="Shirt"/>
    <x v="13"/>
    <s v="Savannah"/>
    <s v="Male"/>
    <n v="44"/>
    <n v="1"/>
    <n v="5"/>
    <s v="P171"/>
    <x v="2"/>
    <x v="1"/>
    <x v="2"/>
    <s v="Puma"/>
    <n v="2"/>
    <n v="560.63"/>
    <n v="381.51"/>
    <n v="2"/>
    <s v="Q3"/>
    <n v="2024"/>
    <x v="11"/>
    <n v="532.59849999999994"/>
    <n v="151.08849999999995"/>
  </r>
  <r>
    <s v="ORD00487"/>
    <d v="2025-09-29T00:00:00"/>
    <s v="C7393"/>
    <x v="486"/>
    <d v="2025-10-02T00:00:00"/>
    <x v="4"/>
    <x v="4"/>
    <s v="Mobile"/>
    <x v="21"/>
    <s v="Greenville"/>
    <s v="Female"/>
    <n v="50"/>
    <n v="2"/>
    <n v="25"/>
    <s v="P906"/>
    <x v="2"/>
    <x v="0"/>
    <x v="0"/>
    <s v="Samsung"/>
    <n v="5"/>
    <n v="203.06"/>
    <n v="246.64"/>
    <n v="3"/>
    <s v="Q3"/>
    <n v="2025"/>
    <x v="1"/>
    <n v="304.59000000000003"/>
    <n v="57.950000000000045"/>
  </r>
  <r>
    <s v="ORD00488"/>
    <d v="2025-11-16T00:00:00"/>
    <s v="C3876"/>
    <x v="487"/>
    <d v="2025-11-21T00:00:00"/>
    <x v="6"/>
    <x v="5"/>
    <s v="Snacks"/>
    <x v="12"/>
    <s v="Grand Rapids"/>
    <s v="Male"/>
    <n v="29"/>
    <n v="5"/>
    <n v="30"/>
    <s v="P739"/>
    <x v="2"/>
    <x v="2"/>
    <x v="1"/>
    <s v="Britannia"/>
    <n v="4"/>
    <n v="141.03"/>
    <n v="397.47"/>
    <n v="5"/>
    <s v="Q4"/>
    <n v="2025"/>
    <x v="10"/>
    <n v="493.60499999999996"/>
    <n v="96.134999999999934"/>
  </r>
  <r>
    <s v="ORD00489"/>
    <d v="2026-01-08T00:00:00"/>
    <s v="C7413"/>
    <x v="488"/>
    <d v="2026-01-12T00:00:00"/>
    <x v="5"/>
    <x v="3"/>
    <s v="Furniture"/>
    <x v="4"/>
    <s v="Phoenix"/>
    <s v="Male"/>
    <n v="37"/>
    <n v="3"/>
    <n v="20"/>
    <s v="P653"/>
    <x v="0"/>
    <x v="3"/>
    <x v="1"/>
    <s v="IKEA"/>
    <n v="5"/>
    <n v="270.47000000000003"/>
    <n v="434.98"/>
    <n v="4"/>
    <s v="Q1"/>
    <n v="2026"/>
    <x v="0"/>
    <n v="649.12800000000016"/>
    <n v="214.14800000000014"/>
  </r>
  <r>
    <s v="ORD00490"/>
    <d v="2025-03-27T00:00:00"/>
    <s v="C3372"/>
    <x v="489"/>
    <d v="2025-03-31T00:00:00"/>
    <x v="4"/>
    <x v="4"/>
    <s v="Mobile"/>
    <x v="3"/>
    <s v="Houston"/>
    <s v="Female"/>
    <n v="57"/>
    <n v="2"/>
    <n v="25"/>
    <s v="P626"/>
    <x v="2"/>
    <x v="0"/>
    <x v="3"/>
    <s v="Samsung"/>
    <n v="4"/>
    <n v="328.1"/>
    <n v="350.74"/>
    <n v="4"/>
    <s v="Q1"/>
    <n v="2025"/>
    <x v="6"/>
    <n v="492.15000000000003"/>
    <n v="141.41000000000003"/>
  </r>
  <r>
    <s v="ORD00491"/>
    <d v="2025-10-29T00:00:00"/>
    <s v="C8257"/>
    <x v="490"/>
    <d v="2025-10-30T00:00:00"/>
    <x v="2"/>
    <x v="2"/>
    <s v="Fitness"/>
    <x v="12"/>
    <s v="Lansing"/>
    <s v="Female"/>
    <n v="41"/>
    <n v="2"/>
    <n v="30"/>
    <s v="P511"/>
    <x v="1"/>
    <x v="0"/>
    <x v="2"/>
    <s v="Decathlon"/>
    <n v="2"/>
    <n v="319.18"/>
    <n v="344.56"/>
    <n v="1"/>
    <s v="Q4"/>
    <n v="2025"/>
    <x v="8"/>
    <n v="446.85199999999998"/>
    <n v="102.29199999999997"/>
  </r>
  <r>
    <s v="ORD00492"/>
    <d v="2024-01-13T00:00:00"/>
    <s v="C8189"/>
    <x v="491"/>
    <d v="2024-01-16T00:00:00"/>
    <x v="8"/>
    <x v="1"/>
    <s v="Shoes"/>
    <x v="12"/>
    <s v="Lansing"/>
    <s v="Male"/>
    <n v="63"/>
    <n v="5"/>
    <n v="30"/>
    <s v="P969"/>
    <x v="2"/>
    <x v="4"/>
    <x v="1"/>
    <s v="Nike"/>
    <n v="2"/>
    <n v="393.04"/>
    <n v="1113.8399999999999"/>
    <n v="3"/>
    <s v="Q1"/>
    <n v="2024"/>
    <x v="0"/>
    <n v="1375.6399999999999"/>
    <n v="261.79999999999995"/>
  </r>
  <r>
    <s v="ORD00493"/>
    <d v="2024-12-30T00:00:00"/>
    <s v="C3156"/>
    <x v="492"/>
    <d v="2025-01-02T00:00:00"/>
    <x v="8"/>
    <x v="1"/>
    <s v="Shoes"/>
    <x v="15"/>
    <s v="Denver"/>
    <s v="Female"/>
    <n v="53"/>
    <n v="1"/>
    <n v="20"/>
    <s v="P405"/>
    <x v="1"/>
    <x v="0"/>
    <x v="3"/>
    <s v="Nike"/>
    <n v="2"/>
    <n v="196.37"/>
    <n v="92.1"/>
    <n v="3"/>
    <s v="Q4"/>
    <n v="2024"/>
    <x v="7"/>
    <n v="157.096"/>
    <n v="64.996000000000009"/>
  </r>
  <r>
    <s v="ORD00494"/>
    <d v="2025-01-31T00:00:00"/>
    <s v="C7833"/>
    <x v="493"/>
    <d v="2025-02-01T00:00:00"/>
    <x v="2"/>
    <x v="2"/>
    <s v="Fitness"/>
    <x v="16"/>
    <s v="Tacoma"/>
    <s v="Male"/>
    <n v="33"/>
    <n v="3"/>
    <n v="0"/>
    <s v="P798"/>
    <x v="1"/>
    <x v="1"/>
    <x v="0"/>
    <s v="Decathlon"/>
    <n v="1"/>
    <n v="828.09"/>
    <n v="1301.97"/>
    <n v="1"/>
    <s v="Q1"/>
    <n v="2025"/>
    <x v="0"/>
    <n v="2484.27"/>
    <n v="1182.3"/>
  </r>
  <r>
    <s v="ORD00495"/>
    <d v="2025-02-11T00:00:00"/>
    <s v="C9600"/>
    <x v="494"/>
    <d v="2025-02-14T00:00:00"/>
    <x v="2"/>
    <x v="2"/>
    <s v="Fitness"/>
    <x v="3"/>
    <s v="Austin"/>
    <s v="Male"/>
    <n v="21"/>
    <n v="4"/>
    <n v="5"/>
    <s v="P521"/>
    <x v="0"/>
    <x v="3"/>
    <x v="1"/>
    <s v="Decathlon"/>
    <n v="1"/>
    <n v="727.06"/>
    <n v="1394.98"/>
    <n v="3"/>
    <s v="Q1"/>
    <n v="2025"/>
    <x v="5"/>
    <n v="2762.8279999999995"/>
    <n v="1367.8479999999995"/>
  </r>
  <r>
    <s v="ORD00496"/>
    <d v="2024-11-30T00:00:00"/>
    <s v="C6068"/>
    <x v="495"/>
    <d v="2024-12-01T00:00:00"/>
    <x v="9"/>
    <x v="0"/>
    <s v="Skincare"/>
    <x v="13"/>
    <s v="Augusta"/>
    <s v="Male"/>
    <n v="44"/>
    <n v="4"/>
    <n v="20"/>
    <s v="P340"/>
    <x v="1"/>
    <x v="3"/>
    <x v="2"/>
    <s v="Nivea"/>
    <n v="2"/>
    <n v="168.36"/>
    <n v="441.27"/>
    <n v="1"/>
    <s v="Q4"/>
    <n v="2024"/>
    <x v="10"/>
    <n v="538.75200000000007"/>
    <n v="97.482000000000085"/>
  </r>
  <r>
    <s v="ORD00497"/>
    <d v="2024-12-06T00:00:00"/>
    <s v="C5938"/>
    <x v="496"/>
    <d v="2024-12-10T00:00:00"/>
    <x v="4"/>
    <x v="4"/>
    <s v="Mobile"/>
    <x v="4"/>
    <s v="Mesa"/>
    <s v="Male"/>
    <n v="28"/>
    <n v="4"/>
    <n v="25"/>
    <s v="P700"/>
    <x v="1"/>
    <x v="0"/>
    <x v="3"/>
    <s v="Samsung"/>
    <n v="2"/>
    <n v="727.65"/>
    <n v="1197.48"/>
    <n v="4"/>
    <s v="Q4"/>
    <n v="2024"/>
    <x v="7"/>
    <n v="2182.9499999999998"/>
    <n v="985.4699999999998"/>
  </r>
  <r>
    <s v="ORD00498"/>
    <d v="2025-04-29T00:00:00"/>
    <s v="C4505"/>
    <x v="497"/>
    <d v="2025-05-01T00:00:00"/>
    <x v="6"/>
    <x v="5"/>
    <s v="Snacks"/>
    <x v="22"/>
    <s v="Springfield"/>
    <s v="Male"/>
    <n v="45"/>
    <n v="1"/>
    <n v="0"/>
    <s v="P379"/>
    <x v="0"/>
    <x v="0"/>
    <x v="1"/>
    <s v="Britannia"/>
    <n v="2"/>
    <n v="769.65"/>
    <n v="525.49"/>
    <n v="2"/>
    <s v="Q2"/>
    <n v="2025"/>
    <x v="3"/>
    <n v="769.65"/>
    <n v="244.15999999999997"/>
  </r>
  <r>
    <s v="ORD00499"/>
    <d v="2024-10-31T00:00:00"/>
    <s v="C5836"/>
    <x v="498"/>
    <d v="2024-11-07T00:00:00"/>
    <x v="8"/>
    <x v="1"/>
    <s v="Shoes"/>
    <x v="11"/>
    <s v="Jersey City"/>
    <s v="Male"/>
    <n v="50"/>
    <n v="4"/>
    <n v="20"/>
    <s v="P504"/>
    <x v="2"/>
    <x v="0"/>
    <x v="3"/>
    <s v="Nike"/>
    <n v="2"/>
    <n v="431.74"/>
    <n v="1172.01"/>
    <n v="7"/>
    <s v="Q4"/>
    <n v="2024"/>
    <x v="8"/>
    <n v="1381.5680000000002"/>
    <n v="209.55800000000022"/>
  </r>
  <r>
    <s v="ORD00500"/>
    <d v="2024-07-30T00:00:00"/>
    <s v="C9857"/>
    <x v="499"/>
    <d v="2024-08-01T00:00:00"/>
    <x v="7"/>
    <x v="4"/>
    <s v="Laptop"/>
    <x v="5"/>
    <s v="Fort Wayne"/>
    <s v="Male"/>
    <n v="24"/>
    <n v="2"/>
    <n v="5"/>
    <s v="P380"/>
    <x v="1"/>
    <x v="3"/>
    <x v="1"/>
    <s v="Dell"/>
    <n v="3"/>
    <n v="958.4"/>
    <n v="1506.9"/>
    <n v="2"/>
    <s v="Q3"/>
    <n v="2024"/>
    <x v="4"/>
    <n v="1820.9599999999998"/>
    <n v="314.05999999999972"/>
  </r>
  <r>
    <s v="ORD00501"/>
    <d v="2025-01-24T00:00:00"/>
    <s v="C9989"/>
    <x v="500"/>
    <d v="2025-01-26T00:00:00"/>
    <x v="2"/>
    <x v="2"/>
    <s v="Fitness"/>
    <x v="13"/>
    <s v="Augusta"/>
    <s v="Female"/>
    <n v="37"/>
    <n v="5"/>
    <n v="10"/>
    <s v="P698"/>
    <x v="1"/>
    <x v="4"/>
    <x v="3"/>
    <s v="Decathlon"/>
    <n v="2"/>
    <n v="503.62"/>
    <n v="1689.59"/>
    <n v="2"/>
    <s v="Q1"/>
    <n v="2025"/>
    <x v="0"/>
    <n v="2266.29"/>
    <n v="576.70000000000005"/>
  </r>
  <r>
    <s v="ORD00502"/>
    <d v="2025-01-15T00:00:00"/>
    <s v="C5296"/>
    <x v="501"/>
    <d v="2025-01-20T00:00:00"/>
    <x v="6"/>
    <x v="5"/>
    <s v="Snacks"/>
    <x v="14"/>
    <s v="St. Louis"/>
    <s v="Male"/>
    <n v="52"/>
    <n v="5"/>
    <n v="0"/>
    <s v="P489"/>
    <x v="0"/>
    <x v="0"/>
    <x v="0"/>
    <s v="Britannia"/>
    <n v="1"/>
    <n v="289.77999999999997"/>
    <n v="1056.52"/>
    <n v="5"/>
    <s v="Q1"/>
    <n v="2025"/>
    <x v="0"/>
    <n v="1448.8999999999999"/>
    <n v="392.37999999999988"/>
  </r>
  <r>
    <s v="ORD00503"/>
    <d v="2025-01-13T00:00:00"/>
    <s v="C2597"/>
    <x v="502"/>
    <d v="2025-01-15T00:00:00"/>
    <x v="2"/>
    <x v="2"/>
    <s v="Fitness"/>
    <x v="3"/>
    <s v="San Antonio"/>
    <s v="Female"/>
    <n v="27"/>
    <n v="1"/>
    <n v="0"/>
    <s v="P423"/>
    <x v="0"/>
    <x v="2"/>
    <x v="3"/>
    <s v="Decathlon"/>
    <n v="2"/>
    <n v="115.08"/>
    <n v="85.62"/>
    <n v="2"/>
    <s v="Q1"/>
    <n v="2025"/>
    <x v="0"/>
    <n v="115.08"/>
    <n v="29.459999999999994"/>
  </r>
  <r>
    <s v="ORD00504"/>
    <d v="2024-01-11T00:00:00"/>
    <s v="C2389"/>
    <x v="503"/>
    <d v="2024-01-14T00:00:00"/>
    <x v="5"/>
    <x v="3"/>
    <s v="Furniture"/>
    <x v="21"/>
    <s v="Charleston"/>
    <s v="Male"/>
    <n v="58"/>
    <n v="3"/>
    <n v="25"/>
    <s v="P575"/>
    <x v="0"/>
    <x v="0"/>
    <x v="3"/>
    <s v="IKEA"/>
    <n v="5"/>
    <n v="505.22"/>
    <n v="951.44"/>
    <n v="3"/>
    <s v="Q1"/>
    <n v="2024"/>
    <x v="0"/>
    <n v="1136.7450000000001"/>
    <n v="185.30500000000006"/>
  </r>
  <r>
    <s v="ORD00505"/>
    <d v="2025-06-30T00:00:00"/>
    <s v="C2122"/>
    <x v="504"/>
    <d v="2025-07-02T00:00:00"/>
    <x v="3"/>
    <x v="3"/>
    <s v="Kitchen"/>
    <x v="4"/>
    <s v="Phoenix"/>
    <s v="Male"/>
    <n v="27"/>
    <n v="4"/>
    <n v="30"/>
    <s v="P240"/>
    <x v="2"/>
    <x v="4"/>
    <x v="1"/>
    <s v="Philips"/>
    <n v="3"/>
    <n v="332.58"/>
    <n v="692.57"/>
    <n v="2"/>
    <s v="Q2"/>
    <n v="2025"/>
    <x v="2"/>
    <n v="931.22399999999993"/>
    <n v="238.65399999999988"/>
  </r>
  <r>
    <s v="ORD00506"/>
    <d v="2024-11-30T00:00:00"/>
    <s v="C6011"/>
    <x v="505"/>
    <d v="2024-12-03T00:00:00"/>
    <x v="8"/>
    <x v="1"/>
    <s v="Shoes"/>
    <x v="14"/>
    <s v="Springfield"/>
    <s v="Male"/>
    <n v="64"/>
    <n v="5"/>
    <n v="15"/>
    <s v="P594"/>
    <x v="0"/>
    <x v="3"/>
    <x v="0"/>
    <s v="Nike"/>
    <n v="3"/>
    <n v="768.66"/>
    <n v="2393.79"/>
    <n v="3"/>
    <s v="Q4"/>
    <n v="2024"/>
    <x v="10"/>
    <n v="3266.8049999999998"/>
    <n v="873.01499999999987"/>
  </r>
  <r>
    <s v="ORD00507"/>
    <d v="2025-08-21T00:00:00"/>
    <s v="C2430"/>
    <x v="506"/>
    <d v="2025-08-26T00:00:00"/>
    <x v="6"/>
    <x v="5"/>
    <s v="Snacks"/>
    <x v="16"/>
    <s v="Seattle"/>
    <s v="Female"/>
    <n v="26"/>
    <n v="4"/>
    <n v="15"/>
    <s v="P172"/>
    <x v="2"/>
    <x v="2"/>
    <x v="3"/>
    <s v="Britannia"/>
    <n v="5"/>
    <n v="427.53"/>
    <n v="791.58"/>
    <n v="5"/>
    <s v="Q3"/>
    <n v="2025"/>
    <x v="11"/>
    <n v="1453.6019999999999"/>
    <n v="662.02199999999982"/>
  </r>
  <r>
    <s v="ORD00508"/>
    <d v="2025-03-14T00:00:00"/>
    <s v="C1983"/>
    <x v="507"/>
    <d v="2025-03-18T00:00:00"/>
    <x v="5"/>
    <x v="3"/>
    <s v="Furniture"/>
    <x v="22"/>
    <s v="Naperville"/>
    <s v="Female"/>
    <n v="20"/>
    <n v="2"/>
    <n v="20"/>
    <s v="P566"/>
    <x v="1"/>
    <x v="3"/>
    <x v="0"/>
    <s v="IKEA"/>
    <n v="4"/>
    <n v="416.15"/>
    <n v="435.88"/>
    <n v="4"/>
    <s v="Q1"/>
    <n v="2025"/>
    <x v="6"/>
    <n v="665.84"/>
    <n v="229.96000000000004"/>
  </r>
  <r>
    <s v="ORD00509"/>
    <d v="2025-04-28T00:00:00"/>
    <s v="C9142"/>
    <x v="508"/>
    <d v="2025-05-03T00:00:00"/>
    <x v="5"/>
    <x v="3"/>
    <s v="Furniture"/>
    <x v="14"/>
    <s v="Kansas City"/>
    <s v="Female"/>
    <n v="36"/>
    <n v="1"/>
    <n v="20"/>
    <s v="P899"/>
    <x v="1"/>
    <x v="3"/>
    <x v="3"/>
    <s v="IKEA"/>
    <n v="4"/>
    <n v="584.29999999999995"/>
    <n v="352.26"/>
    <n v="5"/>
    <s v="Q2"/>
    <n v="2025"/>
    <x v="3"/>
    <n v="467.44"/>
    <n v="115.18"/>
  </r>
  <r>
    <s v="ORD00510"/>
    <d v="2025-06-16T00:00:00"/>
    <s v="C7438"/>
    <x v="509"/>
    <d v="2025-06-17T00:00:00"/>
    <x v="9"/>
    <x v="0"/>
    <s v="Skincare"/>
    <x v="13"/>
    <s v="Savannah"/>
    <s v="Male"/>
    <n v="56"/>
    <n v="2"/>
    <n v="5"/>
    <s v="P622"/>
    <x v="0"/>
    <x v="3"/>
    <x v="2"/>
    <s v="Nivea"/>
    <n v="2"/>
    <n v="951.36"/>
    <n v="1301.43"/>
    <n v="1"/>
    <s v="Q2"/>
    <n v="2025"/>
    <x v="2"/>
    <n v="1807.5839999999998"/>
    <n v="506.15399999999977"/>
  </r>
  <r>
    <s v="ORD00511"/>
    <d v="2024-12-05T00:00:00"/>
    <s v="C5805"/>
    <x v="510"/>
    <d v="2024-12-08T00:00:00"/>
    <x v="6"/>
    <x v="5"/>
    <s v="Snacks"/>
    <x v="8"/>
    <s v="Tampa"/>
    <s v="Male"/>
    <n v="46"/>
    <n v="4"/>
    <n v="30"/>
    <s v="P748"/>
    <x v="1"/>
    <x v="0"/>
    <x v="0"/>
    <s v="Britannia"/>
    <n v="1"/>
    <n v="359.68"/>
    <n v="588.22"/>
    <n v="3"/>
    <s v="Q4"/>
    <n v="2024"/>
    <x v="7"/>
    <n v="1007.1039999999999"/>
    <n v="418.8839999999999"/>
  </r>
  <r>
    <s v="ORD00512"/>
    <d v="2025-10-09T00:00:00"/>
    <s v="C6805"/>
    <x v="511"/>
    <d v="2025-10-10T00:00:00"/>
    <x v="9"/>
    <x v="0"/>
    <s v="Skincare"/>
    <x v="3"/>
    <s v="San Antonio"/>
    <s v="Female"/>
    <n v="39"/>
    <n v="1"/>
    <n v="5"/>
    <s v="P220"/>
    <x v="2"/>
    <x v="0"/>
    <x v="1"/>
    <s v="Nivea"/>
    <n v="5"/>
    <n v="174.73"/>
    <n v="87.9"/>
    <n v="1"/>
    <s v="Q4"/>
    <n v="2025"/>
    <x v="8"/>
    <n v="165.99349999999998"/>
    <n v="78.093499999999977"/>
  </r>
  <r>
    <s v="ORD00513"/>
    <d v="2025-04-03T00:00:00"/>
    <s v="C6527"/>
    <x v="512"/>
    <d v="2025-04-05T00:00:00"/>
    <x v="8"/>
    <x v="1"/>
    <s v="Shoes"/>
    <x v="8"/>
    <s v="Orlando"/>
    <s v="Female"/>
    <n v="61"/>
    <n v="2"/>
    <n v="25"/>
    <s v="P748"/>
    <x v="0"/>
    <x v="1"/>
    <x v="2"/>
    <s v="Nike"/>
    <n v="1"/>
    <n v="355.25"/>
    <n v="340.32"/>
    <n v="2"/>
    <s v="Q2"/>
    <n v="2025"/>
    <x v="3"/>
    <n v="532.875"/>
    <n v="192.55500000000001"/>
  </r>
  <r>
    <s v="ORD00514"/>
    <d v="2025-05-08T00:00:00"/>
    <s v="C3489"/>
    <x v="513"/>
    <d v="2025-05-12T00:00:00"/>
    <x v="7"/>
    <x v="4"/>
    <s v="Laptop"/>
    <x v="3"/>
    <s v="San Antonio"/>
    <s v="Female"/>
    <n v="57"/>
    <n v="3"/>
    <n v="20"/>
    <s v="P335"/>
    <x v="0"/>
    <x v="3"/>
    <x v="3"/>
    <s v="Dell"/>
    <n v="2"/>
    <n v="12.89"/>
    <n v="17.420000000000002"/>
    <n v="4"/>
    <s v="Q2"/>
    <n v="2025"/>
    <x v="9"/>
    <n v="30.936000000000003"/>
    <n v="13.516000000000002"/>
  </r>
  <r>
    <s v="ORD00515"/>
    <d v="2026-05-05T00:00:00"/>
    <s v="C2463"/>
    <x v="514"/>
    <d v="2026-05-10T00:00:00"/>
    <x v="2"/>
    <x v="2"/>
    <s v="Fitness"/>
    <x v="2"/>
    <s v="Columbus"/>
    <s v="Male"/>
    <n v="34"/>
    <n v="1"/>
    <n v="0"/>
    <s v="P451"/>
    <x v="2"/>
    <x v="2"/>
    <x v="0"/>
    <s v="Decathlon"/>
    <n v="4"/>
    <n v="526.9"/>
    <n v="330.28"/>
    <n v="5"/>
    <s v="Q2"/>
    <n v="2026"/>
    <x v="9"/>
    <n v="526.9"/>
    <n v="196.62"/>
  </r>
  <r>
    <s v="ORD00516"/>
    <d v="2024-01-25T00:00:00"/>
    <s v="C4357"/>
    <x v="515"/>
    <d v="2024-01-29T00:00:00"/>
    <x v="2"/>
    <x v="2"/>
    <s v="Fitness"/>
    <x v="10"/>
    <s v="Green Bay"/>
    <s v="Male"/>
    <n v="19"/>
    <n v="1"/>
    <n v="15"/>
    <s v="P594"/>
    <x v="1"/>
    <x v="2"/>
    <x v="1"/>
    <s v="Decathlon"/>
    <n v="1"/>
    <n v="87.34"/>
    <n v="55.45"/>
    <n v="4"/>
    <s v="Q1"/>
    <n v="2024"/>
    <x v="0"/>
    <n v="74.239000000000004"/>
    <n v="18.789000000000001"/>
  </r>
  <r>
    <s v="ORD00517"/>
    <d v="2026-03-13T00:00:00"/>
    <s v="C3417"/>
    <x v="516"/>
    <d v="2026-03-18T00:00:00"/>
    <x v="6"/>
    <x v="5"/>
    <s v="Snacks"/>
    <x v="22"/>
    <s v="Springfield"/>
    <s v="Male"/>
    <n v="21"/>
    <n v="1"/>
    <n v="0"/>
    <s v="P820"/>
    <x v="0"/>
    <x v="1"/>
    <x v="2"/>
    <s v="Britannia"/>
    <n v="3"/>
    <n v="784.39"/>
    <n v="593.15"/>
    <n v="5"/>
    <s v="Q1"/>
    <n v="2026"/>
    <x v="6"/>
    <n v="784.39"/>
    <n v="191.24"/>
  </r>
  <r>
    <s v="ORD00518"/>
    <d v="2025-07-18T00:00:00"/>
    <s v="C4835"/>
    <x v="517"/>
    <d v="2025-07-25T00:00:00"/>
    <x v="8"/>
    <x v="1"/>
    <s v="Shoes"/>
    <x v="20"/>
    <s v="Richmond"/>
    <s v="Female"/>
    <n v="19"/>
    <n v="1"/>
    <n v="25"/>
    <s v="P466"/>
    <x v="2"/>
    <x v="1"/>
    <x v="0"/>
    <s v="Nike"/>
    <n v="5"/>
    <n v="99.51"/>
    <n v="61.08"/>
    <n v="7"/>
    <s v="Q3"/>
    <n v="2025"/>
    <x v="4"/>
    <n v="74.632500000000007"/>
    <n v="13.552500000000009"/>
  </r>
  <r>
    <s v="ORD00519"/>
    <d v="2025-07-25T00:00:00"/>
    <s v="C6039"/>
    <x v="518"/>
    <d v="2025-07-26T00:00:00"/>
    <x v="1"/>
    <x v="1"/>
    <s v="Shirt"/>
    <x v="2"/>
    <s v="Cincinnati"/>
    <s v="Female"/>
    <n v="50"/>
    <n v="3"/>
    <n v="10"/>
    <s v="P609"/>
    <x v="0"/>
    <x v="4"/>
    <x v="1"/>
    <s v="Puma"/>
    <n v="4"/>
    <n v="853.18"/>
    <n v="1637.44"/>
    <n v="1"/>
    <s v="Q3"/>
    <n v="2025"/>
    <x v="4"/>
    <n v="2303.5860000000002"/>
    <n v="666.14600000000019"/>
  </r>
  <r>
    <s v="ORD00520"/>
    <d v="2025-09-11T00:00:00"/>
    <s v="C7479"/>
    <x v="519"/>
    <d v="2025-09-13T00:00:00"/>
    <x v="4"/>
    <x v="4"/>
    <s v="Mobile"/>
    <x v="1"/>
    <s v="Sacramento"/>
    <s v="Female"/>
    <n v="50"/>
    <n v="4"/>
    <n v="5"/>
    <s v="P207"/>
    <x v="0"/>
    <x v="0"/>
    <x v="0"/>
    <s v="Samsung"/>
    <n v="2"/>
    <n v="990.67"/>
    <n v="2956.29"/>
    <n v="2"/>
    <s v="Q3"/>
    <n v="2025"/>
    <x v="1"/>
    <n v="3764.5459999999998"/>
    <n v="808.25599999999986"/>
  </r>
  <r>
    <s v="ORD00521"/>
    <d v="2024-11-16T00:00:00"/>
    <s v="C2466"/>
    <x v="520"/>
    <d v="2024-11-17T00:00:00"/>
    <x v="2"/>
    <x v="2"/>
    <s v="Fitness"/>
    <x v="10"/>
    <s v="Milwaukee"/>
    <s v="Female"/>
    <n v="25"/>
    <n v="4"/>
    <n v="15"/>
    <s v="P301"/>
    <x v="2"/>
    <x v="2"/>
    <x v="3"/>
    <s v="Decathlon"/>
    <n v="1"/>
    <n v="905.8"/>
    <n v="2572.0500000000002"/>
    <n v="1"/>
    <s v="Q4"/>
    <n v="2024"/>
    <x v="10"/>
    <n v="3079.72"/>
    <n v="507.66999999999962"/>
  </r>
  <r>
    <s v="ORD00522"/>
    <d v="2024-01-13T00:00:00"/>
    <s v="C6650"/>
    <x v="521"/>
    <d v="2024-01-18T00:00:00"/>
    <x v="2"/>
    <x v="2"/>
    <s v="Fitness"/>
    <x v="10"/>
    <s v="Milwaukee"/>
    <s v="Female"/>
    <n v="56"/>
    <n v="1"/>
    <n v="30"/>
    <s v="P184"/>
    <x v="0"/>
    <x v="4"/>
    <x v="0"/>
    <s v="Decathlon"/>
    <n v="1"/>
    <n v="409.55"/>
    <n v="181.04"/>
    <n v="5"/>
    <s v="Q1"/>
    <n v="2024"/>
    <x v="0"/>
    <n v="286.685"/>
    <n v="105.64500000000001"/>
  </r>
  <r>
    <s v="ORD00523"/>
    <d v="2024-05-22T00:00:00"/>
    <s v="C9613"/>
    <x v="522"/>
    <d v="2024-05-27T00:00:00"/>
    <x v="9"/>
    <x v="0"/>
    <s v="Skincare"/>
    <x v="1"/>
    <s v="San Diego"/>
    <s v="Male"/>
    <n v="31"/>
    <n v="1"/>
    <n v="15"/>
    <s v="P337"/>
    <x v="1"/>
    <x v="1"/>
    <x v="1"/>
    <s v="Nivea"/>
    <n v="5"/>
    <n v="762.36"/>
    <n v="447.35"/>
    <n v="5"/>
    <s v="Q2"/>
    <n v="2024"/>
    <x v="9"/>
    <n v="648.00599999999997"/>
    <n v="200.65599999999995"/>
  </r>
  <r>
    <s v="ORD00524"/>
    <d v="2025-06-08T00:00:00"/>
    <s v="C8673"/>
    <x v="523"/>
    <d v="2025-06-09T00:00:00"/>
    <x v="2"/>
    <x v="2"/>
    <s v="Fitness"/>
    <x v="2"/>
    <s v="Cleveland"/>
    <s v="Male"/>
    <n v="27"/>
    <n v="4"/>
    <n v="0"/>
    <s v="P784"/>
    <x v="1"/>
    <x v="3"/>
    <x v="3"/>
    <s v="Decathlon"/>
    <n v="5"/>
    <n v="410.57"/>
    <n v="1307.8800000000001"/>
    <n v="1"/>
    <s v="Q2"/>
    <n v="2025"/>
    <x v="2"/>
    <n v="1642.28"/>
    <n v="334.39999999999986"/>
  </r>
  <r>
    <s v="ORD00525"/>
    <d v="2025-01-03T00:00:00"/>
    <s v="C4600"/>
    <x v="524"/>
    <d v="2025-01-10T00:00:00"/>
    <x v="1"/>
    <x v="1"/>
    <s v="Shirt"/>
    <x v="12"/>
    <s v="Lansing"/>
    <s v="Female"/>
    <n v="40"/>
    <n v="1"/>
    <n v="30"/>
    <s v="P953"/>
    <x v="0"/>
    <x v="1"/>
    <x v="2"/>
    <s v="Puma"/>
    <n v="5"/>
    <n v="727.1"/>
    <n v="296.72000000000003"/>
    <n v="7"/>
    <s v="Q1"/>
    <n v="2025"/>
    <x v="0"/>
    <n v="508.96999999999997"/>
    <n v="212.24999999999994"/>
  </r>
  <r>
    <s v="ORD00526"/>
    <d v="2025-05-08T00:00:00"/>
    <s v="C9432"/>
    <x v="525"/>
    <d v="2025-05-14T00:00:00"/>
    <x v="6"/>
    <x v="5"/>
    <s v="Snacks"/>
    <x v="1"/>
    <s v="San Diego"/>
    <s v="Female"/>
    <n v="29"/>
    <n v="4"/>
    <n v="5"/>
    <s v="P509"/>
    <x v="1"/>
    <x v="1"/>
    <x v="0"/>
    <s v="Britannia"/>
    <n v="5"/>
    <n v="74.59"/>
    <n v="234.12"/>
    <n v="6"/>
    <s v="Q2"/>
    <n v="2025"/>
    <x v="9"/>
    <n v="283.44200000000001"/>
    <n v="49.322000000000003"/>
  </r>
  <r>
    <s v="ORD00527"/>
    <d v="2026-05-09T00:00:00"/>
    <s v="C7332"/>
    <x v="526"/>
    <d v="2026-05-13T00:00:00"/>
    <x v="2"/>
    <x v="2"/>
    <s v="Fitness"/>
    <x v="22"/>
    <s v="Springfield"/>
    <s v="Male"/>
    <n v="57"/>
    <n v="3"/>
    <n v="0"/>
    <s v="P753"/>
    <x v="2"/>
    <x v="1"/>
    <x v="1"/>
    <s v="Decathlon"/>
    <n v="5"/>
    <n v="41.12"/>
    <n v="78.47"/>
    <n v="4"/>
    <s v="Q2"/>
    <n v="2026"/>
    <x v="9"/>
    <n v="123.35999999999999"/>
    <n v="44.889999999999986"/>
  </r>
  <r>
    <s v="ORD00528"/>
    <d v="2025-04-24T00:00:00"/>
    <s v="C1893"/>
    <x v="527"/>
    <d v="2025-04-27T00:00:00"/>
    <x v="9"/>
    <x v="0"/>
    <s v="Skincare"/>
    <x v="8"/>
    <s v="Tampa"/>
    <s v="Female"/>
    <n v="57"/>
    <n v="2"/>
    <n v="10"/>
    <s v="P139"/>
    <x v="1"/>
    <x v="4"/>
    <x v="3"/>
    <s v="Nivea"/>
    <n v="4"/>
    <n v="986.06"/>
    <n v="1288.8"/>
    <n v="3"/>
    <s v="Q2"/>
    <n v="2025"/>
    <x v="3"/>
    <n v="1774.9079999999999"/>
    <n v="486.10799999999995"/>
  </r>
  <r>
    <s v="ORD00529"/>
    <d v="2025-06-20T00:00:00"/>
    <s v="C1255"/>
    <x v="528"/>
    <d v="2025-06-26T00:00:00"/>
    <x v="4"/>
    <x v="4"/>
    <s v="Mobile"/>
    <x v="7"/>
    <s v="New York"/>
    <s v="Female"/>
    <n v="23"/>
    <n v="3"/>
    <n v="30"/>
    <s v="P347"/>
    <x v="0"/>
    <x v="2"/>
    <x v="0"/>
    <s v="Samsung"/>
    <n v="1"/>
    <n v="602.54999999999995"/>
    <n v="915.89"/>
    <n v="6"/>
    <s v="Q2"/>
    <n v="2025"/>
    <x v="2"/>
    <n v="1265.3549999999998"/>
    <n v="349.4649999999998"/>
  </r>
  <r>
    <s v="ORD00530"/>
    <d v="2024-08-25T00:00:00"/>
    <s v="C1377"/>
    <x v="529"/>
    <d v="2024-08-28T00:00:00"/>
    <x v="6"/>
    <x v="5"/>
    <s v="Snacks"/>
    <x v="2"/>
    <s v="Columbus"/>
    <s v="Male"/>
    <n v="54"/>
    <n v="5"/>
    <n v="10"/>
    <s v="P542"/>
    <x v="0"/>
    <x v="1"/>
    <x v="3"/>
    <s v="Britannia"/>
    <n v="3"/>
    <n v="353.63"/>
    <n v="1040.4100000000001"/>
    <n v="3"/>
    <s v="Q3"/>
    <n v="2024"/>
    <x v="11"/>
    <n v="1591.335"/>
    <n v="550.92499999999995"/>
  </r>
  <r>
    <s v="ORD00531"/>
    <d v="2026-01-20T00:00:00"/>
    <s v="C5160"/>
    <x v="530"/>
    <d v="2026-01-25T00:00:00"/>
    <x v="3"/>
    <x v="3"/>
    <s v="Kitchen"/>
    <x v="13"/>
    <s v="Atlanta"/>
    <s v="Male"/>
    <n v="51"/>
    <n v="3"/>
    <n v="30"/>
    <s v="P435"/>
    <x v="1"/>
    <x v="0"/>
    <x v="0"/>
    <s v="Philips"/>
    <n v="2"/>
    <n v="710.98"/>
    <n v="1221.44"/>
    <n v="5"/>
    <s v="Q1"/>
    <n v="2026"/>
    <x v="0"/>
    <n v="1493.058"/>
    <n v="271.61799999999994"/>
  </r>
  <r>
    <s v="ORD00532"/>
    <d v="2024-06-09T00:00:00"/>
    <s v="C5180"/>
    <x v="531"/>
    <d v="2024-06-13T00:00:00"/>
    <x v="8"/>
    <x v="1"/>
    <s v="Shoes"/>
    <x v="19"/>
    <s v="Baltimore"/>
    <s v="Female"/>
    <n v="29"/>
    <n v="1"/>
    <n v="15"/>
    <s v="P155"/>
    <x v="1"/>
    <x v="3"/>
    <x v="2"/>
    <s v="Nike"/>
    <n v="2"/>
    <n v="37.479999999999997"/>
    <n v="25.37"/>
    <n v="4"/>
    <s v="Q2"/>
    <n v="2024"/>
    <x v="2"/>
    <n v="31.857999999999997"/>
    <n v="6.487999999999996"/>
  </r>
  <r>
    <s v="ORD00533"/>
    <d v="2025-07-06T00:00:00"/>
    <s v="C4861"/>
    <x v="532"/>
    <d v="2025-07-13T00:00:00"/>
    <x v="6"/>
    <x v="5"/>
    <s v="Snacks"/>
    <x v="3"/>
    <s v="Houston"/>
    <s v="Female"/>
    <n v="52"/>
    <n v="5"/>
    <n v="0"/>
    <s v="P785"/>
    <x v="2"/>
    <x v="3"/>
    <x v="1"/>
    <s v="Britannia"/>
    <n v="3"/>
    <n v="665.52"/>
    <n v="2143.0300000000002"/>
    <n v="7"/>
    <s v="Q3"/>
    <n v="2025"/>
    <x v="4"/>
    <n v="3327.6"/>
    <n v="1184.5699999999997"/>
  </r>
  <r>
    <s v="ORD00534"/>
    <d v="2025-01-24T00:00:00"/>
    <s v="C4137"/>
    <x v="533"/>
    <d v="2025-01-25T00:00:00"/>
    <x v="9"/>
    <x v="0"/>
    <s v="Skincare"/>
    <x v="3"/>
    <s v="Austin"/>
    <s v="Female"/>
    <n v="50"/>
    <n v="1"/>
    <n v="30"/>
    <s v="P614"/>
    <x v="1"/>
    <x v="1"/>
    <x v="0"/>
    <s v="Nivea"/>
    <n v="2"/>
    <n v="596.78"/>
    <n v="284.43"/>
    <n v="1"/>
    <s v="Q1"/>
    <n v="2025"/>
    <x v="0"/>
    <n v="417.74599999999998"/>
    <n v="133.31599999999997"/>
  </r>
  <r>
    <s v="ORD00535"/>
    <d v="2024-06-20T00:00:00"/>
    <s v="C2340"/>
    <x v="534"/>
    <d v="2024-06-27T00:00:00"/>
    <x v="4"/>
    <x v="4"/>
    <s v="Mobile"/>
    <x v="16"/>
    <s v="Tacoma"/>
    <s v="Male"/>
    <n v="58"/>
    <n v="4"/>
    <n v="10"/>
    <s v="P407"/>
    <x v="2"/>
    <x v="3"/>
    <x v="0"/>
    <s v="Samsung"/>
    <n v="4"/>
    <n v="669.21"/>
    <n v="1677.7"/>
    <n v="7"/>
    <s v="Q2"/>
    <n v="2024"/>
    <x v="2"/>
    <n v="2409.1560000000004"/>
    <n v="731.45600000000036"/>
  </r>
  <r>
    <s v="ORD00536"/>
    <d v="2025-02-14T00:00:00"/>
    <s v="C8604"/>
    <x v="535"/>
    <d v="2025-02-18T00:00:00"/>
    <x v="6"/>
    <x v="5"/>
    <s v="Snacks"/>
    <x v="3"/>
    <s v="San Antonio"/>
    <s v="Female"/>
    <n v="32"/>
    <n v="5"/>
    <n v="15"/>
    <s v="P749"/>
    <x v="2"/>
    <x v="2"/>
    <x v="1"/>
    <s v="Britannia"/>
    <n v="3"/>
    <n v="47.34"/>
    <n v="170.4"/>
    <n v="4"/>
    <s v="Q1"/>
    <n v="2025"/>
    <x v="5"/>
    <n v="201.19500000000002"/>
    <n v="30.795000000000016"/>
  </r>
  <r>
    <s v="ORD00537"/>
    <d v="2026-01-29T00:00:00"/>
    <s v="C7971"/>
    <x v="536"/>
    <d v="2026-01-30T00:00:00"/>
    <x v="4"/>
    <x v="4"/>
    <s v="Mobile"/>
    <x v="6"/>
    <s v="Charlotte"/>
    <s v="Female"/>
    <n v="50"/>
    <n v="1"/>
    <n v="30"/>
    <s v="P309"/>
    <x v="1"/>
    <x v="0"/>
    <x v="1"/>
    <s v="Samsung"/>
    <n v="1"/>
    <n v="791.13"/>
    <n v="370.49"/>
    <n v="1"/>
    <s v="Q1"/>
    <n v="2026"/>
    <x v="0"/>
    <n v="553.79099999999994"/>
    <n v="183.30099999999993"/>
  </r>
  <r>
    <s v="ORD00538"/>
    <d v="2024-11-03T00:00:00"/>
    <s v="C8404"/>
    <x v="537"/>
    <d v="2024-11-10T00:00:00"/>
    <x v="9"/>
    <x v="0"/>
    <s v="Skincare"/>
    <x v="2"/>
    <s v="Columbus"/>
    <s v="Male"/>
    <n v="20"/>
    <n v="4"/>
    <n v="5"/>
    <s v="P244"/>
    <x v="1"/>
    <x v="3"/>
    <x v="2"/>
    <s v="Nivea"/>
    <n v="3"/>
    <n v="423.23"/>
    <n v="1311.13"/>
    <n v="7"/>
    <s v="Q4"/>
    <n v="2024"/>
    <x v="10"/>
    <n v="1608.2739999999999"/>
    <n v="297.14399999999978"/>
  </r>
  <r>
    <s v="ORD00539"/>
    <d v="2024-08-28T00:00:00"/>
    <s v="C8784"/>
    <x v="538"/>
    <d v="2024-09-03T00:00:00"/>
    <x v="1"/>
    <x v="1"/>
    <s v="Shirt"/>
    <x v="19"/>
    <s v="Baltimore"/>
    <s v="Female"/>
    <n v="40"/>
    <n v="3"/>
    <n v="0"/>
    <s v="P493"/>
    <x v="2"/>
    <x v="0"/>
    <x v="3"/>
    <s v="Puma"/>
    <n v="1"/>
    <n v="177.86"/>
    <n v="426.98"/>
    <n v="6"/>
    <s v="Q3"/>
    <n v="2024"/>
    <x v="11"/>
    <n v="533.58000000000004"/>
    <n v="106.60000000000002"/>
  </r>
  <r>
    <s v="ORD00540"/>
    <d v="2024-04-22T00:00:00"/>
    <s v="C2452"/>
    <x v="539"/>
    <d v="2024-04-23T00:00:00"/>
    <x v="8"/>
    <x v="1"/>
    <s v="Shoes"/>
    <x v="18"/>
    <s v="Memphis"/>
    <s v="Female"/>
    <n v="55"/>
    <n v="1"/>
    <n v="0"/>
    <s v="P726"/>
    <x v="2"/>
    <x v="3"/>
    <x v="2"/>
    <s v="Nike"/>
    <n v="1"/>
    <n v="943.04"/>
    <n v="738.31"/>
    <n v="1"/>
    <s v="Q2"/>
    <n v="2024"/>
    <x v="3"/>
    <n v="943.04"/>
    <n v="204.73000000000002"/>
  </r>
  <r>
    <s v="ORD00541"/>
    <d v="2024-06-16T00:00:00"/>
    <s v="C8341"/>
    <x v="540"/>
    <d v="2024-06-18T00:00:00"/>
    <x v="9"/>
    <x v="0"/>
    <s v="Skincare"/>
    <x v="11"/>
    <s v="Newark"/>
    <s v="Male"/>
    <n v="25"/>
    <n v="3"/>
    <n v="15"/>
    <s v="P149"/>
    <x v="1"/>
    <x v="4"/>
    <x v="3"/>
    <s v="Nivea"/>
    <n v="5"/>
    <n v="421.33"/>
    <n v="694.77"/>
    <n v="2"/>
    <s v="Q2"/>
    <n v="2024"/>
    <x v="2"/>
    <n v="1074.3915"/>
    <n v="379.62149999999997"/>
  </r>
  <r>
    <s v="ORD00542"/>
    <d v="2025-12-27T00:00:00"/>
    <s v="C2529"/>
    <x v="541"/>
    <d v="2026-01-02T00:00:00"/>
    <x v="6"/>
    <x v="5"/>
    <s v="Snacks"/>
    <x v="20"/>
    <s v="Richmond"/>
    <s v="Male"/>
    <n v="31"/>
    <n v="1"/>
    <n v="30"/>
    <s v="P400"/>
    <x v="2"/>
    <x v="2"/>
    <x v="3"/>
    <s v="Britannia"/>
    <n v="3"/>
    <n v="56.63"/>
    <n v="30.01"/>
    <n v="6"/>
    <s v="Q4"/>
    <n v="2025"/>
    <x v="7"/>
    <n v="39.640999999999998"/>
    <n v="9.6309999999999967"/>
  </r>
  <r>
    <s v="ORD00543"/>
    <d v="2024-01-08T00:00:00"/>
    <s v="C8295"/>
    <x v="542"/>
    <d v="2024-01-13T00:00:00"/>
    <x v="2"/>
    <x v="2"/>
    <s v="Fitness"/>
    <x v="3"/>
    <s v="Austin"/>
    <s v="Male"/>
    <n v="25"/>
    <n v="2"/>
    <n v="15"/>
    <s v="P647"/>
    <x v="2"/>
    <x v="3"/>
    <x v="0"/>
    <s v="Decathlon"/>
    <n v="4"/>
    <n v="739.24"/>
    <n v="751.8"/>
    <n v="5"/>
    <s v="Q1"/>
    <n v="2024"/>
    <x v="0"/>
    <n v="1256.7080000000001"/>
    <n v="504.90800000000013"/>
  </r>
  <r>
    <s v="ORD00544"/>
    <d v="2025-06-10T00:00:00"/>
    <s v="C7173"/>
    <x v="543"/>
    <d v="2025-06-14T00:00:00"/>
    <x v="9"/>
    <x v="0"/>
    <s v="Skincare"/>
    <x v="8"/>
    <s v="Tampa"/>
    <s v="Male"/>
    <n v="31"/>
    <n v="3"/>
    <n v="15"/>
    <s v="P505"/>
    <x v="1"/>
    <x v="4"/>
    <x v="3"/>
    <s v="Nivea"/>
    <n v="4"/>
    <n v="345.58"/>
    <n v="511.77"/>
    <n v="4"/>
    <s v="Q2"/>
    <n v="2025"/>
    <x v="2"/>
    <n v="881.22899999999993"/>
    <n v="369.45899999999995"/>
  </r>
  <r>
    <s v="ORD00545"/>
    <d v="2024-04-03T00:00:00"/>
    <s v="C5239"/>
    <x v="544"/>
    <d v="2024-04-04T00:00:00"/>
    <x v="6"/>
    <x v="5"/>
    <s v="Snacks"/>
    <x v="1"/>
    <s v="San Diego"/>
    <s v="Male"/>
    <n v="57"/>
    <n v="4"/>
    <n v="20"/>
    <s v="P817"/>
    <x v="2"/>
    <x v="4"/>
    <x v="1"/>
    <s v="Britannia"/>
    <n v="5"/>
    <n v="301.39"/>
    <n v="602.26"/>
    <n v="1"/>
    <s v="Q2"/>
    <n v="2024"/>
    <x v="3"/>
    <n v="964.44799999999998"/>
    <n v="362.18799999999999"/>
  </r>
  <r>
    <s v="ORD00546"/>
    <d v="2026-04-03T00:00:00"/>
    <s v="C2028"/>
    <x v="545"/>
    <d v="2026-04-08T00:00:00"/>
    <x v="1"/>
    <x v="1"/>
    <s v="Shirt"/>
    <x v="3"/>
    <s v="Austin"/>
    <s v="Male"/>
    <n v="34"/>
    <n v="3"/>
    <n v="10"/>
    <s v="P197"/>
    <x v="0"/>
    <x v="1"/>
    <x v="2"/>
    <s v="Puma"/>
    <n v="2"/>
    <n v="766.17"/>
    <n v="1128.57"/>
    <n v="5"/>
    <s v="Q2"/>
    <n v="2026"/>
    <x v="3"/>
    <n v="2068.6589999999997"/>
    <n v="940.08899999999971"/>
  </r>
  <r>
    <s v="ORD00547"/>
    <d v="2025-04-25T00:00:00"/>
    <s v="C8484"/>
    <x v="546"/>
    <d v="2025-04-26T00:00:00"/>
    <x v="5"/>
    <x v="3"/>
    <s v="Furniture"/>
    <x v="7"/>
    <s v="Rochester"/>
    <s v="Male"/>
    <n v="26"/>
    <n v="5"/>
    <n v="20"/>
    <s v="P757"/>
    <x v="2"/>
    <x v="1"/>
    <x v="2"/>
    <s v="IKEA"/>
    <n v="4"/>
    <n v="346.31"/>
    <n v="1127.54"/>
    <n v="1"/>
    <s v="Q2"/>
    <n v="2025"/>
    <x v="3"/>
    <n v="1385.24"/>
    <n v="257.70000000000005"/>
  </r>
  <r>
    <s v="ORD00548"/>
    <d v="2025-03-08T00:00:00"/>
    <s v="C5518"/>
    <x v="547"/>
    <d v="2025-03-15T00:00:00"/>
    <x v="2"/>
    <x v="2"/>
    <s v="Fitness"/>
    <x v="8"/>
    <s v="Orlando"/>
    <s v="Female"/>
    <n v="28"/>
    <n v="3"/>
    <n v="0"/>
    <s v="P754"/>
    <x v="2"/>
    <x v="3"/>
    <x v="2"/>
    <s v="Decathlon"/>
    <n v="3"/>
    <n v="196.25"/>
    <n v="427.48"/>
    <n v="7"/>
    <s v="Q1"/>
    <n v="2025"/>
    <x v="6"/>
    <n v="588.75"/>
    <n v="161.26999999999998"/>
  </r>
  <r>
    <s v="ORD00549"/>
    <d v="2025-02-25T00:00:00"/>
    <s v="C3612"/>
    <x v="548"/>
    <d v="2025-03-03T00:00:00"/>
    <x v="3"/>
    <x v="3"/>
    <s v="Kitchen"/>
    <x v="8"/>
    <s v="Jacksonville"/>
    <s v="Female"/>
    <n v="40"/>
    <n v="1"/>
    <n v="0"/>
    <s v="P609"/>
    <x v="0"/>
    <x v="4"/>
    <x v="1"/>
    <s v="Philips"/>
    <n v="2"/>
    <n v="975.21"/>
    <n v="686.32"/>
    <n v="6"/>
    <s v="Q1"/>
    <n v="2025"/>
    <x v="5"/>
    <n v="975.21"/>
    <n v="288.89"/>
  </r>
  <r>
    <s v="ORD00550"/>
    <d v="2024-01-01T00:00:00"/>
    <s v="C6142"/>
    <x v="549"/>
    <d v="2024-01-04T00:00:00"/>
    <x v="1"/>
    <x v="1"/>
    <s v="Shirt"/>
    <x v="1"/>
    <s v="San Francisco"/>
    <s v="Male"/>
    <n v="21"/>
    <n v="3"/>
    <n v="20"/>
    <s v="P576"/>
    <x v="1"/>
    <x v="0"/>
    <x v="2"/>
    <s v="Puma"/>
    <n v="4"/>
    <n v="815.94"/>
    <n v="1036.21"/>
    <n v="3"/>
    <s v="Q1"/>
    <n v="2024"/>
    <x v="0"/>
    <n v="1958.2560000000003"/>
    <n v="922.04600000000028"/>
  </r>
  <r>
    <s v="ORD00551"/>
    <d v="2025-03-20T00:00:00"/>
    <s v="C2190"/>
    <x v="550"/>
    <d v="2025-03-24T00:00:00"/>
    <x v="2"/>
    <x v="2"/>
    <s v="Fitness"/>
    <x v="6"/>
    <s v="Charlotte"/>
    <s v="Female"/>
    <n v="49"/>
    <n v="3"/>
    <n v="20"/>
    <s v="P207"/>
    <x v="2"/>
    <x v="0"/>
    <x v="3"/>
    <s v="Decathlon"/>
    <n v="4"/>
    <n v="903.59"/>
    <n v="1360.69"/>
    <n v="4"/>
    <s v="Q1"/>
    <n v="2025"/>
    <x v="6"/>
    <n v="2168.616"/>
    <n v="807.92599999999993"/>
  </r>
  <r>
    <s v="ORD00552"/>
    <d v="2025-06-16T00:00:00"/>
    <s v="C2335"/>
    <x v="551"/>
    <d v="2025-06-23T00:00:00"/>
    <x v="3"/>
    <x v="3"/>
    <s v="Kitchen"/>
    <x v="22"/>
    <s v="Chicago"/>
    <s v="Female"/>
    <n v="25"/>
    <n v="2"/>
    <n v="20"/>
    <s v="P777"/>
    <x v="0"/>
    <x v="4"/>
    <x v="0"/>
    <s v="Philips"/>
    <n v="4"/>
    <n v="337.71"/>
    <n v="391.72"/>
    <n v="7"/>
    <s v="Q2"/>
    <n v="2025"/>
    <x v="2"/>
    <n v="540.33600000000001"/>
    <n v="148.61599999999999"/>
  </r>
  <r>
    <s v="ORD00553"/>
    <d v="2025-03-18T00:00:00"/>
    <s v="C5699"/>
    <x v="552"/>
    <d v="2025-03-22T00:00:00"/>
    <x v="8"/>
    <x v="1"/>
    <s v="Shoes"/>
    <x v="3"/>
    <s v="Dallas"/>
    <s v="Male"/>
    <n v="34"/>
    <n v="2"/>
    <n v="25"/>
    <s v="P516"/>
    <x v="1"/>
    <x v="4"/>
    <x v="0"/>
    <s v="Nike"/>
    <n v="3"/>
    <n v="75.790000000000006"/>
    <n v="88.19"/>
    <n v="4"/>
    <s v="Q1"/>
    <n v="2025"/>
    <x v="6"/>
    <n v="113.685"/>
    <n v="25.495000000000005"/>
  </r>
  <r>
    <s v="ORD00554"/>
    <d v="2024-05-20T00:00:00"/>
    <s v="C4490"/>
    <x v="553"/>
    <d v="2024-05-23T00:00:00"/>
    <x v="1"/>
    <x v="1"/>
    <s v="Shirt"/>
    <x v="19"/>
    <s v="Annapolis"/>
    <s v="Male"/>
    <n v="41"/>
    <n v="2"/>
    <n v="0"/>
    <s v="P357"/>
    <x v="2"/>
    <x v="4"/>
    <x v="1"/>
    <s v="Puma"/>
    <n v="2"/>
    <n v="325.89"/>
    <n v="549.09"/>
    <n v="3"/>
    <s v="Q2"/>
    <n v="2024"/>
    <x v="9"/>
    <n v="651.78"/>
    <n v="102.68999999999994"/>
  </r>
  <r>
    <s v="ORD00555"/>
    <d v="2026-06-18T00:00:00"/>
    <s v="C9603"/>
    <x v="554"/>
    <d v="2026-06-19T00:00:00"/>
    <x v="2"/>
    <x v="2"/>
    <s v="Fitness"/>
    <x v="17"/>
    <s v="Pittsburgh"/>
    <s v="Male"/>
    <n v="39"/>
    <n v="1"/>
    <n v="15"/>
    <s v="P140"/>
    <x v="0"/>
    <x v="0"/>
    <x v="0"/>
    <s v="Decathlon"/>
    <n v="2"/>
    <n v="605.36"/>
    <n v="285.05"/>
    <n v="1"/>
    <s v="Q2"/>
    <n v="2026"/>
    <x v="2"/>
    <n v="514.55600000000004"/>
    <n v="229.50600000000003"/>
  </r>
  <r>
    <s v="ORD00556"/>
    <d v="2026-03-20T00:00:00"/>
    <s v="C8107"/>
    <x v="555"/>
    <d v="2026-03-26T00:00:00"/>
    <x v="9"/>
    <x v="0"/>
    <s v="Skincare"/>
    <x v="4"/>
    <s v="Mesa"/>
    <s v="Female"/>
    <n v="22"/>
    <n v="1"/>
    <n v="5"/>
    <s v="P515"/>
    <x v="1"/>
    <x v="3"/>
    <x v="3"/>
    <s v="Nivea"/>
    <n v="1"/>
    <n v="597.9"/>
    <n v="434.68"/>
    <n v="6"/>
    <s v="Q1"/>
    <n v="2026"/>
    <x v="6"/>
    <n v="568.005"/>
    <n v="133.32499999999999"/>
  </r>
  <r>
    <s v="ORD00557"/>
    <d v="2025-02-04T00:00:00"/>
    <s v="C3598"/>
    <x v="556"/>
    <d v="2025-02-05T00:00:00"/>
    <x v="3"/>
    <x v="3"/>
    <s v="Kitchen"/>
    <x v="15"/>
    <s v="Colorado Springs"/>
    <s v="Male"/>
    <n v="43"/>
    <n v="2"/>
    <n v="10"/>
    <s v="P836"/>
    <x v="2"/>
    <x v="1"/>
    <x v="2"/>
    <s v="Philips"/>
    <n v="2"/>
    <n v="777.98"/>
    <n v="1120.24"/>
    <n v="1"/>
    <s v="Q1"/>
    <n v="2025"/>
    <x v="5"/>
    <n v="1400.364"/>
    <n v="280.12400000000002"/>
  </r>
  <r>
    <s v="ORD00558"/>
    <d v="2024-06-24T00:00:00"/>
    <s v="C7723"/>
    <x v="557"/>
    <d v="2024-06-30T00:00:00"/>
    <x v="6"/>
    <x v="5"/>
    <s v="Snacks"/>
    <x v="8"/>
    <s v="Orlando"/>
    <s v="Male"/>
    <n v="47"/>
    <n v="5"/>
    <n v="25"/>
    <s v="P542"/>
    <x v="2"/>
    <x v="0"/>
    <x v="3"/>
    <s v="Britannia"/>
    <n v="5"/>
    <n v="419.58"/>
    <n v="1222.51"/>
    <n v="6"/>
    <s v="Q2"/>
    <n v="2024"/>
    <x v="2"/>
    <n v="1573.4250000000002"/>
    <n v="350.91500000000019"/>
  </r>
  <r>
    <s v="ORD00559"/>
    <d v="2026-06-12T00:00:00"/>
    <s v="C2216"/>
    <x v="558"/>
    <d v="2026-06-14T00:00:00"/>
    <x v="9"/>
    <x v="0"/>
    <s v="Skincare"/>
    <x v="16"/>
    <s v="Seattle"/>
    <s v="Male"/>
    <n v="18"/>
    <n v="3"/>
    <n v="0"/>
    <s v="P483"/>
    <x v="2"/>
    <x v="3"/>
    <x v="1"/>
    <s v="Nivea"/>
    <n v="4"/>
    <n v="301.49"/>
    <n v="581.05999999999995"/>
    <n v="2"/>
    <s v="Q2"/>
    <n v="2026"/>
    <x v="2"/>
    <n v="904.47"/>
    <n v="323.41000000000008"/>
  </r>
  <r>
    <s v="ORD00560"/>
    <d v="2025-04-29T00:00:00"/>
    <s v="C6929"/>
    <x v="559"/>
    <d v="2025-05-05T00:00:00"/>
    <x v="1"/>
    <x v="1"/>
    <s v="Shirt"/>
    <x v="20"/>
    <s v="Virginia Beach"/>
    <s v="Female"/>
    <n v="58"/>
    <n v="3"/>
    <n v="25"/>
    <s v="P640"/>
    <x v="1"/>
    <x v="4"/>
    <x v="3"/>
    <s v="Puma"/>
    <n v="3"/>
    <n v="490.5"/>
    <n v="725.13"/>
    <n v="6"/>
    <s v="Q2"/>
    <n v="2025"/>
    <x v="3"/>
    <n v="1103.625"/>
    <n v="378.495"/>
  </r>
  <r>
    <s v="ORD00561"/>
    <d v="2025-08-08T00:00:00"/>
    <s v="C7394"/>
    <x v="560"/>
    <d v="2025-08-15T00:00:00"/>
    <x v="9"/>
    <x v="0"/>
    <s v="Skincare"/>
    <x v="23"/>
    <s v="Saint Paul"/>
    <s v="Female"/>
    <n v="18"/>
    <n v="3"/>
    <n v="30"/>
    <s v="P684"/>
    <x v="0"/>
    <x v="2"/>
    <x v="2"/>
    <s v="Nivea"/>
    <n v="2"/>
    <n v="316.2"/>
    <n v="524.38"/>
    <n v="7"/>
    <s v="Q3"/>
    <n v="2025"/>
    <x v="11"/>
    <n v="664.01999999999987"/>
    <n v="139.63999999999987"/>
  </r>
  <r>
    <s v="ORD00562"/>
    <d v="2024-05-04T00:00:00"/>
    <s v="C9581"/>
    <x v="561"/>
    <d v="2024-05-10T00:00:00"/>
    <x v="2"/>
    <x v="2"/>
    <s v="Fitness"/>
    <x v="9"/>
    <s v="Mobile"/>
    <s v="Female"/>
    <n v="62"/>
    <n v="4"/>
    <n v="5"/>
    <s v="P182"/>
    <x v="0"/>
    <x v="3"/>
    <x v="2"/>
    <s v="Decathlon"/>
    <n v="5"/>
    <n v="460.62"/>
    <n v="944.72"/>
    <n v="6"/>
    <s v="Q2"/>
    <n v="2024"/>
    <x v="9"/>
    <n v="1750.356"/>
    <n v="805.63599999999997"/>
  </r>
  <r>
    <s v="ORD00563"/>
    <d v="2026-05-01T00:00:00"/>
    <s v="C5158"/>
    <x v="562"/>
    <d v="2026-05-07T00:00:00"/>
    <x v="4"/>
    <x v="4"/>
    <s v="Mobile"/>
    <x v="3"/>
    <s v="Houston"/>
    <s v="Male"/>
    <n v="39"/>
    <n v="2"/>
    <n v="10"/>
    <s v="P307"/>
    <x v="1"/>
    <x v="3"/>
    <x v="3"/>
    <s v="Samsung"/>
    <n v="5"/>
    <n v="612.55999999999995"/>
    <n v="909.93"/>
    <n v="6"/>
    <s v="Q2"/>
    <n v="2026"/>
    <x v="9"/>
    <n v="1102.6079999999999"/>
    <n v="192.678"/>
  </r>
  <r>
    <s v="ORD00564"/>
    <d v="2024-12-05T00:00:00"/>
    <s v="C3588"/>
    <x v="563"/>
    <d v="2024-12-07T00:00:00"/>
    <x v="4"/>
    <x v="4"/>
    <s v="Mobile"/>
    <x v="14"/>
    <s v="St. Louis"/>
    <s v="Male"/>
    <n v="52"/>
    <n v="1"/>
    <n v="5"/>
    <s v="P234"/>
    <x v="0"/>
    <x v="0"/>
    <x v="2"/>
    <s v="Samsung"/>
    <n v="1"/>
    <n v="98.8"/>
    <n v="50.62"/>
    <n v="2"/>
    <s v="Q4"/>
    <n v="2024"/>
    <x v="7"/>
    <n v="93.86"/>
    <n v="43.24"/>
  </r>
  <r>
    <s v="ORD00565"/>
    <d v="2024-09-15T00:00:00"/>
    <s v="C9947"/>
    <x v="564"/>
    <d v="2024-09-18T00:00:00"/>
    <x v="9"/>
    <x v="0"/>
    <s v="Skincare"/>
    <x v="21"/>
    <s v="Charleston"/>
    <s v="Male"/>
    <n v="40"/>
    <n v="5"/>
    <n v="10"/>
    <s v="P932"/>
    <x v="1"/>
    <x v="4"/>
    <x v="2"/>
    <s v="Nivea"/>
    <n v="1"/>
    <n v="227.91"/>
    <n v="855.1"/>
    <n v="3"/>
    <s v="Q3"/>
    <n v="2024"/>
    <x v="1"/>
    <n v="1025.595"/>
    <n v="170.495"/>
  </r>
  <r>
    <s v="ORD00566"/>
    <d v="2024-08-13T00:00:00"/>
    <s v="C9409"/>
    <x v="565"/>
    <d v="2024-08-16T00:00:00"/>
    <x v="3"/>
    <x v="3"/>
    <s v="Kitchen"/>
    <x v="15"/>
    <s v="Boulder"/>
    <s v="Male"/>
    <n v="18"/>
    <n v="3"/>
    <n v="10"/>
    <s v="P937"/>
    <x v="1"/>
    <x v="2"/>
    <x v="2"/>
    <s v="Philips"/>
    <n v="1"/>
    <n v="617.21"/>
    <n v="1166.5899999999999"/>
    <n v="3"/>
    <s v="Q3"/>
    <n v="2024"/>
    <x v="11"/>
    <n v="1666.4670000000001"/>
    <n v="499.87700000000018"/>
  </r>
  <r>
    <s v="ORD00567"/>
    <d v="2025-11-26T00:00:00"/>
    <s v="C5865"/>
    <x v="566"/>
    <d v="2025-12-01T00:00:00"/>
    <x v="3"/>
    <x v="3"/>
    <s v="Kitchen"/>
    <x v="7"/>
    <s v="Rochester"/>
    <s v="Female"/>
    <n v="48"/>
    <n v="3"/>
    <n v="30"/>
    <s v="P910"/>
    <x v="0"/>
    <x v="0"/>
    <x v="0"/>
    <s v="Philips"/>
    <n v="3"/>
    <n v="841.15"/>
    <n v="973.73"/>
    <n v="5"/>
    <s v="Q4"/>
    <n v="2025"/>
    <x v="10"/>
    <n v="1766.4149999999997"/>
    <n v="792.68499999999972"/>
  </r>
  <r>
    <s v="ORD00568"/>
    <d v="2024-02-05T00:00:00"/>
    <s v="C2168"/>
    <x v="567"/>
    <d v="2024-02-11T00:00:00"/>
    <x v="3"/>
    <x v="3"/>
    <s v="Kitchen"/>
    <x v="23"/>
    <s v="Minneapolis"/>
    <s v="Male"/>
    <n v="31"/>
    <n v="3"/>
    <n v="30"/>
    <s v="P252"/>
    <x v="1"/>
    <x v="4"/>
    <x v="1"/>
    <s v="Philips"/>
    <n v="2"/>
    <n v="250.22"/>
    <n v="344.4"/>
    <n v="6"/>
    <s v="Q1"/>
    <n v="2024"/>
    <x v="5"/>
    <n v="525.46199999999999"/>
    <n v="181.06200000000001"/>
  </r>
  <r>
    <s v="ORD00569"/>
    <d v="2024-05-28T00:00:00"/>
    <s v="C3369"/>
    <x v="568"/>
    <d v="2024-06-03T00:00:00"/>
    <x v="4"/>
    <x v="4"/>
    <s v="Mobile"/>
    <x v="18"/>
    <s v="Memphis"/>
    <s v="Female"/>
    <n v="61"/>
    <n v="4"/>
    <n v="10"/>
    <s v="P834"/>
    <x v="2"/>
    <x v="2"/>
    <x v="1"/>
    <s v="Samsung"/>
    <n v="5"/>
    <n v="629.61"/>
    <n v="1257.52"/>
    <n v="6"/>
    <s v="Q2"/>
    <n v="2024"/>
    <x v="9"/>
    <n v="2266.596"/>
    <n v="1009.076"/>
  </r>
  <r>
    <s v="ORD00570"/>
    <d v="2026-05-10T00:00:00"/>
    <s v="C8593"/>
    <x v="569"/>
    <d v="2026-05-17T00:00:00"/>
    <x v="7"/>
    <x v="4"/>
    <s v="Laptop"/>
    <x v="22"/>
    <s v="Naperville"/>
    <s v="Male"/>
    <n v="31"/>
    <n v="3"/>
    <n v="30"/>
    <s v="P475"/>
    <x v="2"/>
    <x v="2"/>
    <x v="0"/>
    <s v="Dell"/>
    <n v="2"/>
    <n v="24.56"/>
    <n v="37.729999999999997"/>
    <n v="7"/>
    <s v="Q2"/>
    <n v="2026"/>
    <x v="9"/>
    <n v="51.575999999999993"/>
    <n v="13.845999999999997"/>
  </r>
  <r>
    <s v="ORD00571"/>
    <d v="2026-05-23T00:00:00"/>
    <s v="C8562"/>
    <x v="570"/>
    <d v="2026-05-26T00:00:00"/>
    <x v="7"/>
    <x v="4"/>
    <s v="Laptop"/>
    <x v="20"/>
    <s v="Norfolk"/>
    <s v="Male"/>
    <n v="26"/>
    <n v="1"/>
    <n v="15"/>
    <s v="P905"/>
    <x v="1"/>
    <x v="4"/>
    <x v="2"/>
    <s v="Dell"/>
    <n v="3"/>
    <n v="448.08"/>
    <n v="222.84"/>
    <n v="3"/>
    <s v="Q2"/>
    <n v="2026"/>
    <x v="9"/>
    <n v="380.86799999999999"/>
    <n v="158.02799999999999"/>
  </r>
  <r>
    <s v="ORD00572"/>
    <d v="2026-05-17T00:00:00"/>
    <s v="C7032"/>
    <x v="571"/>
    <d v="2026-05-24T00:00:00"/>
    <x v="1"/>
    <x v="1"/>
    <s v="Shirt"/>
    <x v="22"/>
    <s v="Chicago"/>
    <s v="Male"/>
    <n v="22"/>
    <n v="2"/>
    <n v="10"/>
    <s v="P303"/>
    <x v="2"/>
    <x v="0"/>
    <x v="3"/>
    <s v="Puma"/>
    <n v="2"/>
    <n v="753.83"/>
    <n v="986"/>
    <n v="7"/>
    <s v="Q2"/>
    <n v="2026"/>
    <x v="9"/>
    <n v="1356.894"/>
    <n v="370.89400000000001"/>
  </r>
  <r>
    <s v="ORD00573"/>
    <d v="2024-04-06T00:00:00"/>
    <s v="C1243"/>
    <x v="572"/>
    <d v="2024-04-09T00:00:00"/>
    <x v="9"/>
    <x v="0"/>
    <s v="Skincare"/>
    <x v="18"/>
    <s v="Nashville"/>
    <s v="Male"/>
    <n v="44"/>
    <n v="5"/>
    <n v="10"/>
    <s v="P577"/>
    <x v="0"/>
    <x v="1"/>
    <x v="2"/>
    <s v="Nivea"/>
    <n v="4"/>
    <n v="525.12"/>
    <n v="1611.68"/>
    <n v="3"/>
    <s v="Q2"/>
    <n v="2024"/>
    <x v="3"/>
    <n v="2363.04"/>
    <n v="751.3599999999999"/>
  </r>
  <r>
    <s v="ORD00574"/>
    <d v="2025-12-30T00:00:00"/>
    <s v="C8640"/>
    <x v="573"/>
    <d v="2026-01-04T00:00:00"/>
    <x v="2"/>
    <x v="2"/>
    <s v="Fitness"/>
    <x v="1"/>
    <s v="Los Angeles"/>
    <s v="Female"/>
    <n v="36"/>
    <n v="4"/>
    <n v="10"/>
    <s v="P726"/>
    <x v="1"/>
    <x v="3"/>
    <x v="2"/>
    <s v="Decathlon"/>
    <n v="2"/>
    <n v="969.52"/>
    <n v="2845.41"/>
    <n v="5"/>
    <s v="Q4"/>
    <n v="2025"/>
    <x v="7"/>
    <n v="3490.2719999999999"/>
    <n v="644.86200000000008"/>
  </r>
  <r>
    <s v="ORD00575"/>
    <d v="2025-09-17T00:00:00"/>
    <s v="C7518"/>
    <x v="574"/>
    <d v="2025-09-19T00:00:00"/>
    <x v="2"/>
    <x v="2"/>
    <s v="Fitness"/>
    <x v="15"/>
    <s v="Denver"/>
    <s v="Female"/>
    <n v="61"/>
    <n v="2"/>
    <n v="20"/>
    <s v="P691"/>
    <x v="0"/>
    <x v="3"/>
    <x v="0"/>
    <s v="Decathlon"/>
    <n v="2"/>
    <n v="564.74"/>
    <n v="574.62"/>
    <n v="2"/>
    <s v="Q3"/>
    <n v="2025"/>
    <x v="1"/>
    <n v="903.58400000000006"/>
    <n v="328.96400000000006"/>
  </r>
  <r>
    <s v="ORD00576"/>
    <d v="2024-03-14T00:00:00"/>
    <s v="C3760"/>
    <x v="575"/>
    <d v="2024-03-18T00:00:00"/>
    <x v="6"/>
    <x v="5"/>
    <s v="Snacks"/>
    <x v="11"/>
    <s v="Newark"/>
    <s v="Female"/>
    <n v="61"/>
    <n v="5"/>
    <n v="0"/>
    <s v="P812"/>
    <x v="1"/>
    <x v="2"/>
    <x v="3"/>
    <s v="Britannia"/>
    <n v="5"/>
    <n v="243.58"/>
    <n v="615.91"/>
    <n v="4"/>
    <s v="Q1"/>
    <n v="2024"/>
    <x v="6"/>
    <n v="1217.9000000000001"/>
    <n v="601.99000000000012"/>
  </r>
  <r>
    <s v="ORD00577"/>
    <d v="2025-01-11T00:00:00"/>
    <s v="C2363"/>
    <x v="576"/>
    <d v="2025-01-12T00:00:00"/>
    <x v="2"/>
    <x v="2"/>
    <s v="Fitness"/>
    <x v="1"/>
    <s v="Los Angeles"/>
    <s v="Female"/>
    <n v="54"/>
    <n v="5"/>
    <n v="15"/>
    <s v="P910"/>
    <x v="2"/>
    <x v="1"/>
    <x v="2"/>
    <s v="Decathlon"/>
    <n v="5"/>
    <n v="186.64"/>
    <n v="536.35"/>
    <n v="1"/>
    <s v="Q1"/>
    <n v="2025"/>
    <x v="0"/>
    <n v="793.21999999999991"/>
    <n v="256.86999999999989"/>
  </r>
  <r>
    <s v="ORD00578"/>
    <d v="2025-07-04T00:00:00"/>
    <s v="C7414"/>
    <x v="577"/>
    <d v="2025-07-09T00:00:00"/>
    <x v="3"/>
    <x v="3"/>
    <s v="Kitchen"/>
    <x v="2"/>
    <s v="Cleveland"/>
    <s v="Male"/>
    <n v="45"/>
    <n v="1"/>
    <n v="25"/>
    <s v="P603"/>
    <x v="2"/>
    <x v="4"/>
    <x v="2"/>
    <s v="Philips"/>
    <n v="3"/>
    <n v="789.3"/>
    <n v="296.94"/>
    <n v="5"/>
    <s v="Q3"/>
    <n v="2025"/>
    <x v="4"/>
    <n v="591.97499999999991"/>
    <n v="295.03499999999991"/>
  </r>
  <r>
    <s v="ORD00579"/>
    <d v="2025-10-12T00:00:00"/>
    <s v="C3923"/>
    <x v="578"/>
    <d v="2025-10-14T00:00:00"/>
    <x v="3"/>
    <x v="3"/>
    <s v="Kitchen"/>
    <x v="2"/>
    <s v="Cleveland"/>
    <s v="Male"/>
    <n v="38"/>
    <n v="2"/>
    <n v="20"/>
    <s v="P235"/>
    <x v="2"/>
    <x v="3"/>
    <x v="0"/>
    <s v="Philips"/>
    <n v="3"/>
    <n v="787.46"/>
    <n v="821.56"/>
    <n v="2"/>
    <s v="Q4"/>
    <n v="2025"/>
    <x v="8"/>
    <n v="1259.9360000000001"/>
    <n v="438.3760000000002"/>
  </r>
  <r>
    <s v="ORD00580"/>
    <d v="2025-09-05T00:00:00"/>
    <s v="C4071"/>
    <x v="579"/>
    <d v="2025-09-10T00:00:00"/>
    <x v="6"/>
    <x v="5"/>
    <s v="Snacks"/>
    <x v="11"/>
    <s v="Jersey City"/>
    <s v="Female"/>
    <n v="38"/>
    <n v="5"/>
    <n v="0"/>
    <s v="P576"/>
    <x v="1"/>
    <x v="3"/>
    <x v="0"/>
    <s v="Britannia"/>
    <n v="5"/>
    <n v="778.07"/>
    <n v="2763.08"/>
    <n v="5"/>
    <s v="Q3"/>
    <n v="2025"/>
    <x v="1"/>
    <n v="3890.3500000000004"/>
    <n v="1127.2700000000004"/>
  </r>
  <r>
    <s v="ORD00581"/>
    <d v="2024-10-12T00:00:00"/>
    <s v="C1948"/>
    <x v="580"/>
    <d v="2024-10-18T00:00:00"/>
    <x v="9"/>
    <x v="0"/>
    <s v="Skincare"/>
    <x v="1"/>
    <s v="Los Angeles"/>
    <s v="Female"/>
    <n v="31"/>
    <n v="3"/>
    <n v="10"/>
    <s v="P757"/>
    <x v="1"/>
    <x v="3"/>
    <x v="2"/>
    <s v="Nivea"/>
    <n v="1"/>
    <n v="756.45"/>
    <n v="1107.75"/>
    <n v="6"/>
    <s v="Q4"/>
    <n v="2024"/>
    <x v="8"/>
    <n v="2042.4150000000004"/>
    <n v="934.66500000000042"/>
  </r>
  <r>
    <s v="ORD00582"/>
    <d v="2026-05-20T00:00:00"/>
    <s v="C4770"/>
    <x v="581"/>
    <d v="2026-05-21T00:00:00"/>
    <x v="8"/>
    <x v="1"/>
    <s v="Shoes"/>
    <x v="17"/>
    <s v="Pittsburgh"/>
    <s v="Female"/>
    <n v="43"/>
    <n v="2"/>
    <n v="25"/>
    <s v="P994"/>
    <x v="0"/>
    <x v="3"/>
    <x v="2"/>
    <s v="Nike"/>
    <n v="3"/>
    <n v="448.24"/>
    <n v="446.96"/>
    <n v="1"/>
    <s v="Q2"/>
    <n v="2026"/>
    <x v="9"/>
    <n v="672.36"/>
    <n v="225.40000000000003"/>
  </r>
  <r>
    <s v="ORD00583"/>
    <d v="2026-01-04T00:00:00"/>
    <s v="C4654"/>
    <x v="582"/>
    <d v="2026-01-08T00:00:00"/>
    <x v="9"/>
    <x v="0"/>
    <s v="Skincare"/>
    <x v="20"/>
    <s v="Virginia Beach"/>
    <s v="Female"/>
    <n v="24"/>
    <n v="2"/>
    <n v="15"/>
    <s v="P980"/>
    <x v="1"/>
    <x v="1"/>
    <x v="0"/>
    <s v="Nivea"/>
    <n v="1"/>
    <n v="833.32"/>
    <n v="954.68"/>
    <n v="4"/>
    <s v="Q1"/>
    <n v="2026"/>
    <x v="0"/>
    <n v="1416.644"/>
    <n v="461.96400000000006"/>
  </r>
  <r>
    <s v="ORD00584"/>
    <d v="2026-06-16T00:00:00"/>
    <s v="C6130"/>
    <x v="583"/>
    <d v="2026-06-17T00:00:00"/>
    <x v="2"/>
    <x v="2"/>
    <s v="Fitness"/>
    <x v="14"/>
    <s v="St. Louis"/>
    <s v="Male"/>
    <n v="45"/>
    <n v="3"/>
    <n v="20"/>
    <s v="P763"/>
    <x v="0"/>
    <x v="1"/>
    <x v="0"/>
    <s v="Decathlon"/>
    <n v="3"/>
    <n v="293.18"/>
    <n v="490.96"/>
    <n v="1"/>
    <s v="Q2"/>
    <n v="2026"/>
    <x v="2"/>
    <n v="703.63200000000006"/>
    <n v="212.67200000000008"/>
  </r>
  <r>
    <s v="ORD00585"/>
    <d v="2024-07-07T00:00:00"/>
    <s v="C6968"/>
    <x v="584"/>
    <d v="2024-07-10T00:00:00"/>
    <x v="6"/>
    <x v="5"/>
    <s v="Snacks"/>
    <x v="17"/>
    <s v="Pittsburgh"/>
    <s v="Male"/>
    <n v="56"/>
    <n v="3"/>
    <n v="25"/>
    <s v="P147"/>
    <x v="1"/>
    <x v="1"/>
    <x v="0"/>
    <s v="Britannia"/>
    <n v="3"/>
    <n v="630.54999999999995"/>
    <n v="732.86"/>
    <n v="3"/>
    <s v="Q3"/>
    <n v="2024"/>
    <x v="4"/>
    <n v="1418.7375"/>
    <n v="685.87749999999994"/>
  </r>
  <r>
    <s v="ORD00586"/>
    <d v="2025-11-05T00:00:00"/>
    <s v="C3131"/>
    <x v="585"/>
    <d v="2025-11-09T00:00:00"/>
    <x v="7"/>
    <x v="4"/>
    <s v="Laptop"/>
    <x v="1"/>
    <s v="San Francisco"/>
    <s v="Male"/>
    <n v="49"/>
    <n v="2"/>
    <n v="5"/>
    <s v="P247"/>
    <x v="0"/>
    <x v="0"/>
    <x v="0"/>
    <s v="Dell"/>
    <n v="2"/>
    <n v="780.91"/>
    <n v="816.54"/>
    <n v="4"/>
    <s v="Q4"/>
    <n v="2025"/>
    <x v="10"/>
    <n v="1483.7289999999998"/>
    <n v="667.18899999999985"/>
  </r>
  <r>
    <s v="ORD00587"/>
    <d v="2024-12-17T00:00:00"/>
    <s v="C2823"/>
    <x v="586"/>
    <d v="2024-12-20T00:00:00"/>
    <x v="4"/>
    <x v="4"/>
    <s v="Mobile"/>
    <x v="22"/>
    <s v="Chicago"/>
    <s v="Female"/>
    <n v="24"/>
    <n v="2"/>
    <n v="15"/>
    <s v="P692"/>
    <x v="2"/>
    <x v="3"/>
    <x v="3"/>
    <s v="Samsung"/>
    <n v="3"/>
    <n v="841.7"/>
    <n v="1002.74"/>
    <n v="3"/>
    <s v="Q4"/>
    <n v="2024"/>
    <x v="7"/>
    <n v="1430.89"/>
    <n v="428.15000000000009"/>
  </r>
  <r>
    <s v="ORD00588"/>
    <d v="2025-09-18T00:00:00"/>
    <s v="C7772"/>
    <x v="587"/>
    <d v="2025-09-24T00:00:00"/>
    <x v="9"/>
    <x v="0"/>
    <s v="Skincare"/>
    <x v="8"/>
    <s v="Orlando"/>
    <s v="Female"/>
    <n v="41"/>
    <n v="3"/>
    <n v="0"/>
    <s v="P735"/>
    <x v="1"/>
    <x v="2"/>
    <x v="3"/>
    <s v="Nivea"/>
    <n v="1"/>
    <n v="552.12"/>
    <n v="1129.24"/>
    <n v="6"/>
    <s v="Q3"/>
    <n v="2025"/>
    <x v="1"/>
    <n v="1656.3600000000001"/>
    <n v="527.12000000000012"/>
  </r>
  <r>
    <s v="ORD00589"/>
    <d v="2024-07-03T00:00:00"/>
    <s v="C1761"/>
    <x v="588"/>
    <d v="2024-07-10T00:00:00"/>
    <x v="9"/>
    <x v="0"/>
    <s v="Skincare"/>
    <x v="20"/>
    <s v="Virginia Beach"/>
    <s v="Female"/>
    <n v="50"/>
    <n v="5"/>
    <n v="15"/>
    <s v="P537"/>
    <x v="0"/>
    <x v="1"/>
    <x v="3"/>
    <s v="Nivea"/>
    <n v="2"/>
    <n v="43.12"/>
    <n v="112.26"/>
    <n v="7"/>
    <s v="Q3"/>
    <n v="2024"/>
    <x v="4"/>
    <n v="183.26"/>
    <n v="70.999999999999986"/>
  </r>
  <r>
    <s v="ORD00590"/>
    <d v="2025-06-03T00:00:00"/>
    <s v="C2907"/>
    <x v="589"/>
    <d v="2025-06-04T00:00:00"/>
    <x v="3"/>
    <x v="3"/>
    <s v="Kitchen"/>
    <x v="15"/>
    <s v="Colorado Springs"/>
    <s v="Male"/>
    <n v="59"/>
    <n v="2"/>
    <n v="30"/>
    <s v="P940"/>
    <x v="0"/>
    <x v="1"/>
    <x v="0"/>
    <s v="Philips"/>
    <n v="5"/>
    <n v="905.54"/>
    <n v="1046.71"/>
    <n v="1"/>
    <s v="Q2"/>
    <n v="2025"/>
    <x v="2"/>
    <n v="1267.7559999999999"/>
    <n v="221.04599999999982"/>
  </r>
  <r>
    <s v="ORD00591"/>
    <d v="2024-08-11T00:00:00"/>
    <s v="C8297"/>
    <x v="590"/>
    <d v="2024-08-15T00:00:00"/>
    <x v="9"/>
    <x v="0"/>
    <s v="Skincare"/>
    <x v="8"/>
    <s v="Orlando"/>
    <s v="Male"/>
    <n v="61"/>
    <n v="3"/>
    <n v="10"/>
    <s v="P690"/>
    <x v="0"/>
    <x v="3"/>
    <x v="3"/>
    <s v="Nivea"/>
    <n v="4"/>
    <n v="117.31"/>
    <n v="167.8"/>
    <n v="4"/>
    <s v="Q3"/>
    <n v="2024"/>
    <x v="11"/>
    <n v="316.73700000000002"/>
    <n v="148.93700000000001"/>
  </r>
  <r>
    <s v="ORD00592"/>
    <d v="2024-09-11T00:00:00"/>
    <s v="C4785"/>
    <x v="591"/>
    <d v="2024-09-18T00:00:00"/>
    <x v="5"/>
    <x v="3"/>
    <s v="Furniture"/>
    <x v="3"/>
    <s v="San Antonio"/>
    <s v="Female"/>
    <n v="20"/>
    <n v="4"/>
    <n v="25"/>
    <s v="P762"/>
    <x v="0"/>
    <x v="2"/>
    <x v="2"/>
    <s v="IKEA"/>
    <n v="3"/>
    <n v="282.45999999999998"/>
    <n v="504.34"/>
    <n v="7"/>
    <s v="Q3"/>
    <n v="2024"/>
    <x v="1"/>
    <n v="847.37999999999988"/>
    <n v="343.03999999999991"/>
  </r>
  <r>
    <s v="ORD00593"/>
    <d v="2025-02-01T00:00:00"/>
    <s v="C1042"/>
    <x v="592"/>
    <d v="2025-02-04T00:00:00"/>
    <x v="1"/>
    <x v="1"/>
    <s v="Shirt"/>
    <x v="19"/>
    <s v="Baltimore"/>
    <s v="Male"/>
    <n v="54"/>
    <n v="4"/>
    <n v="5"/>
    <s v="P172"/>
    <x v="2"/>
    <x v="3"/>
    <x v="0"/>
    <s v="Puma"/>
    <n v="5"/>
    <n v="482.27"/>
    <n v="1139.19"/>
    <n v="3"/>
    <s v="Q1"/>
    <n v="2025"/>
    <x v="5"/>
    <n v="1832.6259999999997"/>
    <n v="693.43599999999969"/>
  </r>
  <r>
    <s v="ORD00594"/>
    <d v="2026-02-28T00:00:00"/>
    <s v="C4330"/>
    <x v="593"/>
    <d v="2026-03-07T00:00:00"/>
    <x v="6"/>
    <x v="5"/>
    <s v="Snacks"/>
    <x v="11"/>
    <s v="Newark"/>
    <s v="Male"/>
    <n v="41"/>
    <n v="5"/>
    <n v="10"/>
    <s v="P992"/>
    <x v="1"/>
    <x v="0"/>
    <x v="0"/>
    <s v="Britannia"/>
    <n v="5"/>
    <n v="465.3"/>
    <n v="1189.6600000000001"/>
    <n v="7"/>
    <s v="Q1"/>
    <n v="2026"/>
    <x v="5"/>
    <n v="2093.85"/>
    <n v="904.18999999999983"/>
  </r>
  <r>
    <s v="ORD00595"/>
    <d v="2025-11-22T00:00:00"/>
    <s v="C5133"/>
    <x v="594"/>
    <d v="2025-11-24T00:00:00"/>
    <x v="2"/>
    <x v="2"/>
    <s v="Fitness"/>
    <x v="22"/>
    <s v="Naperville"/>
    <s v="Female"/>
    <n v="25"/>
    <n v="5"/>
    <n v="0"/>
    <s v="P271"/>
    <x v="2"/>
    <x v="3"/>
    <x v="2"/>
    <s v="Decathlon"/>
    <n v="4"/>
    <n v="136.41999999999999"/>
    <n v="355.19"/>
    <n v="2"/>
    <s v="Q4"/>
    <n v="2025"/>
    <x v="10"/>
    <n v="682.09999999999991"/>
    <n v="326.90999999999991"/>
  </r>
  <r>
    <s v="ORD00596"/>
    <d v="2026-05-25T00:00:00"/>
    <s v="C2960"/>
    <x v="595"/>
    <d v="2026-05-27T00:00:00"/>
    <x v="6"/>
    <x v="5"/>
    <s v="Snacks"/>
    <x v="6"/>
    <s v="Charlotte"/>
    <s v="Female"/>
    <n v="30"/>
    <n v="5"/>
    <n v="0"/>
    <s v="P763"/>
    <x v="2"/>
    <x v="1"/>
    <x v="2"/>
    <s v="Britannia"/>
    <n v="1"/>
    <n v="553.69000000000005"/>
    <n v="1531.13"/>
    <n v="2"/>
    <s v="Q2"/>
    <n v="2026"/>
    <x v="9"/>
    <n v="2768.4500000000003"/>
    <n v="1237.3200000000002"/>
  </r>
  <r>
    <s v="ORD00597"/>
    <d v="2025-11-20T00:00:00"/>
    <s v="C9046"/>
    <x v="596"/>
    <d v="2025-11-21T00:00:00"/>
    <x v="7"/>
    <x v="4"/>
    <s v="Laptop"/>
    <x v="7"/>
    <s v="Buffalo"/>
    <s v="Male"/>
    <n v="52"/>
    <n v="3"/>
    <n v="30"/>
    <s v="P183"/>
    <x v="2"/>
    <x v="4"/>
    <x v="2"/>
    <s v="Dell"/>
    <n v="4"/>
    <n v="751.63"/>
    <n v="1143.01"/>
    <n v="1"/>
    <s v="Q4"/>
    <n v="2025"/>
    <x v="10"/>
    <n v="1578.4229999999998"/>
    <n v="435.41299999999978"/>
  </r>
  <r>
    <s v="ORD00598"/>
    <d v="2024-08-28T00:00:00"/>
    <s v="C1998"/>
    <x v="597"/>
    <d v="2024-09-01T00:00:00"/>
    <x v="7"/>
    <x v="4"/>
    <s v="Laptop"/>
    <x v="11"/>
    <s v="Newark"/>
    <s v="Female"/>
    <n v="32"/>
    <n v="5"/>
    <n v="5"/>
    <s v="P737"/>
    <x v="1"/>
    <x v="0"/>
    <x v="1"/>
    <s v="Dell"/>
    <n v="2"/>
    <n v="967.42"/>
    <n v="3597.23"/>
    <n v="4"/>
    <s v="Q3"/>
    <n v="2024"/>
    <x v="11"/>
    <n v="4595.244999999999"/>
    <n v="998.01499999999896"/>
  </r>
  <r>
    <s v="ORD00599"/>
    <d v="2024-08-23T00:00:00"/>
    <s v="C4373"/>
    <x v="598"/>
    <d v="2024-08-27T00:00:00"/>
    <x v="5"/>
    <x v="3"/>
    <s v="Furniture"/>
    <x v="8"/>
    <s v="Tampa"/>
    <s v="Female"/>
    <n v="47"/>
    <n v="3"/>
    <n v="20"/>
    <s v="P657"/>
    <x v="0"/>
    <x v="4"/>
    <x v="2"/>
    <s v="IKEA"/>
    <n v="2"/>
    <n v="104.43"/>
    <n v="132.74"/>
    <n v="4"/>
    <s v="Q3"/>
    <n v="2024"/>
    <x v="11"/>
    <n v="250.63200000000003"/>
    <n v="117.89200000000002"/>
  </r>
  <r>
    <s v="ORD00600"/>
    <d v="2025-03-04T00:00:00"/>
    <s v="C3888"/>
    <x v="599"/>
    <d v="2025-03-09T00:00:00"/>
    <x v="1"/>
    <x v="1"/>
    <s v="Shirt"/>
    <x v="6"/>
    <s v="Raleigh"/>
    <s v="Male"/>
    <n v="33"/>
    <n v="3"/>
    <n v="10"/>
    <s v="P682"/>
    <x v="2"/>
    <x v="3"/>
    <x v="2"/>
    <s v="Puma"/>
    <n v="1"/>
    <n v="423.84"/>
    <n v="573.54"/>
    <n v="5"/>
    <s v="Q1"/>
    <n v="2025"/>
    <x v="6"/>
    <n v="1144.3679999999999"/>
    <n v="570.82799999999997"/>
  </r>
  <r>
    <s v="ORD00601"/>
    <d v="2025-07-28T00:00:00"/>
    <s v="C5250"/>
    <x v="600"/>
    <d v="2025-07-31T00:00:00"/>
    <x v="9"/>
    <x v="0"/>
    <s v="Skincare"/>
    <x v="6"/>
    <s v="Greensboro"/>
    <s v="Female"/>
    <n v="61"/>
    <n v="3"/>
    <n v="25"/>
    <s v="P438"/>
    <x v="0"/>
    <x v="1"/>
    <x v="3"/>
    <s v="Nivea"/>
    <n v="1"/>
    <n v="243.71"/>
    <n v="317.32"/>
    <n v="3"/>
    <s v="Q3"/>
    <n v="2025"/>
    <x v="4"/>
    <n v="548.34749999999997"/>
    <n v="231.02749999999997"/>
  </r>
  <r>
    <s v="ORD00602"/>
    <d v="2024-09-04T00:00:00"/>
    <s v="C4068"/>
    <x v="601"/>
    <d v="2024-09-11T00:00:00"/>
    <x v="3"/>
    <x v="3"/>
    <s v="Kitchen"/>
    <x v="8"/>
    <s v="Miami"/>
    <s v="Female"/>
    <n v="56"/>
    <n v="1"/>
    <n v="20"/>
    <s v="P116"/>
    <x v="1"/>
    <x v="3"/>
    <x v="2"/>
    <s v="Philips"/>
    <n v="2"/>
    <n v="689.69"/>
    <n v="377.13"/>
    <n v="7"/>
    <s v="Q3"/>
    <n v="2024"/>
    <x v="1"/>
    <n v="551.75200000000007"/>
    <n v="174.62200000000007"/>
  </r>
  <r>
    <s v="ORD00603"/>
    <d v="2026-03-31T00:00:00"/>
    <s v="C6370"/>
    <x v="602"/>
    <d v="2026-04-02T00:00:00"/>
    <x v="3"/>
    <x v="3"/>
    <s v="Kitchen"/>
    <x v="2"/>
    <s v="Cleveland"/>
    <s v="Female"/>
    <n v="51"/>
    <n v="2"/>
    <n v="15"/>
    <s v="P790"/>
    <x v="2"/>
    <x v="0"/>
    <x v="3"/>
    <s v="Philips"/>
    <n v="2"/>
    <n v="69.290000000000006"/>
    <n v="60.16"/>
    <n v="2"/>
    <s v="Q1"/>
    <n v="2026"/>
    <x v="6"/>
    <n v="117.79300000000001"/>
    <n v="57.63300000000001"/>
  </r>
  <r>
    <s v="ORD00604"/>
    <d v="2025-04-25T00:00:00"/>
    <s v="C2650"/>
    <x v="603"/>
    <d v="2025-04-26T00:00:00"/>
    <x v="3"/>
    <x v="3"/>
    <s v="Kitchen"/>
    <x v="20"/>
    <s v="Norfolk"/>
    <s v="Male"/>
    <n v="62"/>
    <n v="1"/>
    <n v="15"/>
    <s v="P104"/>
    <x v="0"/>
    <x v="3"/>
    <x v="2"/>
    <s v="Philips"/>
    <n v="5"/>
    <n v="596.9"/>
    <n v="411.16"/>
    <n v="1"/>
    <s v="Q2"/>
    <n v="2025"/>
    <x v="3"/>
    <n v="507.36499999999995"/>
    <n v="96.204999999999927"/>
  </r>
  <r>
    <s v="ORD00605"/>
    <d v="2026-03-28T00:00:00"/>
    <s v="C9831"/>
    <x v="604"/>
    <d v="2026-04-03T00:00:00"/>
    <x v="3"/>
    <x v="3"/>
    <s v="Kitchen"/>
    <x v="6"/>
    <s v="Raleigh"/>
    <s v="Male"/>
    <n v="26"/>
    <n v="1"/>
    <n v="10"/>
    <s v="P640"/>
    <x v="0"/>
    <x v="4"/>
    <x v="3"/>
    <s v="Philips"/>
    <n v="2"/>
    <n v="150.33000000000001"/>
    <n v="88.06"/>
    <n v="6"/>
    <s v="Q1"/>
    <n v="2026"/>
    <x v="6"/>
    <n v="135.29700000000003"/>
    <n v="47.237000000000023"/>
  </r>
  <r>
    <s v="ORD00606"/>
    <d v="2025-12-09T00:00:00"/>
    <s v="C4857"/>
    <x v="605"/>
    <d v="2025-12-12T00:00:00"/>
    <x v="8"/>
    <x v="1"/>
    <s v="Shoes"/>
    <x v="2"/>
    <s v="Columbus"/>
    <s v="Male"/>
    <n v="39"/>
    <n v="4"/>
    <n v="15"/>
    <s v="P736"/>
    <x v="2"/>
    <x v="4"/>
    <x v="1"/>
    <s v="Nike"/>
    <n v="2"/>
    <n v="300.99"/>
    <n v="741.26"/>
    <n v="3"/>
    <s v="Q4"/>
    <n v="2025"/>
    <x v="7"/>
    <n v="1023.366"/>
    <n v="282.10599999999999"/>
  </r>
  <r>
    <s v="ORD00607"/>
    <d v="2024-04-15T00:00:00"/>
    <s v="C2438"/>
    <x v="606"/>
    <d v="2024-04-18T00:00:00"/>
    <x v="2"/>
    <x v="2"/>
    <s v="Fitness"/>
    <x v="3"/>
    <s v="Austin"/>
    <s v="Female"/>
    <n v="32"/>
    <n v="4"/>
    <n v="5"/>
    <s v="P911"/>
    <x v="0"/>
    <x v="1"/>
    <x v="3"/>
    <s v="Decathlon"/>
    <n v="3"/>
    <n v="568.14"/>
    <n v="1136.75"/>
    <n v="3"/>
    <s v="Q2"/>
    <n v="2024"/>
    <x v="3"/>
    <n v="2158.9319999999998"/>
    <n v="1022.1819999999998"/>
  </r>
  <r>
    <s v="ORD00608"/>
    <d v="2025-07-12T00:00:00"/>
    <s v="C7543"/>
    <x v="607"/>
    <d v="2025-07-16T00:00:00"/>
    <x v="1"/>
    <x v="1"/>
    <s v="Shirt"/>
    <x v="13"/>
    <s v="Augusta"/>
    <s v="Male"/>
    <n v="33"/>
    <n v="2"/>
    <n v="5"/>
    <s v="P755"/>
    <x v="2"/>
    <x v="2"/>
    <x v="1"/>
    <s v="Puma"/>
    <n v="3"/>
    <n v="682.29"/>
    <n v="980.23"/>
    <n v="4"/>
    <s v="Q3"/>
    <n v="2025"/>
    <x v="4"/>
    <n v="1296.3509999999999"/>
    <n v="316.12099999999987"/>
  </r>
  <r>
    <s v="ORD00609"/>
    <d v="2024-02-10T00:00:00"/>
    <s v="C5795"/>
    <x v="608"/>
    <d v="2024-02-14T00:00:00"/>
    <x v="7"/>
    <x v="4"/>
    <s v="Laptop"/>
    <x v="7"/>
    <s v="Buffalo"/>
    <s v="Female"/>
    <n v="23"/>
    <n v="3"/>
    <n v="20"/>
    <s v="P487"/>
    <x v="1"/>
    <x v="0"/>
    <x v="3"/>
    <s v="Dell"/>
    <n v="4"/>
    <n v="43.71"/>
    <n v="58.27"/>
    <n v="4"/>
    <s v="Q1"/>
    <n v="2024"/>
    <x v="5"/>
    <n v="104.904"/>
    <n v="46.633999999999993"/>
  </r>
  <r>
    <s v="ORD00610"/>
    <d v="2025-05-01T00:00:00"/>
    <s v="C5863"/>
    <x v="609"/>
    <d v="2025-05-04T00:00:00"/>
    <x v="9"/>
    <x v="0"/>
    <s v="Skincare"/>
    <x v="17"/>
    <s v="Philadelphia"/>
    <s v="Male"/>
    <n v="23"/>
    <n v="4"/>
    <n v="30"/>
    <s v="P273"/>
    <x v="2"/>
    <x v="1"/>
    <x v="3"/>
    <s v="Nivea"/>
    <n v="1"/>
    <n v="314.61"/>
    <n v="693.34"/>
    <n v="3"/>
    <s v="Q2"/>
    <n v="2025"/>
    <x v="9"/>
    <n v="880.90800000000002"/>
    <n v="187.56799999999998"/>
  </r>
  <r>
    <s v="ORD00611"/>
    <d v="2025-08-01T00:00:00"/>
    <s v="C8285"/>
    <x v="610"/>
    <d v="2025-08-03T00:00:00"/>
    <x v="2"/>
    <x v="2"/>
    <s v="Fitness"/>
    <x v="4"/>
    <s v="Phoenix"/>
    <s v="Female"/>
    <n v="25"/>
    <n v="3"/>
    <n v="15"/>
    <s v="P755"/>
    <x v="2"/>
    <x v="3"/>
    <x v="2"/>
    <s v="Decathlon"/>
    <n v="2"/>
    <n v="709.29"/>
    <n v="1055.6500000000001"/>
    <n v="2"/>
    <s v="Q3"/>
    <n v="2025"/>
    <x v="11"/>
    <n v="1808.6895"/>
    <n v="753.03949999999986"/>
  </r>
  <r>
    <s v="ORD00612"/>
    <d v="2025-02-18T00:00:00"/>
    <s v="C9619"/>
    <x v="611"/>
    <d v="2025-02-20T00:00:00"/>
    <x v="9"/>
    <x v="0"/>
    <s v="Skincare"/>
    <x v="3"/>
    <s v="Austin"/>
    <s v="Male"/>
    <n v="44"/>
    <n v="1"/>
    <n v="25"/>
    <s v="P588"/>
    <x v="2"/>
    <x v="4"/>
    <x v="3"/>
    <s v="Nivea"/>
    <n v="1"/>
    <n v="822.6"/>
    <n v="405.25"/>
    <n v="2"/>
    <s v="Q1"/>
    <n v="2025"/>
    <x v="5"/>
    <n v="616.95000000000005"/>
    <n v="211.70000000000005"/>
  </r>
  <r>
    <s v="ORD00613"/>
    <d v="2024-04-06T00:00:00"/>
    <s v="C8991"/>
    <x v="612"/>
    <d v="2024-04-08T00:00:00"/>
    <x v="2"/>
    <x v="2"/>
    <s v="Fitness"/>
    <x v="3"/>
    <s v="Austin"/>
    <s v="Female"/>
    <n v="50"/>
    <n v="3"/>
    <n v="20"/>
    <s v="P896"/>
    <x v="0"/>
    <x v="1"/>
    <x v="2"/>
    <s v="Decathlon"/>
    <n v="4"/>
    <n v="486.54"/>
    <n v="926.55"/>
    <n v="2"/>
    <s v="Q2"/>
    <n v="2024"/>
    <x v="3"/>
    <n v="1167.6960000000001"/>
    <n v="241.14600000000019"/>
  </r>
  <r>
    <s v="ORD00614"/>
    <d v="2025-09-14T00:00:00"/>
    <s v="C4396"/>
    <x v="613"/>
    <d v="2025-09-18T00:00:00"/>
    <x v="5"/>
    <x v="3"/>
    <s v="Furniture"/>
    <x v="17"/>
    <s v="Philadelphia"/>
    <s v="Male"/>
    <n v="45"/>
    <n v="4"/>
    <n v="0"/>
    <s v="P848"/>
    <x v="0"/>
    <x v="3"/>
    <x v="3"/>
    <s v="IKEA"/>
    <n v="5"/>
    <n v="489.09"/>
    <n v="1241.3"/>
    <n v="4"/>
    <s v="Q3"/>
    <n v="2025"/>
    <x v="1"/>
    <n v="1956.36"/>
    <n v="715.06"/>
  </r>
  <r>
    <s v="ORD00615"/>
    <d v="2025-07-12T00:00:00"/>
    <s v="C6978"/>
    <x v="614"/>
    <d v="2025-07-17T00:00:00"/>
    <x v="9"/>
    <x v="0"/>
    <s v="Skincare"/>
    <x v="0"/>
    <s v="Boston"/>
    <s v="Male"/>
    <n v="51"/>
    <n v="3"/>
    <n v="20"/>
    <s v="P409"/>
    <x v="0"/>
    <x v="0"/>
    <x v="3"/>
    <s v="Nivea"/>
    <n v="4"/>
    <n v="544.99"/>
    <n v="692.35"/>
    <n v="5"/>
    <s v="Q3"/>
    <n v="2025"/>
    <x v="4"/>
    <n v="1307.9760000000001"/>
    <n v="615.62600000000009"/>
  </r>
  <r>
    <s v="ORD00616"/>
    <d v="2025-06-24T00:00:00"/>
    <s v="C8008"/>
    <x v="615"/>
    <d v="2025-07-01T00:00:00"/>
    <x v="9"/>
    <x v="0"/>
    <s v="Skincare"/>
    <x v="15"/>
    <s v="Boulder"/>
    <s v="Male"/>
    <n v="31"/>
    <n v="3"/>
    <n v="0"/>
    <s v="P982"/>
    <x v="2"/>
    <x v="4"/>
    <x v="2"/>
    <s v="Nivea"/>
    <n v="1"/>
    <n v="661.78"/>
    <n v="1259.3599999999999"/>
    <n v="7"/>
    <s v="Q2"/>
    <n v="2025"/>
    <x v="2"/>
    <n v="1985.34"/>
    <n v="725.98"/>
  </r>
  <r>
    <s v="ORD00617"/>
    <d v="2025-08-26T00:00:00"/>
    <s v="C8111"/>
    <x v="616"/>
    <d v="2025-08-29T00:00:00"/>
    <x v="9"/>
    <x v="0"/>
    <s v="Skincare"/>
    <x v="2"/>
    <s v="Columbus"/>
    <s v="Male"/>
    <n v="63"/>
    <n v="2"/>
    <n v="30"/>
    <s v="P155"/>
    <x v="1"/>
    <x v="3"/>
    <x v="3"/>
    <s v="Nivea"/>
    <n v="1"/>
    <n v="693.02"/>
    <n v="544.11"/>
    <n v="3"/>
    <s v="Q3"/>
    <n v="2025"/>
    <x v="11"/>
    <n v="970.22799999999995"/>
    <n v="426.11799999999994"/>
  </r>
  <r>
    <s v="ORD00618"/>
    <d v="2025-08-21T00:00:00"/>
    <s v="C2412"/>
    <x v="617"/>
    <d v="2025-08-24T00:00:00"/>
    <x v="8"/>
    <x v="1"/>
    <s v="Shoes"/>
    <x v="23"/>
    <s v="Rochester"/>
    <s v="Male"/>
    <n v="50"/>
    <n v="3"/>
    <n v="5"/>
    <s v="P187"/>
    <x v="0"/>
    <x v="3"/>
    <x v="0"/>
    <s v="Nike"/>
    <n v="4"/>
    <n v="868.75"/>
    <n v="1459.81"/>
    <n v="3"/>
    <s v="Q3"/>
    <n v="2025"/>
    <x v="11"/>
    <n v="2475.9375"/>
    <n v="1016.1275000000001"/>
  </r>
  <r>
    <s v="ORD00619"/>
    <d v="2024-01-18T00:00:00"/>
    <s v="C3554"/>
    <x v="618"/>
    <d v="2024-01-24T00:00:00"/>
    <x v="6"/>
    <x v="5"/>
    <s v="Snacks"/>
    <x v="3"/>
    <s v="San Antonio"/>
    <s v="Female"/>
    <n v="63"/>
    <n v="1"/>
    <n v="30"/>
    <s v="P527"/>
    <x v="0"/>
    <x v="3"/>
    <x v="2"/>
    <s v="Britannia"/>
    <n v="3"/>
    <n v="974.08"/>
    <n v="501.45"/>
    <n v="6"/>
    <s v="Q1"/>
    <n v="2024"/>
    <x v="0"/>
    <n v="681.85599999999999"/>
    <n v="180.40600000000001"/>
  </r>
  <r>
    <s v="ORD00620"/>
    <d v="2024-10-18T00:00:00"/>
    <s v="C4099"/>
    <x v="619"/>
    <d v="2024-10-22T00:00:00"/>
    <x v="5"/>
    <x v="3"/>
    <s v="Furniture"/>
    <x v="23"/>
    <s v="Minneapolis"/>
    <s v="Female"/>
    <n v="40"/>
    <n v="3"/>
    <n v="15"/>
    <s v="P411"/>
    <x v="2"/>
    <x v="2"/>
    <x v="1"/>
    <s v="IKEA"/>
    <n v="3"/>
    <n v="404.02"/>
    <n v="683.24"/>
    <n v="4"/>
    <s v="Q4"/>
    <n v="2024"/>
    <x v="8"/>
    <n v="1030.251"/>
    <n v="347.01099999999997"/>
  </r>
  <r>
    <s v="ORD00621"/>
    <d v="2026-01-23T00:00:00"/>
    <s v="C2430"/>
    <x v="620"/>
    <d v="2026-01-28T00:00:00"/>
    <x v="9"/>
    <x v="0"/>
    <s v="Skincare"/>
    <x v="22"/>
    <s v="Springfield"/>
    <s v="Male"/>
    <n v="24"/>
    <n v="3"/>
    <n v="5"/>
    <s v="P773"/>
    <x v="1"/>
    <x v="3"/>
    <x v="2"/>
    <s v="Nivea"/>
    <n v="1"/>
    <n v="282.52999999999997"/>
    <n v="648.46"/>
    <n v="5"/>
    <s v="Q1"/>
    <n v="2026"/>
    <x v="0"/>
    <n v="805.21049999999991"/>
    <n v="156.75049999999987"/>
  </r>
  <r>
    <s v="ORD00622"/>
    <d v="2025-07-18T00:00:00"/>
    <s v="C4183"/>
    <x v="621"/>
    <d v="2025-07-22T00:00:00"/>
    <x v="2"/>
    <x v="2"/>
    <s v="Fitness"/>
    <x v="23"/>
    <s v="Rochester"/>
    <s v="Female"/>
    <n v="32"/>
    <n v="3"/>
    <n v="0"/>
    <s v="P375"/>
    <x v="1"/>
    <x v="4"/>
    <x v="2"/>
    <s v="Decathlon"/>
    <n v="2"/>
    <n v="140.19"/>
    <n v="246.74"/>
    <n v="4"/>
    <s v="Q3"/>
    <n v="2025"/>
    <x v="4"/>
    <n v="420.57"/>
    <n v="173.82999999999998"/>
  </r>
  <r>
    <s v="ORD00623"/>
    <d v="2025-08-23T00:00:00"/>
    <s v="C7586"/>
    <x v="622"/>
    <d v="2025-08-29T00:00:00"/>
    <x v="6"/>
    <x v="5"/>
    <s v="Snacks"/>
    <x v="13"/>
    <s v="Augusta"/>
    <s v="Male"/>
    <n v="29"/>
    <n v="2"/>
    <n v="5"/>
    <s v="P774"/>
    <x v="0"/>
    <x v="4"/>
    <x v="2"/>
    <s v="Britannia"/>
    <n v="4"/>
    <n v="185.6"/>
    <n v="186.48"/>
    <n v="6"/>
    <s v="Q3"/>
    <n v="2025"/>
    <x v="11"/>
    <n v="352.64"/>
    <n v="166.16"/>
  </r>
  <r>
    <s v="ORD00624"/>
    <d v="2024-06-25T00:00:00"/>
    <s v="C8410"/>
    <x v="623"/>
    <d v="2024-07-02T00:00:00"/>
    <x v="9"/>
    <x v="0"/>
    <s v="Skincare"/>
    <x v="19"/>
    <s v="Annapolis"/>
    <s v="Male"/>
    <n v="25"/>
    <n v="4"/>
    <n v="30"/>
    <s v="P508"/>
    <x v="2"/>
    <x v="2"/>
    <x v="2"/>
    <s v="Nivea"/>
    <n v="5"/>
    <n v="679.85"/>
    <n v="1594.19"/>
    <n v="7"/>
    <s v="Q2"/>
    <n v="2024"/>
    <x v="2"/>
    <n v="1903.58"/>
    <n v="309.38999999999987"/>
  </r>
  <r>
    <s v="ORD00625"/>
    <d v="2024-02-27T00:00:00"/>
    <s v="C5905"/>
    <x v="624"/>
    <d v="2024-03-05T00:00:00"/>
    <x v="6"/>
    <x v="5"/>
    <s v="Snacks"/>
    <x v="17"/>
    <s v="Pittsburgh"/>
    <s v="Female"/>
    <n v="34"/>
    <n v="4"/>
    <n v="5"/>
    <s v="P168"/>
    <x v="2"/>
    <x v="3"/>
    <x v="2"/>
    <s v="Britannia"/>
    <n v="1"/>
    <n v="945.39"/>
    <n v="2268.56"/>
    <n v="7"/>
    <s v="Q1"/>
    <n v="2024"/>
    <x v="5"/>
    <n v="3592.482"/>
    <n v="1323.922"/>
  </r>
  <r>
    <s v="ORD00626"/>
    <d v="2025-05-10T00:00:00"/>
    <s v="C9255"/>
    <x v="625"/>
    <d v="2025-05-14T00:00:00"/>
    <x v="6"/>
    <x v="5"/>
    <s v="Snacks"/>
    <x v="17"/>
    <s v="Philadelphia"/>
    <s v="Male"/>
    <n v="53"/>
    <n v="3"/>
    <n v="25"/>
    <s v="P697"/>
    <x v="2"/>
    <x v="4"/>
    <x v="1"/>
    <s v="Britannia"/>
    <n v="1"/>
    <n v="950.69"/>
    <n v="1652.06"/>
    <n v="4"/>
    <s v="Q2"/>
    <n v="2025"/>
    <x v="9"/>
    <n v="2139.0525000000002"/>
    <n v="486.99250000000029"/>
  </r>
  <r>
    <s v="ORD00627"/>
    <d v="2025-03-01T00:00:00"/>
    <s v="C3220"/>
    <x v="626"/>
    <d v="2025-03-06T00:00:00"/>
    <x v="7"/>
    <x v="4"/>
    <s v="Laptop"/>
    <x v="1"/>
    <s v="San Francisco"/>
    <s v="Male"/>
    <n v="45"/>
    <n v="5"/>
    <n v="20"/>
    <s v="P581"/>
    <x v="0"/>
    <x v="4"/>
    <x v="3"/>
    <s v="Dell"/>
    <n v="1"/>
    <n v="218.67"/>
    <n v="457.92"/>
    <n v="5"/>
    <s v="Q1"/>
    <n v="2025"/>
    <x v="6"/>
    <n v="874.68"/>
    <n v="416.75999999999993"/>
  </r>
  <r>
    <s v="ORD00628"/>
    <d v="2024-05-15T00:00:00"/>
    <s v="C4453"/>
    <x v="627"/>
    <d v="2024-05-20T00:00:00"/>
    <x v="3"/>
    <x v="3"/>
    <s v="Kitchen"/>
    <x v="12"/>
    <s v="Lansing"/>
    <s v="Female"/>
    <n v="39"/>
    <n v="1"/>
    <n v="30"/>
    <s v="P597"/>
    <x v="2"/>
    <x v="4"/>
    <x v="0"/>
    <s v="Philips"/>
    <n v="1"/>
    <n v="505.2"/>
    <n v="264.01"/>
    <n v="5"/>
    <s v="Q2"/>
    <n v="2024"/>
    <x v="9"/>
    <n v="353.64"/>
    <n v="89.63"/>
  </r>
  <r>
    <s v="ORD00629"/>
    <d v="2024-08-07T00:00:00"/>
    <s v="C7594"/>
    <x v="628"/>
    <d v="2024-08-14T00:00:00"/>
    <x v="3"/>
    <x v="3"/>
    <s v="Kitchen"/>
    <x v="5"/>
    <s v="Evansville"/>
    <s v="Female"/>
    <n v="65"/>
    <n v="3"/>
    <n v="25"/>
    <s v="P180"/>
    <x v="1"/>
    <x v="2"/>
    <x v="2"/>
    <s v="Philips"/>
    <n v="5"/>
    <n v="430.05"/>
    <n v="710.73"/>
    <n v="7"/>
    <s v="Q3"/>
    <n v="2024"/>
    <x v="11"/>
    <n v="967.61250000000007"/>
    <n v="256.88250000000005"/>
  </r>
  <r>
    <s v="ORD00630"/>
    <d v="2024-05-16T00:00:00"/>
    <s v="C1543"/>
    <x v="629"/>
    <d v="2024-05-22T00:00:00"/>
    <x v="9"/>
    <x v="0"/>
    <s v="Skincare"/>
    <x v="13"/>
    <s v="Atlanta"/>
    <s v="Female"/>
    <n v="40"/>
    <n v="5"/>
    <n v="15"/>
    <s v="P897"/>
    <x v="0"/>
    <x v="3"/>
    <x v="0"/>
    <s v="Nivea"/>
    <n v="1"/>
    <n v="758.16"/>
    <n v="2367.4499999999998"/>
    <n v="6"/>
    <s v="Q2"/>
    <n v="2024"/>
    <x v="9"/>
    <n v="3222.18"/>
    <n v="854.73"/>
  </r>
  <r>
    <s v="ORD00631"/>
    <d v="2025-07-22T00:00:00"/>
    <s v="C3065"/>
    <x v="630"/>
    <d v="2025-07-27T00:00:00"/>
    <x v="6"/>
    <x v="5"/>
    <s v="Snacks"/>
    <x v="8"/>
    <s v="Tampa"/>
    <s v="Male"/>
    <n v="28"/>
    <n v="2"/>
    <n v="10"/>
    <s v="P716"/>
    <x v="2"/>
    <x v="1"/>
    <x v="2"/>
    <s v="Britannia"/>
    <n v="4"/>
    <n v="197.3"/>
    <n v="232.18"/>
    <n v="5"/>
    <s v="Q3"/>
    <n v="2025"/>
    <x v="4"/>
    <n v="355.14000000000004"/>
    <n v="122.96000000000004"/>
  </r>
  <r>
    <s v="ORD00632"/>
    <d v="2024-10-11T00:00:00"/>
    <s v="C4538"/>
    <x v="631"/>
    <d v="2024-10-15T00:00:00"/>
    <x v="7"/>
    <x v="4"/>
    <s v="Laptop"/>
    <x v="8"/>
    <s v="Orlando"/>
    <s v="Male"/>
    <n v="26"/>
    <n v="4"/>
    <n v="10"/>
    <s v="P521"/>
    <x v="1"/>
    <x v="1"/>
    <x v="1"/>
    <s v="Dell"/>
    <n v="4"/>
    <n v="231.12"/>
    <n v="511.65"/>
    <n v="4"/>
    <s v="Q4"/>
    <n v="2024"/>
    <x v="8"/>
    <n v="832.03200000000004"/>
    <n v="320.38200000000006"/>
  </r>
  <r>
    <s v="ORD00633"/>
    <d v="2025-08-20T00:00:00"/>
    <s v="C9580"/>
    <x v="632"/>
    <d v="2025-08-23T00:00:00"/>
    <x v="4"/>
    <x v="4"/>
    <s v="Mobile"/>
    <x v="14"/>
    <s v="Kansas City"/>
    <s v="Male"/>
    <n v="36"/>
    <n v="2"/>
    <n v="20"/>
    <s v="P879"/>
    <x v="0"/>
    <x v="2"/>
    <x v="0"/>
    <s v="Samsung"/>
    <n v="5"/>
    <n v="829.98"/>
    <n v="962.67"/>
    <n v="3"/>
    <s v="Q3"/>
    <n v="2025"/>
    <x v="11"/>
    <n v="1327.9680000000001"/>
    <n v="365.29800000000012"/>
  </r>
  <r>
    <s v="ORD00634"/>
    <d v="2024-11-01T00:00:00"/>
    <s v="C2822"/>
    <x v="633"/>
    <d v="2024-11-08T00:00:00"/>
    <x v="9"/>
    <x v="0"/>
    <s v="Skincare"/>
    <x v="9"/>
    <s v="Birmingham"/>
    <s v="Female"/>
    <n v="57"/>
    <n v="5"/>
    <n v="25"/>
    <s v="P562"/>
    <x v="1"/>
    <x v="3"/>
    <x v="1"/>
    <s v="Nivea"/>
    <n v="2"/>
    <n v="943.06"/>
    <n v="1835.78"/>
    <n v="7"/>
    <s v="Q4"/>
    <n v="2024"/>
    <x v="10"/>
    <n v="3536.4749999999995"/>
    <n v="1700.6949999999995"/>
  </r>
  <r>
    <s v="ORD00635"/>
    <d v="2026-03-31T00:00:00"/>
    <s v="C4245"/>
    <x v="634"/>
    <d v="2026-04-06T00:00:00"/>
    <x v="2"/>
    <x v="2"/>
    <s v="Fitness"/>
    <x v="10"/>
    <s v="Madison"/>
    <s v="Male"/>
    <n v="48"/>
    <n v="5"/>
    <n v="20"/>
    <s v="P100"/>
    <x v="1"/>
    <x v="1"/>
    <x v="2"/>
    <s v="Decathlon"/>
    <n v="4"/>
    <n v="489.83"/>
    <n v="1533.46"/>
    <n v="6"/>
    <s v="Q1"/>
    <n v="2026"/>
    <x v="6"/>
    <n v="1959.3200000000002"/>
    <n v="425.86000000000013"/>
  </r>
  <r>
    <s v="ORD00636"/>
    <d v="2026-04-13T00:00:00"/>
    <s v="C9569"/>
    <x v="635"/>
    <d v="2026-04-17T00:00:00"/>
    <x v="6"/>
    <x v="5"/>
    <s v="Snacks"/>
    <x v="2"/>
    <s v="Cincinnati"/>
    <s v="Female"/>
    <n v="30"/>
    <n v="4"/>
    <n v="15"/>
    <s v="P473"/>
    <x v="1"/>
    <x v="0"/>
    <x v="1"/>
    <s v="Britannia"/>
    <n v="5"/>
    <n v="846.78"/>
    <n v="1799.77"/>
    <n v="4"/>
    <s v="Q2"/>
    <n v="2026"/>
    <x v="3"/>
    <n v="2879.0519999999997"/>
    <n v="1079.2819999999997"/>
  </r>
  <r>
    <s v="ORD00637"/>
    <d v="2025-05-05T00:00:00"/>
    <s v="C3946"/>
    <x v="636"/>
    <d v="2025-05-10T00:00:00"/>
    <x v="3"/>
    <x v="3"/>
    <s v="Kitchen"/>
    <x v="1"/>
    <s v="San Francisco"/>
    <s v="Female"/>
    <n v="40"/>
    <n v="4"/>
    <n v="15"/>
    <s v="P322"/>
    <x v="0"/>
    <x v="1"/>
    <x v="2"/>
    <s v="Philips"/>
    <n v="1"/>
    <n v="732.29"/>
    <n v="1871.67"/>
    <n v="5"/>
    <s v="Q2"/>
    <n v="2025"/>
    <x v="9"/>
    <n v="2489.7859999999996"/>
    <n v="618.11599999999953"/>
  </r>
  <r>
    <s v="ORD00638"/>
    <d v="2024-09-12T00:00:00"/>
    <s v="C8545"/>
    <x v="637"/>
    <d v="2024-09-14T00:00:00"/>
    <x v="4"/>
    <x v="4"/>
    <s v="Mobile"/>
    <x v="12"/>
    <s v="Detroit"/>
    <s v="Female"/>
    <n v="30"/>
    <n v="4"/>
    <n v="20"/>
    <s v="P930"/>
    <x v="0"/>
    <x v="3"/>
    <x v="0"/>
    <s v="Samsung"/>
    <n v="3"/>
    <n v="910"/>
    <n v="2217.9"/>
    <n v="2"/>
    <s v="Q3"/>
    <n v="2024"/>
    <x v="1"/>
    <n v="2912"/>
    <n v="694.09999999999991"/>
  </r>
  <r>
    <s v="ORD00639"/>
    <d v="2025-07-08T00:00:00"/>
    <s v="C1337"/>
    <x v="638"/>
    <d v="2025-07-11T00:00:00"/>
    <x v="9"/>
    <x v="0"/>
    <s v="Skincare"/>
    <x v="17"/>
    <s v="Allentown"/>
    <s v="Female"/>
    <n v="64"/>
    <n v="4"/>
    <n v="20"/>
    <s v="P830"/>
    <x v="2"/>
    <x v="4"/>
    <x v="1"/>
    <s v="Nivea"/>
    <n v="5"/>
    <n v="311.19"/>
    <n v="656.73"/>
    <n v="3"/>
    <s v="Q3"/>
    <n v="2025"/>
    <x v="4"/>
    <n v="995.80799999999999"/>
    <n v="339.07799999999997"/>
  </r>
  <r>
    <s v="ORD00640"/>
    <d v="2025-01-10T00:00:00"/>
    <s v="C3533"/>
    <x v="639"/>
    <d v="2025-01-11T00:00:00"/>
    <x v="2"/>
    <x v="2"/>
    <s v="Fitness"/>
    <x v="6"/>
    <s v="Greensboro"/>
    <s v="Female"/>
    <n v="23"/>
    <n v="5"/>
    <n v="15"/>
    <s v="P863"/>
    <x v="1"/>
    <x v="2"/>
    <x v="1"/>
    <s v="Decathlon"/>
    <n v="5"/>
    <n v="394.96"/>
    <n v="1286.0999999999999"/>
    <n v="1"/>
    <s v="Q1"/>
    <n v="2025"/>
    <x v="0"/>
    <n v="1678.58"/>
    <n v="392.48"/>
  </r>
  <r>
    <s v="ORD00641"/>
    <d v="2026-04-09T00:00:00"/>
    <s v="C3832"/>
    <x v="640"/>
    <d v="2026-04-13T00:00:00"/>
    <x v="6"/>
    <x v="5"/>
    <s v="Snacks"/>
    <x v="17"/>
    <s v="Philadelphia"/>
    <s v="Female"/>
    <n v="55"/>
    <n v="5"/>
    <n v="10"/>
    <s v="P960"/>
    <x v="2"/>
    <x v="2"/>
    <x v="0"/>
    <s v="Britannia"/>
    <n v="3"/>
    <n v="232.45"/>
    <n v="547.89"/>
    <n v="4"/>
    <s v="Q2"/>
    <n v="2026"/>
    <x v="3"/>
    <n v="1046.0250000000001"/>
    <n v="498.1350000000001"/>
  </r>
  <r>
    <s v="ORD00642"/>
    <d v="2024-05-02T00:00:00"/>
    <s v="C1052"/>
    <x v="641"/>
    <d v="2024-05-03T00:00:00"/>
    <x v="6"/>
    <x v="5"/>
    <s v="Snacks"/>
    <x v="0"/>
    <s v="Cambridge"/>
    <s v="Female"/>
    <n v="45"/>
    <n v="3"/>
    <n v="0"/>
    <s v="P537"/>
    <x v="2"/>
    <x v="0"/>
    <x v="2"/>
    <s v="Britannia"/>
    <n v="2"/>
    <n v="172.18"/>
    <n v="348.2"/>
    <n v="1"/>
    <s v="Q2"/>
    <n v="2024"/>
    <x v="9"/>
    <n v="516.54"/>
    <n v="168.33999999999997"/>
  </r>
  <r>
    <s v="ORD00643"/>
    <d v="2024-09-01T00:00:00"/>
    <s v="C1179"/>
    <x v="642"/>
    <d v="2024-09-06T00:00:00"/>
    <x v="4"/>
    <x v="4"/>
    <s v="Mobile"/>
    <x v="3"/>
    <s v="Dallas"/>
    <s v="Male"/>
    <n v="20"/>
    <n v="4"/>
    <n v="10"/>
    <s v="P471"/>
    <x v="2"/>
    <x v="2"/>
    <x v="1"/>
    <s v="Samsung"/>
    <n v="5"/>
    <n v="272.16000000000003"/>
    <n v="774.21"/>
    <n v="5"/>
    <s v="Q3"/>
    <n v="2024"/>
    <x v="1"/>
    <n v="979.77600000000007"/>
    <n v="205.56600000000003"/>
  </r>
  <r>
    <s v="ORD00644"/>
    <d v="2025-01-06T00:00:00"/>
    <s v="C2434"/>
    <x v="643"/>
    <d v="2025-01-13T00:00:00"/>
    <x v="2"/>
    <x v="2"/>
    <s v="Fitness"/>
    <x v="4"/>
    <s v="Tucson"/>
    <s v="Female"/>
    <n v="41"/>
    <n v="3"/>
    <n v="30"/>
    <s v="P574"/>
    <x v="2"/>
    <x v="2"/>
    <x v="0"/>
    <s v="Decathlon"/>
    <n v="3"/>
    <n v="776.26"/>
    <n v="1331.91"/>
    <n v="7"/>
    <s v="Q1"/>
    <n v="2025"/>
    <x v="0"/>
    <n v="1630.1459999999997"/>
    <n v="298.23599999999965"/>
  </r>
  <r>
    <s v="ORD00645"/>
    <d v="2025-04-02T00:00:00"/>
    <s v="C4528"/>
    <x v="644"/>
    <d v="2025-04-06T00:00:00"/>
    <x v="1"/>
    <x v="1"/>
    <s v="Shirt"/>
    <x v="17"/>
    <s v="Allentown"/>
    <s v="Female"/>
    <n v="45"/>
    <n v="5"/>
    <n v="0"/>
    <s v="P166"/>
    <x v="1"/>
    <x v="3"/>
    <x v="1"/>
    <s v="Puma"/>
    <n v="2"/>
    <n v="770.87"/>
    <n v="2195.36"/>
    <n v="4"/>
    <s v="Q2"/>
    <n v="2025"/>
    <x v="3"/>
    <n v="3854.35"/>
    <n v="1658.9899999999998"/>
  </r>
  <r>
    <s v="ORD00646"/>
    <d v="2025-01-02T00:00:00"/>
    <s v="C4272"/>
    <x v="645"/>
    <d v="2025-01-09T00:00:00"/>
    <x v="5"/>
    <x v="3"/>
    <s v="Furniture"/>
    <x v="7"/>
    <s v="Buffalo"/>
    <s v="Female"/>
    <n v="62"/>
    <n v="4"/>
    <n v="15"/>
    <s v="P287"/>
    <x v="0"/>
    <x v="3"/>
    <x v="1"/>
    <s v="IKEA"/>
    <n v="2"/>
    <n v="71.72"/>
    <n v="191.49"/>
    <n v="7"/>
    <s v="Q1"/>
    <n v="2025"/>
    <x v="0"/>
    <n v="243.84799999999998"/>
    <n v="52.357999999999976"/>
  </r>
  <r>
    <s v="ORD00647"/>
    <d v="2024-06-18T00:00:00"/>
    <s v="C8988"/>
    <x v="646"/>
    <d v="2024-06-23T00:00:00"/>
    <x v="1"/>
    <x v="1"/>
    <s v="Shirt"/>
    <x v="22"/>
    <s v="Chicago"/>
    <s v="Female"/>
    <n v="47"/>
    <n v="5"/>
    <n v="0"/>
    <s v="P623"/>
    <x v="1"/>
    <x v="0"/>
    <x v="2"/>
    <s v="Puma"/>
    <n v="1"/>
    <n v="425.1"/>
    <n v="1492.4"/>
    <n v="5"/>
    <s v="Q2"/>
    <n v="2024"/>
    <x v="2"/>
    <n v="2125.5"/>
    <n v="633.09999999999991"/>
  </r>
  <r>
    <s v="ORD00648"/>
    <d v="2026-05-21T00:00:00"/>
    <s v="C4033"/>
    <x v="647"/>
    <d v="2026-05-22T00:00:00"/>
    <x v="8"/>
    <x v="1"/>
    <s v="Shoes"/>
    <x v="24"/>
    <s v="Eugene"/>
    <s v="Female"/>
    <n v="43"/>
    <n v="4"/>
    <n v="20"/>
    <s v="P985"/>
    <x v="0"/>
    <x v="0"/>
    <x v="1"/>
    <s v="Nike"/>
    <n v="3"/>
    <n v="499.31"/>
    <n v="1144.54"/>
    <n v="1"/>
    <s v="Q2"/>
    <n v="2026"/>
    <x v="9"/>
    <n v="1597.7920000000001"/>
    <n v="453.25200000000018"/>
  </r>
  <r>
    <s v="ORD00649"/>
    <d v="2024-01-08T00:00:00"/>
    <s v="C8294"/>
    <x v="648"/>
    <d v="2024-01-11T00:00:00"/>
    <x v="6"/>
    <x v="5"/>
    <s v="Snacks"/>
    <x v="12"/>
    <s v="Detroit"/>
    <s v="Male"/>
    <n v="24"/>
    <n v="1"/>
    <n v="15"/>
    <s v="P960"/>
    <x v="2"/>
    <x v="4"/>
    <x v="1"/>
    <s v="Britannia"/>
    <n v="1"/>
    <n v="650.23"/>
    <n v="338.6"/>
    <n v="3"/>
    <s v="Q1"/>
    <n v="2024"/>
    <x v="0"/>
    <n v="552.69550000000004"/>
    <n v="214.09550000000002"/>
  </r>
  <r>
    <s v="ORD00650"/>
    <d v="2026-01-30T00:00:00"/>
    <s v="C8885"/>
    <x v="649"/>
    <d v="2026-02-02T00:00:00"/>
    <x v="6"/>
    <x v="5"/>
    <s v="Snacks"/>
    <x v="12"/>
    <s v="Lansing"/>
    <s v="Female"/>
    <n v="26"/>
    <n v="2"/>
    <n v="15"/>
    <s v="P643"/>
    <x v="2"/>
    <x v="0"/>
    <x v="2"/>
    <s v="Britannia"/>
    <n v="2"/>
    <n v="268.19"/>
    <n v="345.97"/>
    <n v="3"/>
    <s v="Q1"/>
    <n v="2026"/>
    <x v="0"/>
    <n v="455.923"/>
    <n v="109.95299999999997"/>
  </r>
  <r>
    <s v="ORD00651"/>
    <d v="2025-05-25T00:00:00"/>
    <s v="C6823"/>
    <x v="650"/>
    <d v="2025-05-30T00:00:00"/>
    <x v="6"/>
    <x v="5"/>
    <s v="Snacks"/>
    <x v="4"/>
    <s v="Tucson"/>
    <s v="Female"/>
    <n v="20"/>
    <n v="4"/>
    <n v="15"/>
    <s v="P263"/>
    <x v="2"/>
    <x v="1"/>
    <x v="3"/>
    <s v="Britannia"/>
    <n v="3"/>
    <n v="796.92"/>
    <n v="1946.25"/>
    <n v="5"/>
    <s v="Q2"/>
    <n v="2025"/>
    <x v="9"/>
    <n v="2709.5279999999998"/>
    <n v="763.27799999999979"/>
  </r>
  <r>
    <s v="ORD00652"/>
    <d v="2024-02-20T00:00:00"/>
    <s v="C9157"/>
    <x v="651"/>
    <d v="2024-02-22T00:00:00"/>
    <x v="9"/>
    <x v="0"/>
    <s v="Skincare"/>
    <x v="4"/>
    <s v="Tucson"/>
    <s v="Male"/>
    <n v="35"/>
    <n v="3"/>
    <n v="20"/>
    <s v="P775"/>
    <x v="0"/>
    <x v="0"/>
    <x v="2"/>
    <s v="Nivea"/>
    <n v="4"/>
    <n v="605.34"/>
    <n v="1064.9000000000001"/>
    <n v="2"/>
    <s v="Q1"/>
    <n v="2024"/>
    <x v="5"/>
    <n v="1452.816"/>
    <n v="387.91599999999994"/>
  </r>
  <r>
    <s v="ORD00653"/>
    <d v="2025-11-07T00:00:00"/>
    <s v="C4277"/>
    <x v="652"/>
    <d v="2025-11-14T00:00:00"/>
    <x v="7"/>
    <x v="4"/>
    <s v="Laptop"/>
    <x v="1"/>
    <s v="San Diego"/>
    <s v="Female"/>
    <n v="60"/>
    <n v="4"/>
    <n v="5"/>
    <s v="P789"/>
    <x v="1"/>
    <x v="1"/>
    <x v="3"/>
    <s v="Dell"/>
    <n v="3"/>
    <n v="826.33"/>
    <n v="2057.62"/>
    <n v="7"/>
    <s v="Q4"/>
    <n v="2025"/>
    <x v="10"/>
    <n v="3140.0540000000001"/>
    <n v="1082.4340000000002"/>
  </r>
  <r>
    <s v="ORD00654"/>
    <d v="2024-05-05T00:00:00"/>
    <s v="C5649"/>
    <x v="653"/>
    <d v="2024-05-07T00:00:00"/>
    <x v="6"/>
    <x v="5"/>
    <s v="Snacks"/>
    <x v="20"/>
    <s v="Virginia Beach"/>
    <s v="Female"/>
    <n v="21"/>
    <n v="1"/>
    <n v="30"/>
    <s v="P672"/>
    <x v="1"/>
    <x v="3"/>
    <x v="3"/>
    <s v="Britannia"/>
    <n v="2"/>
    <n v="355.64"/>
    <n v="139.44"/>
    <n v="2"/>
    <s v="Q2"/>
    <n v="2024"/>
    <x v="9"/>
    <n v="248.94799999999998"/>
    <n v="109.50799999999998"/>
  </r>
  <r>
    <s v="ORD00655"/>
    <d v="2024-09-21T00:00:00"/>
    <s v="C3761"/>
    <x v="654"/>
    <d v="2024-09-23T00:00:00"/>
    <x v="9"/>
    <x v="0"/>
    <s v="Skincare"/>
    <x v="13"/>
    <s v="Augusta"/>
    <s v="Male"/>
    <n v="33"/>
    <n v="5"/>
    <n v="10"/>
    <s v="P551"/>
    <x v="1"/>
    <x v="1"/>
    <x v="2"/>
    <s v="Nivea"/>
    <n v="2"/>
    <n v="664.73"/>
    <n v="1826.07"/>
    <n v="2"/>
    <s v="Q3"/>
    <n v="2024"/>
    <x v="1"/>
    <n v="2991.2850000000003"/>
    <n v="1165.2150000000004"/>
  </r>
  <r>
    <s v="ORD00656"/>
    <d v="2024-09-04T00:00:00"/>
    <s v="C1611"/>
    <x v="655"/>
    <d v="2024-09-05T00:00:00"/>
    <x v="8"/>
    <x v="1"/>
    <s v="Shoes"/>
    <x v="22"/>
    <s v="Springfield"/>
    <s v="Male"/>
    <n v="64"/>
    <n v="5"/>
    <n v="5"/>
    <s v="P634"/>
    <x v="1"/>
    <x v="2"/>
    <x v="3"/>
    <s v="Nike"/>
    <n v="5"/>
    <n v="303.98"/>
    <n v="865.91"/>
    <n v="1"/>
    <s v="Q3"/>
    <n v="2024"/>
    <x v="1"/>
    <n v="1443.905"/>
    <n v="577.995"/>
  </r>
  <r>
    <s v="ORD00657"/>
    <d v="2024-06-11T00:00:00"/>
    <s v="C7771"/>
    <x v="656"/>
    <d v="2024-06-12T00:00:00"/>
    <x v="7"/>
    <x v="4"/>
    <s v="Laptop"/>
    <x v="21"/>
    <s v="Charleston"/>
    <s v="Male"/>
    <n v="28"/>
    <n v="2"/>
    <n v="30"/>
    <s v="P916"/>
    <x v="1"/>
    <x v="4"/>
    <x v="2"/>
    <s v="Dell"/>
    <n v="3"/>
    <n v="221.27"/>
    <n v="230.44"/>
    <n v="1"/>
    <s v="Q2"/>
    <n v="2024"/>
    <x v="2"/>
    <n v="309.77800000000002"/>
    <n v="79.338000000000022"/>
  </r>
  <r>
    <s v="ORD00658"/>
    <d v="2025-09-08T00:00:00"/>
    <s v="C3434"/>
    <x v="657"/>
    <d v="2025-09-09T00:00:00"/>
    <x v="9"/>
    <x v="0"/>
    <s v="Skincare"/>
    <x v="16"/>
    <s v="Spokane"/>
    <s v="Female"/>
    <n v="64"/>
    <n v="5"/>
    <n v="30"/>
    <s v="P213"/>
    <x v="2"/>
    <x v="1"/>
    <x v="3"/>
    <s v="Nivea"/>
    <n v="2"/>
    <n v="245.94"/>
    <n v="672.19"/>
    <n v="1"/>
    <s v="Q3"/>
    <n v="2025"/>
    <x v="1"/>
    <n v="860.79"/>
    <n v="188.59999999999991"/>
  </r>
  <r>
    <s v="ORD00659"/>
    <d v="2025-09-08T00:00:00"/>
    <s v="C1566"/>
    <x v="658"/>
    <d v="2025-09-12T00:00:00"/>
    <x v="1"/>
    <x v="1"/>
    <s v="Shirt"/>
    <x v="22"/>
    <s v="Chicago"/>
    <s v="Male"/>
    <n v="63"/>
    <n v="5"/>
    <n v="30"/>
    <s v="P987"/>
    <x v="0"/>
    <x v="3"/>
    <x v="0"/>
    <s v="Puma"/>
    <n v="4"/>
    <n v="174.85"/>
    <n v="386.74"/>
    <n v="4"/>
    <s v="Q3"/>
    <n v="2025"/>
    <x v="1"/>
    <n v="611.97499999999991"/>
    <n v="225.2349999999999"/>
  </r>
  <r>
    <s v="ORD00660"/>
    <d v="2026-01-10T00:00:00"/>
    <s v="C3834"/>
    <x v="659"/>
    <d v="2026-01-13T00:00:00"/>
    <x v="5"/>
    <x v="3"/>
    <s v="Furniture"/>
    <x v="17"/>
    <s v="Allentown"/>
    <s v="Female"/>
    <n v="19"/>
    <n v="5"/>
    <n v="5"/>
    <s v="P327"/>
    <x v="1"/>
    <x v="1"/>
    <x v="0"/>
    <s v="IKEA"/>
    <n v="2"/>
    <n v="608.64"/>
    <n v="2056.52"/>
    <n v="3"/>
    <s v="Q1"/>
    <n v="2026"/>
    <x v="0"/>
    <n v="2891.0399999999995"/>
    <n v="834.51999999999953"/>
  </r>
  <r>
    <s v="ORD00661"/>
    <d v="2024-01-08T00:00:00"/>
    <s v="C5647"/>
    <x v="660"/>
    <d v="2024-01-09T00:00:00"/>
    <x v="8"/>
    <x v="1"/>
    <s v="Shoes"/>
    <x v="7"/>
    <s v="New York"/>
    <s v="Female"/>
    <n v="62"/>
    <n v="5"/>
    <n v="10"/>
    <s v="P202"/>
    <x v="0"/>
    <x v="3"/>
    <x v="3"/>
    <s v="Nike"/>
    <n v="3"/>
    <n v="581.39"/>
    <n v="1680.44"/>
    <n v="1"/>
    <s v="Q1"/>
    <n v="2024"/>
    <x v="0"/>
    <n v="2616.2550000000001"/>
    <n v="935.81500000000005"/>
  </r>
  <r>
    <s v="ORD00662"/>
    <d v="2024-07-24T00:00:00"/>
    <s v="C6332"/>
    <x v="661"/>
    <d v="2024-07-29T00:00:00"/>
    <x v="1"/>
    <x v="1"/>
    <s v="Shirt"/>
    <x v="14"/>
    <s v="St. Louis"/>
    <s v="Female"/>
    <n v="23"/>
    <n v="1"/>
    <n v="0"/>
    <s v="P234"/>
    <x v="2"/>
    <x v="4"/>
    <x v="2"/>
    <s v="Puma"/>
    <n v="1"/>
    <n v="927.18"/>
    <n v="759.06"/>
    <n v="5"/>
    <s v="Q3"/>
    <n v="2024"/>
    <x v="4"/>
    <n v="927.18"/>
    <n v="168.12"/>
  </r>
  <r>
    <s v="ORD00663"/>
    <d v="2025-11-22T00:00:00"/>
    <s v="C3196"/>
    <x v="662"/>
    <d v="2025-11-29T00:00:00"/>
    <x v="4"/>
    <x v="4"/>
    <s v="Mobile"/>
    <x v="22"/>
    <s v="Naperville"/>
    <s v="Female"/>
    <n v="56"/>
    <n v="2"/>
    <n v="10"/>
    <s v="P751"/>
    <x v="0"/>
    <x v="4"/>
    <x v="3"/>
    <s v="Samsung"/>
    <n v="2"/>
    <n v="746.92"/>
    <n v="968.73"/>
    <n v="7"/>
    <s v="Q4"/>
    <n v="2025"/>
    <x v="10"/>
    <n v="1344.4559999999999"/>
    <n v="375.72599999999989"/>
  </r>
  <r>
    <s v="ORD00664"/>
    <d v="2024-12-11T00:00:00"/>
    <s v="C6076"/>
    <x v="663"/>
    <d v="2024-12-15T00:00:00"/>
    <x v="2"/>
    <x v="2"/>
    <s v="Fitness"/>
    <x v="4"/>
    <s v="Phoenix"/>
    <s v="Male"/>
    <n v="57"/>
    <n v="2"/>
    <n v="10"/>
    <s v="P183"/>
    <x v="2"/>
    <x v="2"/>
    <x v="0"/>
    <s v="Decathlon"/>
    <n v="1"/>
    <n v="398.73"/>
    <n v="601.52"/>
    <n v="4"/>
    <s v="Q4"/>
    <n v="2024"/>
    <x v="7"/>
    <n v="717.71400000000006"/>
    <n v="116.19400000000007"/>
  </r>
  <r>
    <s v="ORD00665"/>
    <d v="2026-04-21T00:00:00"/>
    <s v="C7524"/>
    <x v="664"/>
    <d v="2026-04-22T00:00:00"/>
    <x v="2"/>
    <x v="2"/>
    <s v="Fitness"/>
    <x v="20"/>
    <s v="Richmond"/>
    <s v="Male"/>
    <n v="32"/>
    <n v="1"/>
    <n v="5"/>
    <s v="P995"/>
    <x v="2"/>
    <x v="1"/>
    <x v="0"/>
    <s v="Decathlon"/>
    <n v="3"/>
    <n v="434.86"/>
    <n v="288.44"/>
    <n v="1"/>
    <s v="Q2"/>
    <n v="2026"/>
    <x v="3"/>
    <n v="413.11700000000002"/>
    <n v="124.67700000000002"/>
  </r>
  <r>
    <s v="ORD00666"/>
    <d v="2026-02-15T00:00:00"/>
    <s v="C1602"/>
    <x v="665"/>
    <d v="2026-02-19T00:00:00"/>
    <x v="9"/>
    <x v="0"/>
    <s v="Skincare"/>
    <x v="2"/>
    <s v="Cincinnati"/>
    <s v="Male"/>
    <n v="26"/>
    <n v="3"/>
    <n v="25"/>
    <s v="P546"/>
    <x v="2"/>
    <x v="4"/>
    <x v="1"/>
    <s v="Nivea"/>
    <n v="4"/>
    <n v="617.23"/>
    <n v="956.1"/>
    <n v="4"/>
    <s v="Q1"/>
    <n v="2026"/>
    <x v="5"/>
    <n v="1388.7674999999999"/>
    <n v="432.6674999999999"/>
  </r>
  <r>
    <s v="ORD00667"/>
    <d v="2024-10-13T00:00:00"/>
    <s v="C4740"/>
    <x v="666"/>
    <d v="2024-10-15T00:00:00"/>
    <x v="1"/>
    <x v="1"/>
    <s v="Shirt"/>
    <x v="2"/>
    <s v="Cincinnati"/>
    <s v="Male"/>
    <n v="18"/>
    <n v="3"/>
    <n v="0"/>
    <s v="P744"/>
    <x v="2"/>
    <x v="4"/>
    <x v="2"/>
    <s v="Puma"/>
    <n v="5"/>
    <n v="353.12"/>
    <n v="684.62"/>
    <n v="2"/>
    <s v="Q4"/>
    <n v="2024"/>
    <x v="8"/>
    <n v="1059.3600000000001"/>
    <n v="374.74000000000012"/>
  </r>
  <r>
    <s v="ORD00668"/>
    <d v="2025-05-25T00:00:00"/>
    <s v="C5404"/>
    <x v="667"/>
    <d v="2025-05-30T00:00:00"/>
    <x v="6"/>
    <x v="5"/>
    <s v="Snacks"/>
    <x v="8"/>
    <s v="Miami"/>
    <s v="Female"/>
    <n v="52"/>
    <n v="2"/>
    <n v="0"/>
    <s v="P375"/>
    <x v="1"/>
    <x v="4"/>
    <x v="0"/>
    <s v="Britannia"/>
    <n v="5"/>
    <n v="221.86"/>
    <n v="292.18"/>
    <n v="5"/>
    <s v="Q2"/>
    <n v="2025"/>
    <x v="9"/>
    <n v="443.72"/>
    <n v="151.54000000000002"/>
  </r>
  <r>
    <s v="ORD00669"/>
    <d v="2024-11-07T00:00:00"/>
    <s v="C6164"/>
    <x v="668"/>
    <d v="2024-11-12T00:00:00"/>
    <x v="1"/>
    <x v="1"/>
    <s v="Shirt"/>
    <x v="13"/>
    <s v="Savannah"/>
    <s v="Female"/>
    <n v="55"/>
    <n v="2"/>
    <n v="5"/>
    <s v="P208"/>
    <x v="1"/>
    <x v="2"/>
    <x v="3"/>
    <s v="Puma"/>
    <n v="4"/>
    <n v="698.81"/>
    <n v="1105.3399999999999"/>
    <n v="5"/>
    <s v="Q4"/>
    <n v="2024"/>
    <x v="10"/>
    <n v="1327.7389999999998"/>
    <n v="222.39899999999989"/>
  </r>
  <r>
    <s v="ORD00670"/>
    <d v="2024-11-28T00:00:00"/>
    <s v="C5535"/>
    <x v="669"/>
    <d v="2024-12-04T00:00:00"/>
    <x v="5"/>
    <x v="3"/>
    <s v="Furniture"/>
    <x v="8"/>
    <s v="Jacksonville"/>
    <s v="Male"/>
    <n v="49"/>
    <n v="4"/>
    <n v="30"/>
    <s v="P122"/>
    <x v="0"/>
    <x v="2"/>
    <x v="2"/>
    <s v="IKEA"/>
    <n v="1"/>
    <n v="717.13"/>
    <n v="1225.32"/>
    <n v="6"/>
    <s v="Q4"/>
    <n v="2024"/>
    <x v="10"/>
    <n v="2007.9639999999999"/>
    <n v="782.64400000000001"/>
  </r>
  <r>
    <s v="ORD00671"/>
    <d v="2026-03-14T00:00:00"/>
    <s v="C4592"/>
    <x v="670"/>
    <d v="2026-03-19T00:00:00"/>
    <x v="8"/>
    <x v="1"/>
    <s v="Shoes"/>
    <x v="24"/>
    <s v="Salem"/>
    <s v="Male"/>
    <n v="36"/>
    <n v="5"/>
    <n v="20"/>
    <s v="P290"/>
    <x v="0"/>
    <x v="3"/>
    <x v="3"/>
    <s v="Nike"/>
    <n v="5"/>
    <n v="789.81"/>
    <n v="2237.56"/>
    <n v="5"/>
    <s v="Q1"/>
    <n v="2026"/>
    <x v="6"/>
    <n v="3159.24"/>
    <n v="921.67999999999984"/>
  </r>
  <r>
    <s v="ORD00672"/>
    <d v="2025-08-20T00:00:00"/>
    <s v="C3036"/>
    <x v="671"/>
    <d v="2025-08-23T00:00:00"/>
    <x v="7"/>
    <x v="4"/>
    <s v="Laptop"/>
    <x v="1"/>
    <s v="Los Angeles"/>
    <s v="Male"/>
    <n v="51"/>
    <n v="2"/>
    <n v="5"/>
    <s v="P908"/>
    <x v="2"/>
    <x v="0"/>
    <x v="3"/>
    <s v="Dell"/>
    <n v="3"/>
    <n v="827.88"/>
    <n v="1106.07"/>
    <n v="3"/>
    <s v="Q3"/>
    <n v="2025"/>
    <x v="11"/>
    <n v="1572.972"/>
    <n v="466.90200000000004"/>
  </r>
  <r>
    <s v="ORD00673"/>
    <d v="2025-01-08T00:00:00"/>
    <s v="C4823"/>
    <x v="672"/>
    <d v="2025-01-14T00:00:00"/>
    <x v="2"/>
    <x v="2"/>
    <s v="Fitness"/>
    <x v="18"/>
    <s v="Memphis"/>
    <s v="Male"/>
    <n v="34"/>
    <n v="4"/>
    <n v="0"/>
    <s v="P380"/>
    <x v="0"/>
    <x v="0"/>
    <x v="2"/>
    <s v="Decathlon"/>
    <n v="3"/>
    <n v="142.11000000000001"/>
    <n v="315.64"/>
    <n v="6"/>
    <s v="Q1"/>
    <n v="2025"/>
    <x v="0"/>
    <n v="568.44000000000005"/>
    <n v="252.80000000000007"/>
  </r>
  <r>
    <s v="ORD00674"/>
    <d v="2024-07-15T00:00:00"/>
    <s v="C9113"/>
    <x v="673"/>
    <d v="2024-07-21T00:00:00"/>
    <x v="9"/>
    <x v="0"/>
    <s v="Skincare"/>
    <x v="20"/>
    <s v="Richmond"/>
    <s v="Female"/>
    <n v="27"/>
    <n v="2"/>
    <n v="15"/>
    <s v="P395"/>
    <x v="2"/>
    <x v="4"/>
    <x v="1"/>
    <s v="Nivea"/>
    <n v="5"/>
    <n v="301.06"/>
    <n v="367.54"/>
    <n v="6"/>
    <s v="Q3"/>
    <n v="2024"/>
    <x v="4"/>
    <n v="511.80199999999996"/>
    <n v="144.26199999999994"/>
  </r>
  <r>
    <s v="ORD00675"/>
    <d v="2024-06-08T00:00:00"/>
    <s v="C7854"/>
    <x v="674"/>
    <d v="2024-06-09T00:00:00"/>
    <x v="4"/>
    <x v="4"/>
    <s v="Mobile"/>
    <x v="7"/>
    <s v="Albany"/>
    <s v="Female"/>
    <n v="42"/>
    <n v="3"/>
    <n v="15"/>
    <s v="P113"/>
    <x v="0"/>
    <x v="3"/>
    <x v="1"/>
    <s v="Samsung"/>
    <n v="5"/>
    <n v="498.64"/>
    <n v="829.27"/>
    <n v="1"/>
    <s v="Q2"/>
    <n v="2024"/>
    <x v="2"/>
    <n v="1271.5319999999999"/>
    <n v="442.26199999999994"/>
  </r>
  <r>
    <s v="ORD00676"/>
    <d v="2025-12-15T00:00:00"/>
    <s v="C4411"/>
    <x v="675"/>
    <d v="2025-12-17T00:00:00"/>
    <x v="5"/>
    <x v="3"/>
    <s v="Furniture"/>
    <x v="13"/>
    <s v="Augusta"/>
    <s v="Female"/>
    <n v="23"/>
    <n v="4"/>
    <n v="30"/>
    <s v="P560"/>
    <x v="2"/>
    <x v="0"/>
    <x v="2"/>
    <s v="IKEA"/>
    <n v="4"/>
    <n v="912.41"/>
    <n v="1281.1099999999999"/>
    <n v="2"/>
    <s v="Q4"/>
    <n v="2025"/>
    <x v="7"/>
    <n v="2554.7479999999996"/>
    <n v="1273.6379999999997"/>
  </r>
  <r>
    <s v="ORD00677"/>
    <d v="2025-10-23T00:00:00"/>
    <s v="C9884"/>
    <x v="676"/>
    <d v="2025-10-26T00:00:00"/>
    <x v="9"/>
    <x v="0"/>
    <s v="Skincare"/>
    <x v="22"/>
    <s v="Naperville"/>
    <s v="Male"/>
    <n v="37"/>
    <n v="1"/>
    <n v="10"/>
    <s v="P292"/>
    <x v="1"/>
    <x v="0"/>
    <x v="2"/>
    <s v="Nivea"/>
    <n v="4"/>
    <n v="14.73"/>
    <n v="9.7200000000000006"/>
    <n v="3"/>
    <s v="Q4"/>
    <n v="2025"/>
    <x v="8"/>
    <n v="13.257000000000001"/>
    <n v="3.5370000000000008"/>
  </r>
  <r>
    <s v="ORD00678"/>
    <d v="2025-12-01T00:00:00"/>
    <s v="C9554"/>
    <x v="677"/>
    <d v="2025-12-07T00:00:00"/>
    <x v="6"/>
    <x v="5"/>
    <s v="Snacks"/>
    <x v="2"/>
    <s v="Cincinnati"/>
    <s v="Female"/>
    <n v="49"/>
    <n v="1"/>
    <n v="30"/>
    <s v="P821"/>
    <x v="1"/>
    <x v="3"/>
    <x v="3"/>
    <s v="Britannia"/>
    <n v="4"/>
    <n v="336.29"/>
    <n v="132.62"/>
    <n v="6"/>
    <s v="Q4"/>
    <n v="2025"/>
    <x v="7"/>
    <n v="235.40299999999999"/>
    <n v="102.78299999999999"/>
  </r>
  <r>
    <s v="ORD00679"/>
    <d v="2025-02-16T00:00:00"/>
    <s v="C7670"/>
    <x v="678"/>
    <d v="2025-02-22T00:00:00"/>
    <x v="9"/>
    <x v="0"/>
    <s v="Skincare"/>
    <x v="7"/>
    <s v="Rochester"/>
    <s v="Female"/>
    <n v="28"/>
    <n v="5"/>
    <n v="10"/>
    <s v="P969"/>
    <x v="0"/>
    <x v="3"/>
    <x v="1"/>
    <s v="Nivea"/>
    <n v="1"/>
    <n v="757.59"/>
    <n v="2867.46"/>
    <n v="6"/>
    <s v="Q1"/>
    <n v="2025"/>
    <x v="5"/>
    <n v="3409.1550000000002"/>
    <n v="541.69500000000016"/>
  </r>
  <r>
    <s v="ORD00680"/>
    <d v="2025-04-24T00:00:00"/>
    <s v="C4299"/>
    <x v="679"/>
    <d v="2025-04-27T00:00:00"/>
    <x v="6"/>
    <x v="5"/>
    <s v="Snacks"/>
    <x v="10"/>
    <s v="Green Bay"/>
    <s v="Male"/>
    <n v="55"/>
    <n v="1"/>
    <n v="25"/>
    <s v="P153"/>
    <x v="0"/>
    <x v="4"/>
    <x v="2"/>
    <s v="Britannia"/>
    <n v="5"/>
    <n v="803.83"/>
    <n v="468.61"/>
    <n v="3"/>
    <s v="Q2"/>
    <n v="2025"/>
    <x v="3"/>
    <n v="602.87250000000006"/>
    <n v="134.26250000000005"/>
  </r>
  <r>
    <s v="ORD00681"/>
    <d v="2024-02-28T00:00:00"/>
    <s v="C5066"/>
    <x v="680"/>
    <d v="2024-02-29T00:00:00"/>
    <x v="5"/>
    <x v="3"/>
    <s v="Furniture"/>
    <x v="4"/>
    <s v="Mesa"/>
    <s v="Male"/>
    <n v="39"/>
    <n v="2"/>
    <n v="25"/>
    <s v="P853"/>
    <x v="2"/>
    <x v="2"/>
    <x v="0"/>
    <s v="IKEA"/>
    <n v="1"/>
    <n v="235.71"/>
    <n v="200.21"/>
    <n v="1"/>
    <s v="Q1"/>
    <n v="2024"/>
    <x v="5"/>
    <n v="353.565"/>
    <n v="153.35499999999999"/>
  </r>
  <r>
    <s v="ORD00682"/>
    <d v="2025-01-02T00:00:00"/>
    <s v="C6515"/>
    <x v="681"/>
    <d v="2025-01-07T00:00:00"/>
    <x v="3"/>
    <x v="3"/>
    <s v="Kitchen"/>
    <x v="16"/>
    <s v="Tacoma"/>
    <s v="Female"/>
    <n v="30"/>
    <n v="5"/>
    <n v="0"/>
    <s v="P853"/>
    <x v="1"/>
    <x v="0"/>
    <x v="0"/>
    <s v="Philips"/>
    <n v="4"/>
    <n v="541.01"/>
    <n v="1873.33"/>
    <n v="5"/>
    <s v="Q1"/>
    <n v="2025"/>
    <x v="0"/>
    <n v="2705.05"/>
    <n v="831.72000000000025"/>
  </r>
  <r>
    <s v="ORD00683"/>
    <d v="2024-04-04T00:00:00"/>
    <s v="C9595"/>
    <x v="682"/>
    <d v="2024-04-05T00:00:00"/>
    <x v="9"/>
    <x v="0"/>
    <s v="Skincare"/>
    <x v="0"/>
    <s v="Cambridge"/>
    <s v="Male"/>
    <n v="18"/>
    <n v="4"/>
    <n v="20"/>
    <s v="P552"/>
    <x v="1"/>
    <x v="2"/>
    <x v="1"/>
    <s v="Nivea"/>
    <n v="4"/>
    <n v="590.83000000000004"/>
    <n v="1335.62"/>
    <n v="1"/>
    <s v="Q2"/>
    <n v="2024"/>
    <x v="3"/>
    <n v="1890.6560000000002"/>
    <n v="555.03600000000029"/>
  </r>
  <r>
    <s v="ORD00684"/>
    <d v="2024-12-29T00:00:00"/>
    <s v="C1107"/>
    <x v="683"/>
    <d v="2024-12-31T00:00:00"/>
    <x v="3"/>
    <x v="3"/>
    <s v="Kitchen"/>
    <x v="7"/>
    <s v="New York"/>
    <s v="Female"/>
    <n v="23"/>
    <n v="4"/>
    <n v="15"/>
    <s v="P569"/>
    <x v="2"/>
    <x v="3"/>
    <x v="3"/>
    <s v="Philips"/>
    <n v="1"/>
    <n v="38.200000000000003"/>
    <n v="103.74"/>
    <n v="2"/>
    <s v="Q4"/>
    <n v="2024"/>
    <x v="7"/>
    <n v="129.88"/>
    <n v="26.14"/>
  </r>
  <r>
    <s v="ORD00685"/>
    <d v="2025-08-05T00:00:00"/>
    <s v="C6749"/>
    <x v="684"/>
    <d v="2025-08-06T00:00:00"/>
    <x v="7"/>
    <x v="4"/>
    <s v="Laptop"/>
    <x v="11"/>
    <s v="Newark"/>
    <s v="Female"/>
    <n v="30"/>
    <n v="3"/>
    <n v="0"/>
    <s v="P960"/>
    <x v="2"/>
    <x v="3"/>
    <x v="3"/>
    <s v="Dell"/>
    <n v="3"/>
    <n v="660.69"/>
    <n v="1140.33"/>
    <n v="1"/>
    <s v="Q3"/>
    <n v="2025"/>
    <x v="11"/>
    <n v="1982.0700000000002"/>
    <n v="841.74000000000024"/>
  </r>
  <r>
    <s v="ORD00686"/>
    <d v="2025-07-20T00:00:00"/>
    <s v="C6720"/>
    <x v="685"/>
    <d v="2025-07-27T00:00:00"/>
    <x v="6"/>
    <x v="5"/>
    <s v="Snacks"/>
    <x v="8"/>
    <s v="Jacksonville"/>
    <s v="Male"/>
    <n v="62"/>
    <n v="1"/>
    <n v="25"/>
    <s v="P671"/>
    <x v="1"/>
    <x v="3"/>
    <x v="2"/>
    <s v="Britannia"/>
    <n v="3"/>
    <n v="60.12"/>
    <n v="37.19"/>
    <n v="7"/>
    <s v="Q3"/>
    <n v="2025"/>
    <x v="4"/>
    <n v="45.089999999999996"/>
    <n v="7.8999999999999986"/>
  </r>
  <r>
    <s v="ORD00687"/>
    <d v="2025-11-09T00:00:00"/>
    <s v="C1443"/>
    <x v="686"/>
    <d v="2025-11-16T00:00:00"/>
    <x v="6"/>
    <x v="5"/>
    <s v="Snacks"/>
    <x v="1"/>
    <s v="San Diego"/>
    <s v="Female"/>
    <n v="64"/>
    <n v="5"/>
    <n v="10"/>
    <s v="P819"/>
    <x v="2"/>
    <x v="3"/>
    <x v="3"/>
    <s v="Britannia"/>
    <n v="1"/>
    <n v="730.79"/>
    <n v="2188.42"/>
    <n v="7"/>
    <s v="Q4"/>
    <n v="2025"/>
    <x v="10"/>
    <n v="3288.5549999999998"/>
    <n v="1100.1349999999998"/>
  </r>
  <r>
    <s v="ORD00688"/>
    <d v="2026-04-03T00:00:00"/>
    <s v="C1119"/>
    <x v="687"/>
    <d v="2026-04-10T00:00:00"/>
    <x v="4"/>
    <x v="4"/>
    <s v="Mobile"/>
    <x v="19"/>
    <s v="Frederick"/>
    <s v="Female"/>
    <n v="64"/>
    <n v="4"/>
    <n v="30"/>
    <s v="P538"/>
    <x v="0"/>
    <x v="3"/>
    <x v="1"/>
    <s v="Samsung"/>
    <n v="3"/>
    <n v="506.53"/>
    <n v="1024.24"/>
    <n v="7"/>
    <s v="Q2"/>
    <n v="2026"/>
    <x v="3"/>
    <n v="1418.2839999999999"/>
    <n v="394.04399999999987"/>
  </r>
  <r>
    <s v="ORD00689"/>
    <d v="2025-10-27T00:00:00"/>
    <s v="C6632"/>
    <x v="688"/>
    <d v="2025-10-31T00:00:00"/>
    <x v="4"/>
    <x v="4"/>
    <s v="Mobile"/>
    <x v="1"/>
    <s v="Sacramento"/>
    <s v="Male"/>
    <n v="36"/>
    <n v="4"/>
    <n v="5"/>
    <s v="P895"/>
    <x v="2"/>
    <x v="0"/>
    <x v="1"/>
    <s v="Samsung"/>
    <n v="3"/>
    <n v="627.46"/>
    <n v="1669.33"/>
    <n v="4"/>
    <s v="Q4"/>
    <n v="2025"/>
    <x v="8"/>
    <n v="2384.348"/>
    <n v="715.01800000000003"/>
  </r>
  <r>
    <s v="ORD00690"/>
    <d v="2026-01-23T00:00:00"/>
    <s v="C5579"/>
    <x v="689"/>
    <d v="2026-01-28T00:00:00"/>
    <x v="4"/>
    <x v="4"/>
    <s v="Mobile"/>
    <x v="13"/>
    <s v="Augusta"/>
    <s v="Female"/>
    <n v="64"/>
    <n v="4"/>
    <n v="25"/>
    <s v="P643"/>
    <x v="0"/>
    <x v="4"/>
    <x v="2"/>
    <s v="Samsung"/>
    <n v="5"/>
    <n v="658.88"/>
    <n v="1521.92"/>
    <n v="5"/>
    <s v="Q1"/>
    <n v="2026"/>
    <x v="0"/>
    <n v="1976.6399999999999"/>
    <n v="454.7199999999998"/>
  </r>
  <r>
    <s v="ORD00691"/>
    <d v="2024-12-23T00:00:00"/>
    <s v="C8045"/>
    <x v="690"/>
    <d v="2024-12-24T00:00:00"/>
    <x v="6"/>
    <x v="5"/>
    <s v="Snacks"/>
    <x v="9"/>
    <s v="Montgomery"/>
    <s v="Male"/>
    <n v="58"/>
    <n v="5"/>
    <n v="20"/>
    <s v="P107"/>
    <x v="2"/>
    <x v="4"/>
    <x v="3"/>
    <s v="Britannia"/>
    <n v="2"/>
    <n v="168.5"/>
    <n v="350.07"/>
    <n v="1"/>
    <s v="Q4"/>
    <n v="2024"/>
    <x v="7"/>
    <n v="674"/>
    <n v="323.93"/>
  </r>
  <r>
    <s v="ORD00692"/>
    <d v="2024-07-31T00:00:00"/>
    <s v="C5493"/>
    <x v="691"/>
    <d v="2024-08-06T00:00:00"/>
    <x v="2"/>
    <x v="2"/>
    <s v="Fitness"/>
    <x v="10"/>
    <s v="Milwaukee"/>
    <s v="Male"/>
    <n v="53"/>
    <n v="3"/>
    <n v="15"/>
    <s v="P114"/>
    <x v="1"/>
    <x v="2"/>
    <x v="1"/>
    <s v="Decathlon"/>
    <n v="1"/>
    <n v="138.05000000000001"/>
    <n v="189.96"/>
    <n v="6"/>
    <s v="Q3"/>
    <n v="2024"/>
    <x v="4"/>
    <n v="352.02750000000003"/>
    <n v="162.06750000000002"/>
  </r>
  <r>
    <s v="ORD00693"/>
    <d v="2024-07-16T00:00:00"/>
    <s v="C6217"/>
    <x v="692"/>
    <d v="2024-07-22T00:00:00"/>
    <x v="7"/>
    <x v="4"/>
    <s v="Laptop"/>
    <x v="0"/>
    <s v="Cambridge"/>
    <s v="Female"/>
    <n v="53"/>
    <n v="3"/>
    <n v="5"/>
    <s v="P113"/>
    <x v="0"/>
    <x v="2"/>
    <x v="2"/>
    <s v="Dell"/>
    <n v="1"/>
    <n v="43.7"/>
    <n v="78.819999999999993"/>
    <n v="6"/>
    <s v="Q3"/>
    <n v="2024"/>
    <x v="4"/>
    <n v="124.54500000000002"/>
    <n v="45.725000000000023"/>
  </r>
  <r>
    <s v="ORD00694"/>
    <d v="2026-01-04T00:00:00"/>
    <s v="C7551"/>
    <x v="693"/>
    <d v="2026-01-05T00:00:00"/>
    <x v="6"/>
    <x v="5"/>
    <s v="Snacks"/>
    <x v="21"/>
    <s v="Charleston"/>
    <s v="Male"/>
    <n v="51"/>
    <n v="4"/>
    <n v="30"/>
    <s v="P431"/>
    <x v="2"/>
    <x v="2"/>
    <x v="2"/>
    <s v="Britannia"/>
    <n v="1"/>
    <n v="820.17"/>
    <n v="1767.55"/>
    <n v="1"/>
    <s v="Q1"/>
    <n v="2026"/>
    <x v="0"/>
    <n v="2296.4759999999997"/>
    <n v="528.9259999999997"/>
  </r>
  <r>
    <s v="ORD00695"/>
    <d v="2025-09-05T00:00:00"/>
    <s v="C8007"/>
    <x v="694"/>
    <d v="2025-09-11T00:00:00"/>
    <x v="6"/>
    <x v="5"/>
    <s v="Snacks"/>
    <x v="13"/>
    <s v="Augusta"/>
    <s v="Male"/>
    <n v="37"/>
    <n v="3"/>
    <n v="0"/>
    <s v="P167"/>
    <x v="0"/>
    <x v="1"/>
    <x v="1"/>
    <s v="Britannia"/>
    <n v="1"/>
    <n v="582.80999999999995"/>
    <n v="1385.29"/>
    <n v="6"/>
    <s v="Q3"/>
    <n v="2025"/>
    <x v="1"/>
    <n v="1748.4299999999998"/>
    <n v="363.13999999999987"/>
  </r>
  <r>
    <s v="ORD00696"/>
    <d v="2026-02-06T00:00:00"/>
    <s v="C5799"/>
    <x v="695"/>
    <d v="2026-02-11T00:00:00"/>
    <x v="4"/>
    <x v="4"/>
    <s v="Mobile"/>
    <x v="0"/>
    <s v="Cambridge"/>
    <s v="Male"/>
    <n v="18"/>
    <n v="4"/>
    <n v="0"/>
    <s v="P858"/>
    <x v="0"/>
    <x v="0"/>
    <x v="3"/>
    <s v="Samsung"/>
    <n v="2"/>
    <n v="19.149999999999999"/>
    <n v="38.4"/>
    <n v="5"/>
    <s v="Q1"/>
    <n v="2026"/>
    <x v="5"/>
    <n v="76.599999999999994"/>
    <n v="38.199999999999996"/>
  </r>
  <r>
    <s v="ORD00697"/>
    <d v="2024-04-25T00:00:00"/>
    <s v="C2758"/>
    <x v="696"/>
    <d v="2024-04-29T00:00:00"/>
    <x v="8"/>
    <x v="1"/>
    <s v="Shoes"/>
    <x v="13"/>
    <s v="Atlanta"/>
    <s v="Female"/>
    <n v="65"/>
    <n v="5"/>
    <n v="15"/>
    <s v="P300"/>
    <x v="1"/>
    <x v="4"/>
    <x v="2"/>
    <s v="Nike"/>
    <n v="5"/>
    <n v="284.62"/>
    <n v="758.61"/>
    <n v="4"/>
    <s v="Q2"/>
    <n v="2024"/>
    <x v="3"/>
    <n v="1209.635"/>
    <n v="451.02499999999998"/>
  </r>
  <r>
    <s v="ORD00698"/>
    <d v="2024-05-18T00:00:00"/>
    <s v="C6099"/>
    <x v="697"/>
    <d v="2024-05-22T00:00:00"/>
    <x v="3"/>
    <x v="3"/>
    <s v="Kitchen"/>
    <x v="12"/>
    <s v="Lansing"/>
    <s v="Female"/>
    <n v="36"/>
    <n v="1"/>
    <n v="10"/>
    <s v="P919"/>
    <x v="1"/>
    <x v="2"/>
    <x v="1"/>
    <s v="Philips"/>
    <n v="5"/>
    <n v="350.09"/>
    <n v="185.55"/>
    <n v="4"/>
    <s v="Q2"/>
    <n v="2024"/>
    <x v="9"/>
    <n v="315.08099999999996"/>
    <n v="129.53099999999995"/>
  </r>
  <r>
    <s v="ORD00699"/>
    <d v="2025-03-05T00:00:00"/>
    <s v="C9866"/>
    <x v="698"/>
    <d v="2025-03-11T00:00:00"/>
    <x v="1"/>
    <x v="1"/>
    <s v="Shirt"/>
    <x v="7"/>
    <s v="Buffalo"/>
    <s v="Female"/>
    <n v="25"/>
    <n v="5"/>
    <n v="5"/>
    <s v="P344"/>
    <x v="1"/>
    <x v="0"/>
    <x v="1"/>
    <s v="Puma"/>
    <n v="5"/>
    <n v="296.92"/>
    <n v="815.62"/>
    <n v="6"/>
    <s v="Q1"/>
    <n v="2025"/>
    <x v="6"/>
    <n v="1410.3700000000001"/>
    <n v="594.75000000000011"/>
  </r>
  <r>
    <s v="ORD00700"/>
    <d v="2024-04-30T00:00:00"/>
    <s v="C4604"/>
    <x v="699"/>
    <d v="2024-05-06T00:00:00"/>
    <x v="7"/>
    <x v="4"/>
    <s v="Laptop"/>
    <x v="1"/>
    <s v="Los Angeles"/>
    <s v="Female"/>
    <n v="47"/>
    <n v="5"/>
    <n v="5"/>
    <s v="P314"/>
    <x v="0"/>
    <x v="4"/>
    <x v="2"/>
    <s v="Dell"/>
    <n v="3"/>
    <n v="677.06"/>
    <n v="1656.89"/>
    <n v="6"/>
    <s v="Q2"/>
    <n v="2024"/>
    <x v="3"/>
    <n v="3216.0349999999994"/>
    <n v="1559.1449999999993"/>
  </r>
  <r>
    <s v="ORD00701"/>
    <d v="2024-06-05T00:00:00"/>
    <s v="C9553"/>
    <x v="700"/>
    <d v="2024-06-06T00:00:00"/>
    <x v="9"/>
    <x v="0"/>
    <s v="Skincare"/>
    <x v="8"/>
    <s v="Jacksonville"/>
    <s v="Male"/>
    <n v="47"/>
    <n v="5"/>
    <n v="0"/>
    <s v="P722"/>
    <x v="1"/>
    <x v="4"/>
    <x v="3"/>
    <s v="Nivea"/>
    <n v="4"/>
    <n v="152.76"/>
    <n v="477.5"/>
    <n v="1"/>
    <s v="Q2"/>
    <n v="2024"/>
    <x v="2"/>
    <n v="763.8"/>
    <n v="286.29999999999995"/>
  </r>
  <r>
    <s v="ORD00702"/>
    <d v="2024-09-30T00:00:00"/>
    <s v="C7159"/>
    <x v="701"/>
    <d v="2024-10-07T00:00:00"/>
    <x v="9"/>
    <x v="0"/>
    <s v="Skincare"/>
    <x v="24"/>
    <s v="Salem"/>
    <s v="Male"/>
    <n v="48"/>
    <n v="3"/>
    <n v="10"/>
    <s v="P600"/>
    <x v="2"/>
    <x v="0"/>
    <x v="3"/>
    <s v="Nivea"/>
    <n v="3"/>
    <n v="916.38"/>
    <n v="1759.09"/>
    <n v="7"/>
    <s v="Q3"/>
    <n v="2024"/>
    <x v="1"/>
    <n v="2474.2260000000001"/>
    <n v="715.13600000000019"/>
  </r>
  <r>
    <s v="ORD00703"/>
    <d v="2024-06-14T00:00:00"/>
    <s v="C3790"/>
    <x v="702"/>
    <d v="2024-06-20T00:00:00"/>
    <x v="5"/>
    <x v="3"/>
    <s v="Furniture"/>
    <x v="1"/>
    <s v="San Francisco"/>
    <s v="Female"/>
    <n v="58"/>
    <n v="2"/>
    <n v="0"/>
    <s v="P421"/>
    <x v="0"/>
    <x v="3"/>
    <x v="1"/>
    <s v="IKEA"/>
    <n v="5"/>
    <n v="724.75"/>
    <n v="1202.3699999999999"/>
    <n v="6"/>
    <s v="Q2"/>
    <n v="2024"/>
    <x v="2"/>
    <n v="1449.5"/>
    <n v="247.13000000000011"/>
  </r>
  <r>
    <s v="ORD00704"/>
    <d v="2024-07-30T00:00:00"/>
    <s v="C9184"/>
    <x v="703"/>
    <d v="2024-08-05T00:00:00"/>
    <x v="7"/>
    <x v="4"/>
    <s v="Laptop"/>
    <x v="6"/>
    <s v="Raleigh"/>
    <s v="Female"/>
    <n v="24"/>
    <n v="4"/>
    <n v="5"/>
    <s v="P793"/>
    <x v="2"/>
    <x v="1"/>
    <x v="2"/>
    <s v="Dell"/>
    <n v="5"/>
    <n v="984.72"/>
    <n v="2731.21"/>
    <n v="6"/>
    <s v="Q3"/>
    <n v="2024"/>
    <x v="4"/>
    <n v="3741.9360000000001"/>
    <n v="1010.7260000000001"/>
  </r>
  <r>
    <s v="ORD00705"/>
    <d v="2025-04-13T00:00:00"/>
    <s v="C1880"/>
    <x v="704"/>
    <d v="2025-04-14T00:00:00"/>
    <x v="2"/>
    <x v="2"/>
    <s v="Fitness"/>
    <x v="23"/>
    <s v="Saint Paul"/>
    <s v="Female"/>
    <n v="58"/>
    <n v="1"/>
    <n v="20"/>
    <s v="P181"/>
    <x v="1"/>
    <x v="2"/>
    <x v="0"/>
    <s v="Decathlon"/>
    <n v="2"/>
    <n v="841.61"/>
    <n v="349.68"/>
    <n v="1"/>
    <s v="Q2"/>
    <n v="2025"/>
    <x v="3"/>
    <n v="673.28800000000001"/>
    <n v="323.608"/>
  </r>
  <r>
    <s v="ORD00706"/>
    <d v="2024-09-28T00:00:00"/>
    <s v="C6476"/>
    <x v="705"/>
    <d v="2024-10-04T00:00:00"/>
    <x v="5"/>
    <x v="3"/>
    <s v="Furniture"/>
    <x v="20"/>
    <s v="Virginia Beach"/>
    <s v="Male"/>
    <n v="58"/>
    <n v="4"/>
    <n v="0"/>
    <s v="P177"/>
    <x v="1"/>
    <x v="3"/>
    <x v="1"/>
    <s v="IKEA"/>
    <n v="4"/>
    <n v="200.79"/>
    <n v="658.72"/>
    <n v="6"/>
    <s v="Q3"/>
    <n v="2024"/>
    <x v="1"/>
    <n v="803.16"/>
    <n v="144.43999999999994"/>
  </r>
  <r>
    <s v="ORD00707"/>
    <d v="2026-02-16T00:00:00"/>
    <s v="C2123"/>
    <x v="706"/>
    <d v="2026-02-19T00:00:00"/>
    <x v="3"/>
    <x v="3"/>
    <s v="Kitchen"/>
    <x v="22"/>
    <s v="Naperville"/>
    <s v="Female"/>
    <n v="21"/>
    <n v="4"/>
    <n v="10"/>
    <s v="P311"/>
    <x v="1"/>
    <x v="2"/>
    <x v="1"/>
    <s v="Philips"/>
    <n v="3"/>
    <n v="782.13"/>
    <n v="1720.97"/>
    <n v="3"/>
    <s v="Q1"/>
    <n v="2026"/>
    <x v="5"/>
    <n v="2815.6680000000001"/>
    <n v="1094.6980000000001"/>
  </r>
  <r>
    <s v="ORD00708"/>
    <d v="2025-07-18T00:00:00"/>
    <s v="C7193"/>
    <x v="707"/>
    <d v="2025-07-19T00:00:00"/>
    <x v="1"/>
    <x v="1"/>
    <s v="Shirt"/>
    <x v="3"/>
    <s v="Houston"/>
    <s v="Male"/>
    <n v="34"/>
    <n v="4"/>
    <n v="0"/>
    <s v="P330"/>
    <x v="2"/>
    <x v="4"/>
    <x v="1"/>
    <s v="Puma"/>
    <n v="3"/>
    <n v="813.44"/>
    <n v="2082.17"/>
    <n v="1"/>
    <s v="Q3"/>
    <n v="2025"/>
    <x v="4"/>
    <n v="3253.76"/>
    <n v="1171.5900000000001"/>
  </r>
  <r>
    <s v="ORD00709"/>
    <d v="2025-01-23T00:00:00"/>
    <s v="C2205"/>
    <x v="708"/>
    <d v="2025-01-26T00:00:00"/>
    <x v="5"/>
    <x v="3"/>
    <s v="Furniture"/>
    <x v="3"/>
    <s v="Dallas"/>
    <s v="Male"/>
    <n v="61"/>
    <n v="3"/>
    <n v="5"/>
    <s v="P261"/>
    <x v="1"/>
    <x v="1"/>
    <x v="2"/>
    <s v="IKEA"/>
    <n v="5"/>
    <n v="738.98"/>
    <n v="1610.18"/>
    <n v="3"/>
    <s v="Q1"/>
    <n v="2025"/>
    <x v="0"/>
    <n v="2106.0929999999998"/>
    <n v="495.91299999999978"/>
  </r>
  <r>
    <s v="ORD00710"/>
    <d v="2024-08-11T00:00:00"/>
    <s v="C3994"/>
    <x v="709"/>
    <d v="2024-08-15T00:00:00"/>
    <x v="3"/>
    <x v="3"/>
    <s v="Kitchen"/>
    <x v="4"/>
    <s v="Tucson"/>
    <s v="Male"/>
    <n v="23"/>
    <n v="4"/>
    <n v="30"/>
    <s v="P702"/>
    <x v="2"/>
    <x v="2"/>
    <x v="2"/>
    <s v="Philips"/>
    <n v="3"/>
    <n v="373.04"/>
    <n v="641.64"/>
    <n v="4"/>
    <s v="Q3"/>
    <n v="2024"/>
    <x v="11"/>
    <n v="1044.5119999999999"/>
    <n v="402.87199999999996"/>
  </r>
  <r>
    <s v="ORD00711"/>
    <d v="2026-02-16T00:00:00"/>
    <s v="C1794"/>
    <x v="710"/>
    <d v="2026-02-18T00:00:00"/>
    <x v="2"/>
    <x v="2"/>
    <s v="Fitness"/>
    <x v="3"/>
    <s v="Austin"/>
    <s v="Male"/>
    <n v="30"/>
    <n v="4"/>
    <n v="30"/>
    <s v="P372"/>
    <x v="2"/>
    <x v="4"/>
    <x v="0"/>
    <s v="Decathlon"/>
    <n v="5"/>
    <n v="145.71"/>
    <n v="337.83"/>
    <n v="2"/>
    <s v="Q1"/>
    <n v="2026"/>
    <x v="5"/>
    <n v="407.988"/>
    <n v="70.158000000000015"/>
  </r>
  <r>
    <s v="ORD00712"/>
    <d v="2024-05-19T00:00:00"/>
    <s v="C7128"/>
    <x v="711"/>
    <d v="2024-05-23T00:00:00"/>
    <x v="5"/>
    <x v="3"/>
    <s v="Furniture"/>
    <x v="23"/>
    <s v="Minneapolis"/>
    <s v="Male"/>
    <n v="54"/>
    <n v="3"/>
    <n v="20"/>
    <s v="P120"/>
    <x v="2"/>
    <x v="3"/>
    <x v="2"/>
    <s v="IKEA"/>
    <n v="1"/>
    <n v="152.07"/>
    <n v="299.64999999999998"/>
    <n v="4"/>
    <s v="Q2"/>
    <n v="2024"/>
    <x v="9"/>
    <n v="364.96800000000002"/>
    <n v="65.31800000000004"/>
  </r>
  <r>
    <s v="ORD00713"/>
    <d v="2024-07-28T00:00:00"/>
    <s v="C7262"/>
    <x v="712"/>
    <d v="2024-08-03T00:00:00"/>
    <x v="9"/>
    <x v="0"/>
    <s v="Skincare"/>
    <x v="8"/>
    <s v="Orlando"/>
    <s v="Female"/>
    <n v="40"/>
    <n v="2"/>
    <n v="5"/>
    <s v="P751"/>
    <x v="1"/>
    <x v="1"/>
    <x v="2"/>
    <s v="Nivea"/>
    <n v="4"/>
    <n v="680.52"/>
    <n v="904.63"/>
    <n v="6"/>
    <s v="Q3"/>
    <n v="2024"/>
    <x v="4"/>
    <n v="1292.9879999999998"/>
    <n v="388.35799999999983"/>
  </r>
  <r>
    <s v="ORD00714"/>
    <d v="2025-01-26T00:00:00"/>
    <s v="C9357"/>
    <x v="713"/>
    <d v="2025-02-01T00:00:00"/>
    <x v="4"/>
    <x v="4"/>
    <s v="Mobile"/>
    <x v="0"/>
    <s v="Cambridge"/>
    <s v="Female"/>
    <n v="25"/>
    <n v="1"/>
    <n v="25"/>
    <s v="P663"/>
    <x v="0"/>
    <x v="4"/>
    <x v="0"/>
    <s v="Samsung"/>
    <n v="5"/>
    <n v="871.18"/>
    <n v="417.43"/>
    <n v="6"/>
    <s v="Q1"/>
    <n v="2025"/>
    <x v="0"/>
    <n v="653.38499999999999"/>
    <n v="235.95499999999998"/>
  </r>
  <r>
    <s v="ORD00715"/>
    <d v="2024-11-01T00:00:00"/>
    <s v="C6962"/>
    <x v="714"/>
    <d v="2024-11-06T00:00:00"/>
    <x v="9"/>
    <x v="0"/>
    <s v="Skincare"/>
    <x v="3"/>
    <s v="Houston"/>
    <s v="Female"/>
    <n v="45"/>
    <n v="2"/>
    <n v="5"/>
    <s v="P339"/>
    <x v="2"/>
    <x v="0"/>
    <x v="3"/>
    <s v="Nivea"/>
    <n v="4"/>
    <n v="16.71"/>
    <n v="25.61"/>
    <n v="5"/>
    <s v="Q4"/>
    <n v="2024"/>
    <x v="10"/>
    <n v="31.748999999999999"/>
    <n v="6.1389999999999993"/>
  </r>
  <r>
    <s v="ORD00716"/>
    <d v="2025-08-04T00:00:00"/>
    <s v="C3947"/>
    <x v="715"/>
    <d v="2025-08-05T00:00:00"/>
    <x v="7"/>
    <x v="4"/>
    <s v="Laptop"/>
    <x v="20"/>
    <s v="Richmond"/>
    <s v="Male"/>
    <n v="57"/>
    <n v="4"/>
    <n v="30"/>
    <s v="P597"/>
    <x v="2"/>
    <x v="4"/>
    <x v="1"/>
    <s v="Dell"/>
    <n v="5"/>
    <n v="513.17999999999995"/>
    <n v="780.54"/>
    <n v="1"/>
    <s v="Q3"/>
    <n v="2025"/>
    <x v="11"/>
    <n v="1436.9039999999998"/>
    <n v="656.36399999999981"/>
  </r>
  <r>
    <s v="ORD00717"/>
    <d v="2024-06-23T00:00:00"/>
    <s v="C6677"/>
    <x v="716"/>
    <d v="2024-06-28T00:00:00"/>
    <x v="3"/>
    <x v="3"/>
    <s v="Kitchen"/>
    <x v="1"/>
    <s v="Sacramento"/>
    <s v="Female"/>
    <n v="18"/>
    <n v="4"/>
    <n v="30"/>
    <s v="P727"/>
    <x v="0"/>
    <x v="1"/>
    <x v="2"/>
    <s v="Philips"/>
    <n v="5"/>
    <n v="629.49"/>
    <n v="1186.05"/>
    <n v="5"/>
    <s v="Q2"/>
    <n v="2024"/>
    <x v="2"/>
    <n v="1762.5719999999999"/>
    <n v="576.52199999999993"/>
  </r>
  <r>
    <s v="ORD00718"/>
    <d v="2025-08-01T00:00:00"/>
    <s v="C9042"/>
    <x v="717"/>
    <d v="2025-08-08T00:00:00"/>
    <x v="2"/>
    <x v="2"/>
    <s v="Fitness"/>
    <x v="3"/>
    <s v="Austin"/>
    <s v="Male"/>
    <n v="44"/>
    <n v="3"/>
    <n v="30"/>
    <s v="P995"/>
    <x v="2"/>
    <x v="1"/>
    <x v="3"/>
    <s v="Decathlon"/>
    <n v="2"/>
    <n v="742.65"/>
    <n v="852.28"/>
    <n v="7"/>
    <s v="Q3"/>
    <n v="2025"/>
    <x v="11"/>
    <n v="1559.5649999999998"/>
    <n v="707.28499999999985"/>
  </r>
  <r>
    <s v="ORD00719"/>
    <d v="2025-08-23T00:00:00"/>
    <s v="C9729"/>
    <x v="718"/>
    <d v="2025-08-24T00:00:00"/>
    <x v="1"/>
    <x v="1"/>
    <s v="Shirt"/>
    <x v="8"/>
    <s v="Orlando"/>
    <s v="Female"/>
    <n v="49"/>
    <n v="4"/>
    <n v="20"/>
    <s v="P282"/>
    <x v="1"/>
    <x v="1"/>
    <x v="3"/>
    <s v="Puma"/>
    <n v="3"/>
    <n v="245.4"/>
    <n v="658.94"/>
    <n v="1"/>
    <s v="Q3"/>
    <n v="2025"/>
    <x v="11"/>
    <n v="785.28000000000009"/>
    <n v="126.34000000000003"/>
  </r>
  <r>
    <s v="ORD00720"/>
    <d v="2024-03-25T00:00:00"/>
    <s v="C3777"/>
    <x v="719"/>
    <d v="2024-03-26T00:00:00"/>
    <x v="2"/>
    <x v="2"/>
    <s v="Fitness"/>
    <x v="22"/>
    <s v="Springfield"/>
    <s v="Female"/>
    <n v="65"/>
    <n v="1"/>
    <n v="25"/>
    <s v="P171"/>
    <x v="2"/>
    <x v="2"/>
    <x v="0"/>
    <s v="Decathlon"/>
    <n v="3"/>
    <n v="27.2"/>
    <n v="16.14"/>
    <n v="1"/>
    <s v="Q1"/>
    <n v="2024"/>
    <x v="6"/>
    <n v="20.399999999999999"/>
    <n v="4.259999999999998"/>
  </r>
  <r>
    <s v="ORD00721"/>
    <d v="2025-09-01T00:00:00"/>
    <s v="C4828"/>
    <x v="720"/>
    <d v="2025-09-05T00:00:00"/>
    <x v="6"/>
    <x v="5"/>
    <s v="Snacks"/>
    <x v="7"/>
    <s v="Rochester"/>
    <s v="Female"/>
    <n v="19"/>
    <n v="2"/>
    <n v="30"/>
    <s v="P176"/>
    <x v="2"/>
    <x v="0"/>
    <x v="0"/>
    <s v="Britannia"/>
    <n v="2"/>
    <n v="59.01"/>
    <n v="58.95"/>
    <n v="4"/>
    <s v="Q3"/>
    <n v="2025"/>
    <x v="1"/>
    <n v="82.61399999999999"/>
    <n v="23.663999999999987"/>
  </r>
  <r>
    <s v="ORD00722"/>
    <d v="2024-05-24T00:00:00"/>
    <s v="C4318"/>
    <x v="721"/>
    <d v="2024-05-25T00:00:00"/>
    <x v="9"/>
    <x v="0"/>
    <s v="Skincare"/>
    <x v="3"/>
    <s v="Houston"/>
    <s v="Male"/>
    <n v="29"/>
    <n v="5"/>
    <n v="15"/>
    <s v="P640"/>
    <x v="2"/>
    <x v="0"/>
    <x v="2"/>
    <s v="Nivea"/>
    <n v="4"/>
    <n v="90.32"/>
    <n v="225.74"/>
    <n v="1"/>
    <s v="Q2"/>
    <n v="2024"/>
    <x v="9"/>
    <n v="383.85999999999996"/>
    <n v="158.11999999999995"/>
  </r>
  <r>
    <s v="ORD00723"/>
    <d v="2025-06-13T00:00:00"/>
    <s v="C5611"/>
    <x v="722"/>
    <d v="2025-06-15T00:00:00"/>
    <x v="1"/>
    <x v="1"/>
    <s v="Shirt"/>
    <x v="7"/>
    <s v="Rochester"/>
    <s v="Male"/>
    <n v="50"/>
    <n v="4"/>
    <n v="10"/>
    <s v="P326"/>
    <x v="2"/>
    <x v="0"/>
    <x v="1"/>
    <s v="Puma"/>
    <n v="1"/>
    <n v="278.42"/>
    <n v="673.12"/>
    <n v="2"/>
    <s v="Q2"/>
    <n v="2025"/>
    <x v="2"/>
    <n v="1002.3120000000001"/>
    <n v="329.19200000000012"/>
  </r>
  <r>
    <s v="ORD00724"/>
    <d v="2026-02-14T00:00:00"/>
    <s v="C8495"/>
    <x v="723"/>
    <d v="2026-02-18T00:00:00"/>
    <x v="6"/>
    <x v="5"/>
    <s v="Snacks"/>
    <x v="9"/>
    <s v="Montgomery"/>
    <s v="Female"/>
    <n v="25"/>
    <n v="4"/>
    <n v="15"/>
    <s v="P640"/>
    <x v="0"/>
    <x v="1"/>
    <x v="1"/>
    <s v="Britannia"/>
    <n v="5"/>
    <n v="350.05"/>
    <n v="754.62"/>
    <n v="4"/>
    <s v="Q1"/>
    <n v="2026"/>
    <x v="5"/>
    <n v="1190.17"/>
    <n v="435.55000000000007"/>
  </r>
  <r>
    <s v="ORD00725"/>
    <d v="2025-07-25T00:00:00"/>
    <s v="C6490"/>
    <x v="724"/>
    <d v="2025-07-26T00:00:00"/>
    <x v="9"/>
    <x v="0"/>
    <s v="Skincare"/>
    <x v="14"/>
    <s v="St. Louis"/>
    <s v="Female"/>
    <n v="35"/>
    <n v="3"/>
    <n v="5"/>
    <s v="P444"/>
    <x v="2"/>
    <x v="2"/>
    <x v="1"/>
    <s v="Nivea"/>
    <n v="1"/>
    <n v="858.51"/>
    <n v="1629.24"/>
    <n v="1"/>
    <s v="Q3"/>
    <n v="2025"/>
    <x v="4"/>
    <n v="2446.7534999999998"/>
    <n v="817.51349999999979"/>
  </r>
  <r>
    <s v="ORD00726"/>
    <d v="2026-04-20T00:00:00"/>
    <s v="C5947"/>
    <x v="725"/>
    <d v="2026-04-21T00:00:00"/>
    <x v="9"/>
    <x v="0"/>
    <s v="Skincare"/>
    <x v="16"/>
    <s v="Spokane"/>
    <s v="Female"/>
    <n v="51"/>
    <n v="4"/>
    <n v="15"/>
    <s v="P797"/>
    <x v="0"/>
    <x v="0"/>
    <x v="3"/>
    <s v="Nivea"/>
    <n v="1"/>
    <n v="329.3"/>
    <n v="755.93"/>
    <n v="1"/>
    <s v="Q2"/>
    <n v="2026"/>
    <x v="3"/>
    <n v="1119.6200000000001"/>
    <n v="363.69000000000017"/>
  </r>
  <r>
    <s v="ORD00727"/>
    <d v="2024-01-05T00:00:00"/>
    <s v="C7368"/>
    <x v="726"/>
    <d v="2024-01-11T00:00:00"/>
    <x v="2"/>
    <x v="2"/>
    <s v="Fitness"/>
    <x v="2"/>
    <s v="Cincinnati"/>
    <s v="Male"/>
    <n v="54"/>
    <n v="5"/>
    <n v="20"/>
    <s v="P373"/>
    <x v="0"/>
    <x v="2"/>
    <x v="0"/>
    <s v="Decathlon"/>
    <n v="5"/>
    <n v="50.98"/>
    <n v="167.61"/>
    <n v="6"/>
    <s v="Q1"/>
    <n v="2024"/>
    <x v="0"/>
    <n v="203.92"/>
    <n v="36.309999999999974"/>
  </r>
  <r>
    <s v="ORD00728"/>
    <d v="2026-01-20T00:00:00"/>
    <s v="C2927"/>
    <x v="727"/>
    <d v="2026-01-22T00:00:00"/>
    <x v="7"/>
    <x v="4"/>
    <s v="Laptop"/>
    <x v="17"/>
    <s v="Philadelphia"/>
    <s v="Female"/>
    <n v="52"/>
    <n v="2"/>
    <n v="20"/>
    <s v="P883"/>
    <x v="2"/>
    <x v="0"/>
    <x v="3"/>
    <s v="Dell"/>
    <n v="3"/>
    <n v="378.15"/>
    <n v="454.1"/>
    <n v="2"/>
    <s v="Q1"/>
    <n v="2026"/>
    <x v="0"/>
    <n v="605.04"/>
    <n v="150.93999999999994"/>
  </r>
  <r>
    <s v="ORD00729"/>
    <d v="2024-02-03T00:00:00"/>
    <s v="C7379"/>
    <x v="728"/>
    <d v="2024-02-10T00:00:00"/>
    <x v="4"/>
    <x v="4"/>
    <s v="Mobile"/>
    <x v="20"/>
    <s v="Richmond"/>
    <s v="Female"/>
    <n v="39"/>
    <n v="5"/>
    <n v="0"/>
    <s v="P746"/>
    <x v="1"/>
    <x v="4"/>
    <x v="0"/>
    <s v="Samsung"/>
    <n v="5"/>
    <n v="67.62"/>
    <n v="281.33"/>
    <n v="7"/>
    <s v="Q1"/>
    <n v="2024"/>
    <x v="5"/>
    <n v="338.1"/>
    <n v="56.770000000000039"/>
  </r>
  <r>
    <s v="ORD00730"/>
    <d v="2024-09-29T00:00:00"/>
    <s v="C2991"/>
    <x v="729"/>
    <d v="2024-10-04T00:00:00"/>
    <x v="6"/>
    <x v="5"/>
    <s v="Snacks"/>
    <x v="0"/>
    <s v="Worcester"/>
    <s v="Male"/>
    <n v="26"/>
    <n v="4"/>
    <n v="0"/>
    <s v="P587"/>
    <x v="0"/>
    <x v="2"/>
    <x v="1"/>
    <s v="Britannia"/>
    <n v="2"/>
    <n v="244.2"/>
    <n v="819.7"/>
    <n v="5"/>
    <s v="Q3"/>
    <n v="2024"/>
    <x v="1"/>
    <n v="976.8"/>
    <n v="157.09999999999991"/>
  </r>
  <r>
    <s v="ORD00731"/>
    <d v="2024-07-04T00:00:00"/>
    <s v="C9728"/>
    <x v="730"/>
    <d v="2024-07-05T00:00:00"/>
    <x v="5"/>
    <x v="3"/>
    <s v="Furniture"/>
    <x v="16"/>
    <s v="Spokane"/>
    <s v="Male"/>
    <n v="51"/>
    <n v="2"/>
    <n v="20"/>
    <s v="P314"/>
    <x v="0"/>
    <x v="1"/>
    <x v="3"/>
    <s v="IKEA"/>
    <n v="2"/>
    <n v="293"/>
    <n v="328.06"/>
    <n v="1"/>
    <s v="Q3"/>
    <n v="2024"/>
    <x v="4"/>
    <n v="468.8"/>
    <n v="140.74"/>
  </r>
  <r>
    <s v="ORD00732"/>
    <d v="2024-05-23T00:00:00"/>
    <s v="C9828"/>
    <x v="731"/>
    <d v="2024-05-27T00:00:00"/>
    <x v="6"/>
    <x v="5"/>
    <s v="Snacks"/>
    <x v="1"/>
    <s v="San Francisco"/>
    <s v="Female"/>
    <n v="24"/>
    <n v="2"/>
    <n v="10"/>
    <s v="P705"/>
    <x v="0"/>
    <x v="3"/>
    <x v="2"/>
    <s v="Britannia"/>
    <n v="2"/>
    <n v="463.63"/>
    <n v="544.75"/>
    <n v="4"/>
    <s v="Q2"/>
    <n v="2024"/>
    <x v="9"/>
    <n v="834.53399999999999"/>
    <n v="289.78399999999999"/>
  </r>
  <r>
    <s v="ORD00733"/>
    <d v="2025-07-02T00:00:00"/>
    <s v="C3277"/>
    <x v="732"/>
    <d v="2025-07-09T00:00:00"/>
    <x v="6"/>
    <x v="5"/>
    <s v="Snacks"/>
    <x v="0"/>
    <s v="Cambridge"/>
    <s v="Male"/>
    <n v="31"/>
    <n v="1"/>
    <n v="30"/>
    <s v="P779"/>
    <x v="1"/>
    <x v="1"/>
    <x v="1"/>
    <s v="Britannia"/>
    <n v="5"/>
    <n v="442.25"/>
    <n v="168.24"/>
    <n v="7"/>
    <s v="Q3"/>
    <n v="2025"/>
    <x v="4"/>
    <n v="309.57499999999999"/>
    <n v="141.33499999999998"/>
  </r>
  <r>
    <s v="ORD00734"/>
    <d v="2025-10-28T00:00:00"/>
    <s v="C9395"/>
    <x v="733"/>
    <d v="2025-10-29T00:00:00"/>
    <x v="5"/>
    <x v="3"/>
    <s v="Furniture"/>
    <x v="20"/>
    <s v="Virginia Beach"/>
    <s v="Female"/>
    <n v="20"/>
    <n v="5"/>
    <n v="20"/>
    <s v="P248"/>
    <x v="2"/>
    <x v="0"/>
    <x v="0"/>
    <s v="IKEA"/>
    <n v="2"/>
    <n v="269.92"/>
    <n v="808.45"/>
    <n v="1"/>
    <s v="Q4"/>
    <n v="2025"/>
    <x v="8"/>
    <n v="1079.68"/>
    <n v="271.23"/>
  </r>
  <r>
    <s v="ORD00735"/>
    <d v="2026-01-17T00:00:00"/>
    <s v="C4999"/>
    <x v="734"/>
    <d v="2026-01-18T00:00:00"/>
    <x v="1"/>
    <x v="1"/>
    <s v="Shirt"/>
    <x v="8"/>
    <s v="Jacksonville"/>
    <s v="Female"/>
    <n v="63"/>
    <n v="2"/>
    <n v="5"/>
    <s v="P528"/>
    <x v="0"/>
    <x v="2"/>
    <x v="2"/>
    <s v="Puma"/>
    <n v="3"/>
    <n v="147.13999999999999"/>
    <n v="205.68"/>
    <n v="1"/>
    <s v="Q1"/>
    <n v="2026"/>
    <x v="0"/>
    <n v="279.56599999999997"/>
    <n v="73.885999999999967"/>
  </r>
  <r>
    <s v="ORD00736"/>
    <d v="2025-11-30T00:00:00"/>
    <s v="C1039"/>
    <x v="735"/>
    <d v="2025-12-06T00:00:00"/>
    <x v="1"/>
    <x v="1"/>
    <s v="Shirt"/>
    <x v="17"/>
    <s v="Allentown"/>
    <s v="Male"/>
    <n v="38"/>
    <n v="5"/>
    <n v="0"/>
    <s v="P580"/>
    <x v="0"/>
    <x v="2"/>
    <x v="3"/>
    <s v="Puma"/>
    <n v="2"/>
    <n v="458.85"/>
    <n v="1477.76"/>
    <n v="6"/>
    <s v="Q4"/>
    <n v="2025"/>
    <x v="10"/>
    <n v="2294.25"/>
    <n v="816.49"/>
  </r>
  <r>
    <s v="ORD00737"/>
    <d v="2024-02-28T00:00:00"/>
    <s v="C7392"/>
    <x v="736"/>
    <d v="2024-03-06T00:00:00"/>
    <x v="6"/>
    <x v="5"/>
    <s v="Snacks"/>
    <x v="1"/>
    <s v="Los Angeles"/>
    <s v="Male"/>
    <n v="29"/>
    <n v="5"/>
    <n v="10"/>
    <s v="P288"/>
    <x v="0"/>
    <x v="0"/>
    <x v="2"/>
    <s v="Britannia"/>
    <n v="3"/>
    <n v="925.74"/>
    <n v="2866.43"/>
    <n v="7"/>
    <s v="Q1"/>
    <n v="2024"/>
    <x v="5"/>
    <n v="4165.83"/>
    <n v="1299.4000000000001"/>
  </r>
  <r>
    <s v="ORD00738"/>
    <d v="2026-04-30T00:00:00"/>
    <s v="C5089"/>
    <x v="737"/>
    <d v="2026-05-04T00:00:00"/>
    <x v="1"/>
    <x v="1"/>
    <s v="Shirt"/>
    <x v="12"/>
    <s v="Grand Rapids"/>
    <s v="Male"/>
    <n v="20"/>
    <n v="2"/>
    <n v="15"/>
    <s v="P524"/>
    <x v="1"/>
    <x v="0"/>
    <x v="3"/>
    <s v="Puma"/>
    <n v="5"/>
    <n v="576.49"/>
    <n v="546.22"/>
    <n v="4"/>
    <s v="Q2"/>
    <n v="2026"/>
    <x v="3"/>
    <n v="980.03300000000002"/>
    <n v="433.81299999999999"/>
  </r>
  <r>
    <s v="ORD00739"/>
    <d v="2024-08-17T00:00:00"/>
    <s v="C7988"/>
    <x v="738"/>
    <d v="2024-08-21T00:00:00"/>
    <x v="4"/>
    <x v="4"/>
    <s v="Mobile"/>
    <x v="18"/>
    <s v="Memphis"/>
    <s v="Male"/>
    <n v="41"/>
    <n v="2"/>
    <n v="20"/>
    <s v="P405"/>
    <x v="2"/>
    <x v="2"/>
    <x v="2"/>
    <s v="Samsung"/>
    <n v="3"/>
    <n v="681.93"/>
    <n v="673.26"/>
    <n v="4"/>
    <s v="Q3"/>
    <n v="2024"/>
    <x v="11"/>
    <n v="1091.088"/>
    <n v="417.82799999999997"/>
  </r>
  <r>
    <s v="ORD00740"/>
    <d v="2024-05-22T00:00:00"/>
    <s v="C9922"/>
    <x v="739"/>
    <d v="2024-05-24T00:00:00"/>
    <x v="9"/>
    <x v="0"/>
    <s v="Skincare"/>
    <x v="4"/>
    <s v="Phoenix"/>
    <s v="Male"/>
    <n v="28"/>
    <n v="1"/>
    <n v="10"/>
    <s v="P137"/>
    <x v="2"/>
    <x v="1"/>
    <x v="1"/>
    <s v="Nivea"/>
    <n v="5"/>
    <n v="579.21"/>
    <n v="372.2"/>
    <n v="2"/>
    <s v="Q2"/>
    <n v="2024"/>
    <x v="9"/>
    <n v="521.2890000000001"/>
    <n v="149.08900000000011"/>
  </r>
  <r>
    <s v="ORD00741"/>
    <d v="2024-07-05T00:00:00"/>
    <s v="C6339"/>
    <x v="740"/>
    <d v="2024-07-12T00:00:00"/>
    <x v="1"/>
    <x v="1"/>
    <s v="Shirt"/>
    <x v="1"/>
    <s v="San Francisco"/>
    <s v="Male"/>
    <n v="59"/>
    <n v="4"/>
    <n v="10"/>
    <s v="P316"/>
    <x v="1"/>
    <x v="4"/>
    <x v="1"/>
    <s v="Puma"/>
    <n v="1"/>
    <n v="517.34"/>
    <n v="1531.09"/>
    <n v="7"/>
    <s v="Q3"/>
    <n v="2024"/>
    <x v="4"/>
    <n v="1862.4240000000002"/>
    <n v="331.33400000000029"/>
  </r>
  <r>
    <s v="ORD00742"/>
    <d v="2024-02-02T00:00:00"/>
    <s v="C4293"/>
    <x v="741"/>
    <d v="2024-02-03T00:00:00"/>
    <x v="3"/>
    <x v="3"/>
    <s v="Kitchen"/>
    <x v="13"/>
    <s v="Savannah"/>
    <s v="Male"/>
    <n v="23"/>
    <n v="3"/>
    <n v="20"/>
    <s v="P425"/>
    <x v="0"/>
    <x v="1"/>
    <x v="3"/>
    <s v="Philips"/>
    <n v="1"/>
    <n v="614.64"/>
    <n v="1023.04"/>
    <n v="1"/>
    <s v="Q1"/>
    <n v="2024"/>
    <x v="5"/>
    <n v="1475.1360000000002"/>
    <n v="452.09600000000023"/>
  </r>
  <r>
    <s v="ORD00743"/>
    <d v="2025-08-20T00:00:00"/>
    <s v="C3616"/>
    <x v="742"/>
    <d v="2025-08-26T00:00:00"/>
    <x v="8"/>
    <x v="1"/>
    <s v="Shoes"/>
    <x v="17"/>
    <s v="Pittsburgh"/>
    <s v="Male"/>
    <n v="36"/>
    <n v="2"/>
    <n v="10"/>
    <s v="P368"/>
    <x v="1"/>
    <x v="2"/>
    <x v="3"/>
    <s v="Nike"/>
    <n v="3"/>
    <n v="213.1"/>
    <n v="244.65"/>
    <n v="6"/>
    <s v="Q3"/>
    <n v="2025"/>
    <x v="11"/>
    <n v="383.58"/>
    <n v="138.92999999999998"/>
  </r>
  <r>
    <s v="ORD00744"/>
    <d v="2025-04-04T00:00:00"/>
    <s v="C1978"/>
    <x v="743"/>
    <d v="2025-04-07T00:00:00"/>
    <x v="9"/>
    <x v="0"/>
    <s v="Skincare"/>
    <x v="4"/>
    <s v="Mesa"/>
    <s v="Female"/>
    <n v="37"/>
    <n v="2"/>
    <n v="0"/>
    <s v="P490"/>
    <x v="2"/>
    <x v="2"/>
    <x v="2"/>
    <s v="Nivea"/>
    <n v="1"/>
    <n v="704.1"/>
    <n v="1075.6500000000001"/>
    <n v="3"/>
    <s v="Q2"/>
    <n v="2025"/>
    <x v="3"/>
    <n v="1408.2"/>
    <n v="332.54999999999995"/>
  </r>
  <r>
    <s v="ORD00745"/>
    <d v="2024-05-23T00:00:00"/>
    <s v="C2137"/>
    <x v="744"/>
    <d v="2024-05-28T00:00:00"/>
    <x v="6"/>
    <x v="5"/>
    <s v="Snacks"/>
    <x v="3"/>
    <s v="San Antonio"/>
    <s v="Male"/>
    <n v="44"/>
    <n v="1"/>
    <n v="25"/>
    <s v="P825"/>
    <x v="1"/>
    <x v="3"/>
    <x v="1"/>
    <s v="Britannia"/>
    <n v="4"/>
    <n v="73.66"/>
    <n v="30.34"/>
    <n v="5"/>
    <s v="Q2"/>
    <n v="2024"/>
    <x v="9"/>
    <n v="55.244999999999997"/>
    <n v="24.904999999999998"/>
  </r>
  <r>
    <s v="ORD00746"/>
    <d v="2025-12-02T00:00:00"/>
    <s v="C3464"/>
    <x v="745"/>
    <d v="2025-12-04T00:00:00"/>
    <x v="3"/>
    <x v="3"/>
    <s v="Kitchen"/>
    <x v="1"/>
    <s v="Sacramento"/>
    <s v="Male"/>
    <n v="54"/>
    <n v="1"/>
    <n v="30"/>
    <s v="P580"/>
    <x v="2"/>
    <x v="3"/>
    <x v="2"/>
    <s v="Philips"/>
    <n v="4"/>
    <n v="915.52"/>
    <n v="351.82"/>
    <n v="2"/>
    <s v="Q4"/>
    <n v="2025"/>
    <x v="7"/>
    <n v="640.86399999999992"/>
    <n v="289.04399999999993"/>
  </r>
  <r>
    <s v="ORD00747"/>
    <d v="2026-04-02T00:00:00"/>
    <s v="C1444"/>
    <x v="746"/>
    <d v="2026-04-07T00:00:00"/>
    <x v="9"/>
    <x v="0"/>
    <s v="Skincare"/>
    <x v="21"/>
    <s v="Greenville"/>
    <s v="Female"/>
    <n v="58"/>
    <n v="3"/>
    <n v="15"/>
    <s v="P485"/>
    <x v="1"/>
    <x v="0"/>
    <x v="1"/>
    <s v="Nivea"/>
    <n v="3"/>
    <n v="709.15"/>
    <n v="1229.8900000000001"/>
    <n v="5"/>
    <s v="Q2"/>
    <n v="2026"/>
    <x v="3"/>
    <n v="1808.3324999999998"/>
    <n v="578.44249999999965"/>
  </r>
  <r>
    <s v="ORD00748"/>
    <d v="2025-07-17T00:00:00"/>
    <s v="C7621"/>
    <x v="747"/>
    <d v="2025-07-24T00:00:00"/>
    <x v="9"/>
    <x v="0"/>
    <s v="Skincare"/>
    <x v="1"/>
    <s v="San Diego"/>
    <s v="Male"/>
    <n v="30"/>
    <n v="2"/>
    <n v="30"/>
    <s v="P803"/>
    <x v="1"/>
    <x v="4"/>
    <x v="3"/>
    <s v="Nivea"/>
    <n v="5"/>
    <n v="987.79"/>
    <n v="869.32"/>
    <n v="7"/>
    <s v="Q3"/>
    <n v="2025"/>
    <x v="4"/>
    <n v="1382.9059999999999"/>
    <n v="513.5859999999999"/>
  </r>
  <r>
    <s v="ORD00749"/>
    <d v="2024-07-26T00:00:00"/>
    <s v="C5170"/>
    <x v="748"/>
    <d v="2024-07-30T00:00:00"/>
    <x v="2"/>
    <x v="2"/>
    <s v="Fitness"/>
    <x v="13"/>
    <s v="Savannah"/>
    <s v="Male"/>
    <n v="19"/>
    <n v="3"/>
    <n v="10"/>
    <s v="P221"/>
    <x v="2"/>
    <x v="2"/>
    <x v="2"/>
    <s v="Decathlon"/>
    <n v="1"/>
    <n v="627.92999999999995"/>
    <n v="1366.15"/>
    <n v="4"/>
    <s v="Q3"/>
    <n v="2024"/>
    <x v="4"/>
    <n v="1695.4110000000001"/>
    <n v="329.26099999999997"/>
  </r>
  <r>
    <s v="ORD00750"/>
    <d v="2025-11-30T00:00:00"/>
    <s v="C9046"/>
    <x v="749"/>
    <d v="2025-12-01T00:00:00"/>
    <x v="2"/>
    <x v="2"/>
    <s v="Fitness"/>
    <x v="15"/>
    <s v="Boulder"/>
    <s v="Female"/>
    <n v="56"/>
    <n v="5"/>
    <n v="15"/>
    <s v="P897"/>
    <x v="1"/>
    <x v="1"/>
    <x v="2"/>
    <s v="Decathlon"/>
    <n v="5"/>
    <n v="597.07000000000005"/>
    <n v="1894.15"/>
    <n v="1"/>
    <s v="Q4"/>
    <n v="2025"/>
    <x v="10"/>
    <n v="2537.5475000000001"/>
    <n v="643.39750000000004"/>
  </r>
  <r>
    <s v="ORD00751"/>
    <d v="2024-12-19T00:00:00"/>
    <s v="C8815"/>
    <x v="750"/>
    <d v="2024-12-26T00:00:00"/>
    <x v="4"/>
    <x v="4"/>
    <s v="Mobile"/>
    <x v="3"/>
    <s v="Austin"/>
    <s v="Female"/>
    <n v="25"/>
    <n v="4"/>
    <n v="30"/>
    <s v="P259"/>
    <x v="0"/>
    <x v="1"/>
    <x v="0"/>
    <s v="Samsung"/>
    <n v="3"/>
    <n v="215.61"/>
    <n v="505.12"/>
    <n v="7"/>
    <s v="Q4"/>
    <n v="2024"/>
    <x v="7"/>
    <n v="603.70799999999997"/>
    <n v="98.587999999999965"/>
  </r>
  <r>
    <s v="ORD00752"/>
    <d v="2025-12-03T00:00:00"/>
    <s v="C6690"/>
    <x v="751"/>
    <d v="2025-12-04T00:00:00"/>
    <x v="7"/>
    <x v="4"/>
    <s v="Laptop"/>
    <x v="3"/>
    <s v="San Antonio"/>
    <s v="Female"/>
    <n v="22"/>
    <n v="1"/>
    <n v="10"/>
    <s v="P629"/>
    <x v="1"/>
    <x v="2"/>
    <x v="0"/>
    <s v="Dell"/>
    <n v="1"/>
    <n v="945.95"/>
    <n v="663.63"/>
    <n v="1"/>
    <s v="Q4"/>
    <n v="2025"/>
    <x v="7"/>
    <n v="851.35500000000002"/>
    <n v="187.72500000000002"/>
  </r>
  <r>
    <s v="ORD00753"/>
    <d v="2026-03-04T00:00:00"/>
    <s v="C3812"/>
    <x v="752"/>
    <d v="2026-03-09T00:00:00"/>
    <x v="3"/>
    <x v="3"/>
    <s v="Kitchen"/>
    <x v="2"/>
    <s v="Cincinnati"/>
    <s v="Female"/>
    <n v="50"/>
    <n v="3"/>
    <n v="15"/>
    <s v="P765"/>
    <x v="2"/>
    <x v="0"/>
    <x v="3"/>
    <s v="Philips"/>
    <n v="5"/>
    <n v="373.08"/>
    <n v="497.4"/>
    <n v="5"/>
    <s v="Q1"/>
    <n v="2026"/>
    <x v="6"/>
    <n v="951.35399999999993"/>
    <n v="453.95399999999995"/>
  </r>
  <r>
    <s v="ORD00754"/>
    <d v="2025-08-14T00:00:00"/>
    <s v="C6374"/>
    <x v="753"/>
    <d v="2025-08-15T00:00:00"/>
    <x v="8"/>
    <x v="1"/>
    <s v="Shoes"/>
    <x v="13"/>
    <s v="Augusta"/>
    <s v="Male"/>
    <n v="23"/>
    <n v="3"/>
    <n v="15"/>
    <s v="P770"/>
    <x v="2"/>
    <x v="1"/>
    <x v="0"/>
    <s v="Nike"/>
    <n v="5"/>
    <n v="534.32000000000005"/>
    <n v="888.93"/>
    <n v="1"/>
    <s v="Q3"/>
    <n v="2025"/>
    <x v="11"/>
    <n v="1362.5160000000001"/>
    <n v="473.58600000000013"/>
  </r>
  <r>
    <s v="ORD00755"/>
    <d v="2024-06-08T00:00:00"/>
    <s v="C1585"/>
    <x v="754"/>
    <d v="2024-06-13T00:00:00"/>
    <x v="9"/>
    <x v="0"/>
    <s v="Skincare"/>
    <x v="13"/>
    <s v="Augusta"/>
    <s v="Male"/>
    <n v="31"/>
    <n v="4"/>
    <n v="15"/>
    <s v="P651"/>
    <x v="0"/>
    <x v="0"/>
    <x v="2"/>
    <s v="Nivea"/>
    <n v="2"/>
    <n v="38.28"/>
    <n v="79.489999999999995"/>
    <n v="5"/>
    <s v="Q2"/>
    <n v="2024"/>
    <x v="2"/>
    <n v="130.15199999999999"/>
    <n v="50.661999999999992"/>
  </r>
  <r>
    <s v="ORD00756"/>
    <d v="2024-10-02T00:00:00"/>
    <s v="C6806"/>
    <x v="755"/>
    <d v="2024-10-05T00:00:00"/>
    <x v="9"/>
    <x v="0"/>
    <s v="Skincare"/>
    <x v="16"/>
    <s v="Spokane"/>
    <s v="Male"/>
    <n v="29"/>
    <n v="4"/>
    <n v="10"/>
    <s v="P992"/>
    <x v="0"/>
    <x v="2"/>
    <x v="2"/>
    <s v="Nivea"/>
    <n v="5"/>
    <n v="522.19000000000005"/>
    <n v="968.07"/>
    <n v="3"/>
    <s v="Q4"/>
    <n v="2024"/>
    <x v="8"/>
    <n v="1879.8840000000002"/>
    <n v="911.81400000000019"/>
  </r>
  <r>
    <s v="ORD00757"/>
    <d v="2025-04-16T00:00:00"/>
    <s v="C2462"/>
    <x v="756"/>
    <d v="2025-04-21T00:00:00"/>
    <x v="8"/>
    <x v="1"/>
    <s v="Shoes"/>
    <x v="11"/>
    <s v="Jersey City"/>
    <s v="Male"/>
    <n v="48"/>
    <n v="4"/>
    <n v="15"/>
    <s v="P834"/>
    <x v="0"/>
    <x v="1"/>
    <x v="3"/>
    <s v="Nike"/>
    <n v="4"/>
    <n v="836.31"/>
    <n v="1788.78"/>
    <n v="5"/>
    <s v="Q2"/>
    <n v="2025"/>
    <x v="3"/>
    <n v="2843.4539999999997"/>
    <n v="1054.6739999999998"/>
  </r>
  <r>
    <s v="ORD00758"/>
    <d v="2025-12-12T00:00:00"/>
    <s v="C9347"/>
    <x v="757"/>
    <d v="2025-12-13T00:00:00"/>
    <x v="6"/>
    <x v="5"/>
    <s v="Snacks"/>
    <x v="17"/>
    <s v="Allentown"/>
    <s v="Female"/>
    <n v="46"/>
    <n v="2"/>
    <n v="30"/>
    <s v="P220"/>
    <x v="1"/>
    <x v="4"/>
    <x v="0"/>
    <s v="Britannia"/>
    <n v="4"/>
    <n v="466.18"/>
    <n v="490.53"/>
    <n v="1"/>
    <s v="Q4"/>
    <n v="2025"/>
    <x v="7"/>
    <n v="652.65199999999993"/>
    <n v="162.12199999999996"/>
  </r>
  <r>
    <s v="ORD00759"/>
    <d v="2024-12-04T00:00:00"/>
    <s v="C5757"/>
    <x v="758"/>
    <d v="2024-12-11T00:00:00"/>
    <x v="1"/>
    <x v="1"/>
    <s v="Shirt"/>
    <x v="22"/>
    <s v="Chicago"/>
    <s v="Male"/>
    <n v="54"/>
    <n v="5"/>
    <n v="10"/>
    <s v="P936"/>
    <x v="2"/>
    <x v="1"/>
    <x v="0"/>
    <s v="Puma"/>
    <n v="4"/>
    <n v="857.85"/>
    <n v="2109.0300000000002"/>
    <n v="7"/>
    <s v="Q4"/>
    <n v="2024"/>
    <x v="7"/>
    <n v="3860.3250000000003"/>
    <n v="1751.2950000000001"/>
  </r>
  <r>
    <s v="ORD00760"/>
    <d v="2024-09-14T00:00:00"/>
    <s v="C5625"/>
    <x v="759"/>
    <d v="2024-09-20T00:00:00"/>
    <x v="9"/>
    <x v="0"/>
    <s v="Skincare"/>
    <x v="3"/>
    <s v="Dallas"/>
    <s v="Female"/>
    <n v="55"/>
    <n v="4"/>
    <n v="10"/>
    <s v="P231"/>
    <x v="2"/>
    <x v="2"/>
    <x v="1"/>
    <s v="Nivea"/>
    <n v="3"/>
    <n v="532.64"/>
    <n v="1571.34"/>
    <n v="6"/>
    <s v="Q3"/>
    <n v="2024"/>
    <x v="1"/>
    <n v="1917.5039999999999"/>
    <n v="346.16399999999999"/>
  </r>
  <r>
    <s v="ORD00761"/>
    <d v="2025-04-24T00:00:00"/>
    <s v="C6034"/>
    <x v="760"/>
    <d v="2025-04-26T00:00:00"/>
    <x v="1"/>
    <x v="1"/>
    <s v="Shirt"/>
    <x v="7"/>
    <s v="Albany"/>
    <s v="Male"/>
    <n v="46"/>
    <n v="4"/>
    <n v="10"/>
    <s v="P545"/>
    <x v="2"/>
    <x v="2"/>
    <x v="2"/>
    <s v="Puma"/>
    <n v="1"/>
    <n v="906.86"/>
    <n v="2230.65"/>
    <n v="2"/>
    <s v="Q2"/>
    <n v="2025"/>
    <x v="3"/>
    <n v="3264.6959999999999"/>
    <n v="1034.0459999999998"/>
  </r>
  <r>
    <s v="ORD00762"/>
    <d v="2026-02-15T00:00:00"/>
    <s v="C2075"/>
    <x v="761"/>
    <d v="2026-02-18T00:00:00"/>
    <x v="4"/>
    <x v="4"/>
    <s v="Mobile"/>
    <x v="7"/>
    <s v="New York"/>
    <s v="Male"/>
    <n v="20"/>
    <n v="2"/>
    <n v="5"/>
    <s v="P627"/>
    <x v="1"/>
    <x v="0"/>
    <x v="1"/>
    <s v="Samsung"/>
    <n v="1"/>
    <n v="218.73"/>
    <n v="210.56"/>
    <n v="3"/>
    <s v="Q1"/>
    <n v="2026"/>
    <x v="5"/>
    <n v="415.58699999999999"/>
    <n v="205.02699999999999"/>
  </r>
  <r>
    <s v="ORD00763"/>
    <d v="2024-01-21T00:00:00"/>
    <s v="C4073"/>
    <x v="762"/>
    <d v="2024-01-26T00:00:00"/>
    <x v="2"/>
    <x v="2"/>
    <s v="Fitness"/>
    <x v="15"/>
    <s v="Boulder"/>
    <s v="Female"/>
    <n v="23"/>
    <n v="4"/>
    <n v="5"/>
    <s v="P428"/>
    <x v="0"/>
    <x v="1"/>
    <x v="1"/>
    <s v="Decathlon"/>
    <n v="1"/>
    <n v="681.14"/>
    <n v="1552.43"/>
    <n v="5"/>
    <s v="Q1"/>
    <n v="2024"/>
    <x v="0"/>
    <n v="2588.3319999999999"/>
    <n v="1035.9019999999998"/>
  </r>
  <r>
    <s v="ORD00764"/>
    <d v="2026-06-07T00:00:00"/>
    <s v="C7014"/>
    <x v="763"/>
    <d v="2026-06-09T00:00:00"/>
    <x v="8"/>
    <x v="1"/>
    <s v="Shoes"/>
    <x v="12"/>
    <s v="Detroit"/>
    <s v="Male"/>
    <n v="63"/>
    <n v="2"/>
    <n v="15"/>
    <s v="P604"/>
    <x v="1"/>
    <x v="1"/>
    <x v="1"/>
    <s v="Nike"/>
    <n v="4"/>
    <n v="725.94"/>
    <n v="834.49"/>
    <n v="2"/>
    <s v="Q2"/>
    <n v="2026"/>
    <x v="2"/>
    <n v="1234.098"/>
    <n v="399.60799999999995"/>
  </r>
  <r>
    <s v="ORD00765"/>
    <d v="2025-01-14T00:00:00"/>
    <s v="C1803"/>
    <x v="764"/>
    <d v="2025-01-21T00:00:00"/>
    <x v="6"/>
    <x v="5"/>
    <s v="Snacks"/>
    <x v="23"/>
    <s v="Rochester"/>
    <s v="Female"/>
    <n v="41"/>
    <n v="1"/>
    <n v="0"/>
    <s v="P867"/>
    <x v="0"/>
    <x v="0"/>
    <x v="2"/>
    <s v="Britannia"/>
    <n v="5"/>
    <n v="449.6"/>
    <n v="237.08"/>
    <n v="7"/>
    <s v="Q1"/>
    <n v="2025"/>
    <x v="0"/>
    <n v="449.6"/>
    <n v="212.52"/>
  </r>
  <r>
    <s v="ORD00766"/>
    <d v="2025-09-11T00:00:00"/>
    <s v="C7135"/>
    <x v="765"/>
    <d v="2025-09-13T00:00:00"/>
    <x v="8"/>
    <x v="1"/>
    <s v="Shoes"/>
    <x v="4"/>
    <s v="Mesa"/>
    <s v="Male"/>
    <n v="40"/>
    <n v="1"/>
    <n v="15"/>
    <s v="P710"/>
    <x v="2"/>
    <x v="0"/>
    <x v="3"/>
    <s v="Nike"/>
    <n v="5"/>
    <n v="784.38"/>
    <n v="497.44"/>
    <n v="2"/>
    <s v="Q3"/>
    <n v="2025"/>
    <x v="1"/>
    <n v="666.72299999999996"/>
    <n v="169.28299999999996"/>
  </r>
  <r>
    <s v="ORD00767"/>
    <d v="2024-12-27T00:00:00"/>
    <s v="C9578"/>
    <x v="766"/>
    <d v="2025-01-01T00:00:00"/>
    <x v="3"/>
    <x v="3"/>
    <s v="Kitchen"/>
    <x v="23"/>
    <s v="Saint Paul"/>
    <s v="Male"/>
    <n v="60"/>
    <n v="1"/>
    <n v="15"/>
    <s v="P261"/>
    <x v="2"/>
    <x v="4"/>
    <x v="0"/>
    <s v="Philips"/>
    <n v="1"/>
    <n v="302.27"/>
    <n v="194.97"/>
    <n v="5"/>
    <s v="Q4"/>
    <n v="2024"/>
    <x v="7"/>
    <n v="256.92949999999996"/>
    <n v="61.959499999999963"/>
  </r>
  <r>
    <s v="ORD00768"/>
    <d v="2024-04-04T00:00:00"/>
    <s v="C7062"/>
    <x v="767"/>
    <d v="2024-04-08T00:00:00"/>
    <x v="2"/>
    <x v="2"/>
    <s v="Fitness"/>
    <x v="7"/>
    <s v="Buffalo"/>
    <s v="Female"/>
    <n v="61"/>
    <n v="3"/>
    <n v="0"/>
    <s v="P252"/>
    <x v="0"/>
    <x v="4"/>
    <x v="2"/>
    <s v="Decathlon"/>
    <n v="3"/>
    <n v="741.58"/>
    <n v="1387.83"/>
    <n v="4"/>
    <s v="Q2"/>
    <n v="2024"/>
    <x v="3"/>
    <n v="2224.7400000000002"/>
    <n v="836.91000000000031"/>
  </r>
  <r>
    <s v="ORD00769"/>
    <d v="2024-05-18T00:00:00"/>
    <s v="C8375"/>
    <x v="768"/>
    <d v="2024-05-23T00:00:00"/>
    <x v="1"/>
    <x v="1"/>
    <s v="Shirt"/>
    <x v="6"/>
    <s v="Charlotte"/>
    <s v="Male"/>
    <n v="31"/>
    <n v="3"/>
    <n v="25"/>
    <s v="P907"/>
    <x v="2"/>
    <x v="2"/>
    <x v="1"/>
    <s v="Puma"/>
    <n v="2"/>
    <n v="684.94"/>
    <n v="830.23"/>
    <n v="5"/>
    <s v="Q2"/>
    <n v="2024"/>
    <x v="9"/>
    <n v="1541.1150000000002"/>
    <n v="710.88500000000022"/>
  </r>
  <r>
    <s v="ORD00770"/>
    <d v="2025-03-08T00:00:00"/>
    <s v="C7369"/>
    <x v="769"/>
    <d v="2025-03-10T00:00:00"/>
    <x v="2"/>
    <x v="2"/>
    <s v="Fitness"/>
    <x v="18"/>
    <s v="Knoxville"/>
    <s v="Male"/>
    <n v="49"/>
    <n v="2"/>
    <n v="15"/>
    <s v="P858"/>
    <x v="1"/>
    <x v="3"/>
    <x v="2"/>
    <s v="Decathlon"/>
    <n v="3"/>
    <n v="670.93"/>
    <n v="812.43"/>
    <n v="2"/>
    <s v="Q1"/>
    <n v="2025"/>
    <x v="6"/>
    <n v="1140.5809999999999"/>
    <n v="328.15099999999995"/>
  </r>
  <r>
    <s v="ORD00771"/>
    <d v="2024-05-21T00:00:00"/>
    <s v="C3298"/>
    <x v="770"/>
    <d v="2024-05-26T00:00:00"/>
    <x v="5"/>
    <x v="3"/>
    <s v="Furniture"/>
    <x v="1"/>
    <s v="San Francisco"/>
    <s v="Female"/>
    <n v="43"/>
    <n v="2"/>
    <n v="30"/>
    <s v="P999"/>
    <x v="0"/>
    <x v="4"/>
    <x v="1"/>
    <s v="IKEA"/>
    <n v="1"/>
    <n v="104.77"/>
    <n v="83.62"/>
    <n v="5"/>
    <s v="Q2"/>
    <n v="2024"/>
    <x v="9"/>
    <n v="146.678"/>
    <n v="63.057999999999993"/>
  </r>
  <r>
    <s v="ORD00772"/>
    <d v="2025-07-03T00:00:00"/>
    <s v="C9735"/>
    <x v="771"/>
    <d v="2025-07-07T00:00:00"/>
    <x v="8"/>
    <x v="1"/>
    <s v="Shoes"/>
    <x v="16"/>
    <s v="Spokane"/>
    <s v="Male"/>
    <n v="24"/>
    <n v="2"/>
    <n v="25"/>
    <s v="P669"/>
    <x v="0"/>
    <x v="3"/>
    <x v="3"/>
    <s v="Nike"/>
    <n v="5"/>
    <n v="321.02999999999997"/>
    <n v="365.1"/>
    <n v="4"/>
    <s v="Q3"/>
    <n v="2025"/>
    <x v="4"/>
    <n v="481.54499999999996"/>
    <n v="116.44499999999994"/>
  </r>
  <r>
    <s v="ORD00773"/>
    <d v="2024-05-17T00:00:00"/>
    <s v="C9376"/>
    <x v="772"/>
    <d v="2024-05-21T00:00:00"/>
    <x v="4"/>
    <x v="4"/>
    <s v="Mobile"/>
    <x v="2"/>
    <s v="Cincinnati"/>
    <s v="Female"/>
    <n v="38"/>
    <n v="2"/>
    <n v="25"/>
    <s v="P820"/>
    <x v="1"/>
    <x v="2"/>
    <x v="0"/>
    <s v="Samsung"/>
    <n v="1"/>
    <n v="762.03"/>
    <n v="793.07"/>
    <n v="4"/>
    <s v="Q2"/>
    <n v="2024"/>
    <x v="9"/>
    <n v="1143.0450000000001"/>
    <n v="349.97500000000002"/>
  </r>
  <r>
    <s v="ORD00774"/>
    <d v="2026-03-18T00:00:00"/>
    <s v="C2267"/>
    <x v="773"/>
    <d v="2026-03-21T00:00:00"/>
    <x v="5"/>
    <x v="3"/>
    <s v="Furniture"/>
    <x v="17"/>
    <s v="Philadelphia"/>
    <s v="Female"/>
    <n v="54"/>
    <n v="4"/>
    <n v="0"/>
    <s v="P700"/>
    <x v="2"/>
    <x v="0"/>
    <x v="3"/>
    <s v="IKEA"/>
    <n v="1"/>
    <n v="753.43"/>
    <n v="1725.27"/>
    <n v="3"/>
    <s v="Q1"/>
    <n v="2026"/>
    <x v="6"/>
    <n v="3013.72"/>
    <n v="1288.4499999999998"/>
  </r>
  <r>
    <s v="ORD00775"/>
    <d v="2026-04-03T00:00:00"/>
    <s v="C5608"/>
    <x v="774"/>
    <d v="2026-04-04T00:00:00"/>
    <x v="6"/>
    <x v="5"/>
    <s v="Snacks"/>
    <x v="12"/>
    <s v="Detroit"/>
    <s v="Female"/>
    <n v="50"/>
    <n v="1"/>
    <n v="5"/>
    <s v="P977"/>
    <x v="1"/>
    <x v="2"/>
    <x v="0"/>
    <s v="Britannia"/>
    <n v="2"/>
    <n v="138.65"/>
    <n v="110.37"/>
    <n v="1"/>
    <s v="Q2"/>
    <n v="2026"/>
    <x v="3"/>
    <n v="131.7175"/>
    <n v="21.347499999999997"/>
  </r>
  <r>
    <s v="ORD00776"/>
    <d v="2024-01-01T00:00:00"/>
    <s v="C3722"/>
    <x v="775"/>
    <d v="2024-01-04T00:00:00"/>
    <x v="2"/>
    <x v="2"/>
    <s v="Fitness"/>
    <x v="19"/>
    <s v="Frederick"/>
    <s v="Female"/>
    <n v="28"/>
    <n v="3"/>
    <n v="25"/>
    <s v="P773"/>
    <x v="2"/>
    <x v="4"/>
    <x v="3"/>
    <s v="Decathlon"/>
    <n v="2"/>
    <n v="248.31"/>
    <n v="333.26"/>
    <n v="3"/>
    <s v="Q1"/>
    <n v="2024"/>
    <x v="0"/>
    <n v="558.69749999999999"/>
    <n v="225.4375"/>
  </r>
  <r>
    <s v="ORD00777"/>
    <d v="2026-03-01T00:00:00"/>
    <s v="C7569"/>
    <x v="776"/>
    <d v="2026-03-04T00:00:00"/>
    <x v="6"/>
    <x v="5"/>
    <s v="Snacks"/>
    <x v="2"/>
    <s v="Cincinnati"/>
    <s v="Female"/>
    <n v="34"/>
    <n v="1"/>
    <n v="10"/>
    <s v="P383"/>
    <x v="1"/>
    <x v="0"/>
    <x v="1"/>
    <s v="Britannia"/>
    <n v="5"/>
    <n v="629.63"/>
    <n v="393.35"/>
    <n v="3"/>
    <s v="Q1"/>
    <n v="2026"/>
    <x v="6"/>
    <n v="566.66700000000003"/>
    <n v="173.31700000000001"/>
  </r>
  <r>
    <s v="ORD00778"/>
    <d v="2024-02-21T00:00:00"/>
    <s v="C4718"/>
    <x v="777"/>
    <d v="2024-02-24T00:00:00"/>
    <x v="5"/>
    <x v="3"/>
    <s v="Furniture"/>
    <x v="1"/>
    <s v="San Francisco"/>
    <s v="Female"/>
    <n v="40"/>
    <n v="1"/>
    <n v="0"/>
    <s v="P559"/>
    <x v="0"/>
    <x v="2"/>
    <x v="3"/>
    <s v="IKEA"/>
    <n v="3"/>
    <n v="223.79"/>
    <n v="128.07"/>
    <n v="3"/>
    <s v="Q1"/>
    <n v="2024"/>
    <x v="5"/>
    <n v="223.79"/>
    <n v="95.72"/>
  </r>
  <r>
    <s v="ORD00779"/>
    <d v="2025-10-02T00:00:00"/>
    <s v="C5385"/>
    <x v="778"/>
    <d v="2025-10-09T00:00:00"/>
    <x v="9"/>
    <x v="0"/>
    <s v="Skincare"/>
    <x v="1"/>
    <s v="San Diego"/>
    <s v="Male"/>
    <n v="56"/>
    <n v="3"/>
    <n v="25"/>
    <s v="P355"/>
    <x v="2"/>
    <x v="1"/>
    <x v="0"/>
    <s v="Nivea"/>
    <n v="4"/>
    <n v="54.3"/>
    <n v="75.03"/>
    <n v="7"/>
    <s v="Q4"/>
    <n v="2025"/>
    <x v="8"/>
    <n v="122.17499999999998"/>
    <n v="47.144999999999982"/>
  </r>
  <r>
    <s v="ORD00780"/>
    <d v="2025-06-10T00:00:00"/>
    <s v="C9840"/>
    <x v="779"/>
    <d v="2025-06-14T00:00:00"/>
    <x v="5"/>
    <x v="3"/>
    <s v="Furniture"/>
    <x v="1"/>
    <s v="San Francisco"/>
    <s v="Female"/>
    <n v="61"/>
    <n v="4"/>
    <n v="15"/>
    <s v="P525"/>
    <x v="1"/>
    <x v="0"/>
    <x v="1"/>
    <s v="IKEA"/>
    <n v="1"/>
    <n v="655.53"/>
    <n v="1646.53"/>
    <n v="4"/>
    <s v="Q2"/>
    <n v="2025"/>
    <x v="2"/>
    <n v="2228.8019999999997"/>
    <n v="582.27199999999971"/>
  </r>
  <r>
    <s v="ORD00781"/>
    <d v="2025-05-20T00:00:00"/>
    <s v="C2200"/>
    <x v="780"/>
    <d v="2025-05-22T00:00:00"/>
    <x v="5"/>
    <x v="3"/>
    <s v="Furniture"/>
    <x v="8"/>
    <s v="Miami"/>
    <s v="Female"/>
    <n v="26"/>
    <n v="4"/>
    <n v="0"/>
    <s v="P329"/>
    <x v="0"/>
    <x v="1"/>
    <x v="2"/>
    <s v="IKEA"/>
    <n v="5"/>
    <n v="854.77"/>
    <n v="1764.3"/>
    <n v="2"/>
    <s v="Q2"/>
    <n v="2025"/>
    <x v="9"/>
    <n v="3419.08"/>
    <n v="1654.78"/>
  </r>
  <r>
    <s v="ORD00782"/>
    <d v="2025-03-17T00:00:00"/>
    <s v="C6467"/>
    <x v="781"/>
    <d v="2025-03-19T00:00:00"/>
    <x v="4"/>
    <x v="4"/>
    <s v="Mobile"/>
    <x v="17"/>
    <s v="Pittsburgh"/>
    <s v="Female"/>
    <n v="52"/>
    <n v="3"/>
    <n v="25"/>
    <s v="P106"/>
    <x v="0"/>
    <x v="0"/>
    <x v="2"/>
    <s v="Samsung"/>
    <n v="3"/>
    <n v="334.16"/>
    <n v="414.43"/>
    <n v="2"/>
    <s v="Q1"/>
    <n v="2025"/>
    <x v="6"/>
    <n v="751.86"/>
    <n v="337.43"/>
  </r>
  <r>
    <s v="ORD00783"/>
    <d v="2026-06-13T00:00:00"/>
    <s v="C5370"/>
    <x v="782"/>
    <d v="2026-06-19T00:00:00"/>
    <x v="1"/>
    <x v="1"/>
    <s v="Shirt"/>
    <x v="22"/>
    <s v="Springfield"/>
    <s v="Female"/>
    <n v="55"/>
    <n v="3"/>
    <n v="25"/>
    <s v="P613"/>
    <x v="0"/>
    <x v="1"/>
    <x v="0"/>
    <s v="Puma"/>
    <n v="5"/>
    <n v="946.01"/>
    <n v="1269.75"/>
    <n v="6"/>
    <s v="Q2"/>
    <n v="2026"/>
    <x v="2"/>
    <n v="2128.5225"/>
    <n v="858.77250000000004"/>
  </r>
  <r>
    <s v="ORD00784"/>
    <d v="2025-03-26T00:00:00"/>
    <s v="C3680"/>
    <x v="783"/>
    <d v="2025-03-30T00:00:00"/>
    <x v="5"/>
    <x v="3"/>
    <s v="Furniture"/>
    <x v="7"/>
    <s v="New York"/>
    <s v="Male"/>
    <n v="24"/>
    <n v="2"/>
    <n v="0"/>
    <s v="P415"/>
    <x v="1"/>
    <x v="1"/>
    <x v="2"/>
    <s v="IKEA"/>
    <n v="4"/>
    <n v="648.78"/>
    <n v="908.94"/>
    <n v="4"/>
    <s v="Q1"/>
    <n v="2025"/>
    <x v="6"/>
    <n v="1297.56"/>
    <n v="388.61999999999989"/>
  </r>
  <r>
    <s v="ORD00785"/>
    <d v="2025-03-18T00:00:00"/>
    <s v="C5945"/>
    <x v="784"/>
    <d v="2025-03-20T00:00:00"/>
    <x v="7"/>
    <x v="4"/>
    <s v="Laptop"/>
    <x v="3"/>
    <s v="Austin"/>
    <s v="Female"/>
    <n v="41"/>
    <n v="3"/>
    <n v="25"/>
    <s v="P142"/>
    <x v="0"/>
    <x v="3"/>
    <x v="3"/>
    <s v="Dell"/>
    <n v="2"/>
    <n v="314"/>
    <n v="586.62"/>
    <n v="2"/>
    <s v="Q1"/>
    <n v="2025"/>
    <x v="6"/>
    <n v="706.5"/>
    <n v="119.88"/>
  </r>
  <r>
    <s v="ORD00786"/>
    <d v="2025-11-11T00:00:00"/>
    <s v="C1046"/>
    <x v="785"/>
    <d v="2025-11-13T00:00:00"/>
    <x v="3"/>
    <x v="3"/>
    <s v="Kitchen"/>
    <x v="12"/>
    <s v="Detroit"/>
    <s v="Male"/>
    <n v="63"/>
    <n v="5"/>
    <n v="0"/>
    <s v="P360"/>
    <x v="1"/>
    <x v="3"/>
    <x v="3"/>
    <s v="Philips"/>
    <n v="4"/>
    <n v="237.64"/>
    <n v="735.58"/>
    <n v="2"/>
    <s v="Q4"/>
    <n v="2025"/>
    <x v="10"/>
    <n v="1188.1999999999998"/>
    <n v="452.61999999999978"/>
  </r>
  <r>
    <s v="ORD00787"/>
    <d v="2025-08-14T00:00:00"/>
    <s v="C8740"/>
    <x v="786"/>
    <d v="2025-08-19T00:00:00"/>
    <x v="2"/>
    <x v="2"/>
    <s v="Fitness"/>
    <x v="13"/>
    <s v="Augusta"/>
    <s v="Male"/>
    <n v="60"/>
    <n v="1"/>
    <n v="25"/>
    <s v="P254"/>
    <x v="2"/>
    <x v="4"/>
    <x v="1"/>
    <s v="Decathlon"/>
    <n v="5"/>
    <n v="491.41"/>
    <n v="310.47000000000003"/>
    <n v="5"/>
    <s v="Q3"/>
    <n v="2025"/>
    <x v="11"/>
    <n v="368.5575"/>
    <n v="58.087499999999977"/>
  </r>
  <r>
    <s v="ORD00788"/>
    <d v="2025-01-19T00:00:00"/>
    <s v="C7118"/>
    <x v="787"/>
    <d v="2025-01-20T00:00:00"/>
    <x v="8"/>
    <x v="1"/>
    <s v="Shoes"/>
    <x v="20"/>
    <s v="Virginia Beach"/>
    <s v="Female"/>
    <n v="34"/>
    <n v="2"/>
    <n v="0"/>
    <s v="P876"/>
    <x v="1"/>
    <x v="3"/>
    <x v="3"/>
    <s v="Nike"/>
    <n v="1"/>
    <n v="920.81"/>
    <n v="1215.23"/>
    <n v="1"/>
    <s v="Q1"/>
    <n v="2025"/>
    <x v="0"/>
    <n v="1841.62"/>
    <n v="626.38999999999987"/>
  </r>
  <r>
    <s v="ORD00789"/>
    <d v="2026-03-03T00:00:00"/>
    <s v="C1736"/>
    <x v="788"/>
    <d v="2026-03-06T00:00:00"/>
    <x v="9"/>
    <x v="0"/>
    <s v="Skincare"/>
    <x v="22"/>
    <s v="Naperville"/>
    <s v="Female"/>
    <n v="55"/>
    <n v="3"/>
    <n v="0"/>
    <s v="P632"/>
    <x v="0"/>
    <x v="1"/>
    <x v="0"/>
    <s v="Nivea"/>
    <n v="5"/>
    <n v="490.78"/>
    <n v="879.96"/>
    <n v="3"/>
    <s v="Q1"/>
    <n v="2026"/>
    <x v="6"/>
    <n v="1472.34"/>
    <n v="592.37999999999988"/>
  </r>
  <r>
    <s v="ORD00790"/>
    <d v="2025-05-09T00:00:00"/>
    <s v="C9487"/>
    <x v="789"/>
    <d v="2025-05-16T00:00:00"/>
    <x v="2"/>
    <x v="2"/>
    <s v="Fitness"/>
    <x v="20"/>
    <s v="Virginia Beach"/>
    <s v="Female"/>
    <n v="56"/>
    <n v="5"/>
    <n v="0"/>
    <s v="P879"/>
    <x v="1"/>
    <x v="3"/>
    <x v="1"/>
    <s v="Decathlon"/>
    <n v="3"/>
    <n v="978.52"/>
    <n v="3725.16"/>
    <n v="7"/>
    <s v="Q2"/>
    <n v="2025"/>
    <x v="9"/>
    <n v="4892.6000000000004"/>
    <n v="1167.4400000000005"/>
  </r>
  <r>
    <s v="ORD00791"/>
    <d v="2025-02-07T00:00:00"/>
    <s v="C7988"/>
    <x v="790"/>
    <d v="2025-02-08T00:00:00"/>
    <x v="9"/>
    <x v="0"/>
    <s v="Skincare"/>
    <x v="23"/>
    <s v="Minneapolis"/>
    <s v="Female"/>
    <n v="30"/>
    <n v="4"/>
    <n v="20"/>
    <s v="P399"/>
    <x v="2"/>
    <x v="2"/>
    <x v="2"/>
    <s v="Nivea"/>
    <n v="2"/>
    <n v="28.03"/>
    <n v="52.94"/>
    <n v="1"/>
    <s v="Q1"/>
    <n v="2025"/>
    <x v="5"/>
    <n v="89.696000000000012"/>
    <n v="36.756000000000014"/>
  </r>
  <r>
    <s v="ORD00792"/>
    <d v="2024-11-22T00:00:00"/>
    <s v="C5417"/>
    <x v="791"/>
    <d v="2024-11-23T00:00:00"/>
    <x v="6"/>
    <x v="5"/>
    <s v="Snacks"/>
    <x v="24"/>
    <s v="Portland"/>
    <s v="Female"/>
    <n v="37"/>
    <n v="2"/>
    <n v="30"/>
    <s v="P818"/>
    <x v="0"/>
    <x v="4"/>
    <x v="1"/>
    <s v="Britannia"/>
    <n v="5"/>
    <n v="564.74"/>
    <n v="491.73"/>
    <n v="1"/>
    <s v="Q4"/>
    <n v="2024"/>
    <x v="10"/>
    <n v="790.63599999999997"/>
    <n v="298.90599999999995"/>
  </r>
  <r>
    <s v="ORD00793"/>
    <d v="2026-01-28T00:00:00"/>
    <s v="C5520"/>
    <x v="792"/>
    <d v="2026-01-30T00:00:00"/>
    <x v="2"/>
    <x v="2"/>
    <s v="Fitness"/>
    <x v="1"/>
    <s v="Los Angeles"/>
    <s v="Female"/>
    <n v="29"/>
    <n v="3"/>
    <n v="5"/>
    <s v="P166"/>
    <x v="0"/>
    <x v="0"/>
    <x v="2"/>
    <s v="Decathlon"/>
    <n v="3"/>
    <n v="141.54"/>
    <n v="217.38"/>
    <n v="2"/>
    <s v="Q1"/>
    <n v="2026"/>
    <x v="0"/>
    <n v="403.38900000000001"/>
    <n v="186.00900000000001"/>
  </r>
  <r>
    <s v="ORD00794"/>
    <d v="2025-12-23T00:00:00"/>
    <s v="C4218"/>
    <x v="793"/>
    <d v="2025-12-29T00:00:00"/>
    <x v="1"/>
    <x v="1"/>
    <s v="Shirt"/>
    <x v="3"/>
    <s v="San Antonio"/>
    <s v="Female"/>
    <n v="55"/>
    <n v="5"/>
    <n v="0"/>
    <s v="P119"/>
    <x v="0"/>
    <x v="3"/>
    <x v="1"/>
    <s v="Puma"/>
    <n v="2"/>
    <n v="540.08000000000004"/>
    <n v="1568.68"/>
    <n v="6"/>
    <s v="Q4"/>
    <n v="2025"/>
    <x v="7"/>
    <n v="2700.4"/>
    <n v="1131.72"/>
  </r>
  <r>
    <s v="ORD00795"/>
    <d v="2024-12-20T00:00:00"/>
    <s v="C3938"/>
    <x v="794"/>
    <d v="2024-12-21T00:00:00"/>
    <x v="9"/>
    <x v="0"/>
    <s v="Skincare"/>
    <x v="2"/>
    <s v="Cleveland"/>
    <s v="Female"/>
    <n v="39"/>
    <n v="3"/>
    <n v="25"/>
    <s v="P944"/>
    <x v="1"/>
    <x v="0"/>
    <x v="3"/>
    <s v="Nivea"/>
    <n v="2"/>
    <n v="641.91999999999996"/>
    <n v="1139.46"/>
    <n v="1"/>
    <s v="Q4"/>
    <n v="2024"/>
    <x v="7"/>
    <n v="1444.3199999999997"/>
    <n v="304.85999999999967"/>
  </r>
  <r>
    <s v="ORD00796"/>
    <d v="2024-08-30T00:00:00"/>
    <s v="C1654"/>
    <x v="795"/>
    <d v="2024-08-31T00:00:00"/>
    <x v="2"/>
    <x v="2"/>
    <s v="Fitness"/>
    <x v="11"/>
    <s v="Jersey City"/>
    <s v="Female"/>
    <n v="35"/>
    <n v="4"/>
    <n v="20"/>
    <s v="P624"/>
    <x v="0"/>
    <x v="2"/>
    <x v="3"/>
    <s v="Decathlon"/>
    <n v="5"/>
    <n v="304.68"/>
    <n v="711.82"/>
    <n v="1"/>
    <s v="Q3"/>
    <n v="2024"/>
    <x v="11"/>
    <n v="974.97600000000011"/>
    <n v="263.15600000000006"/>
  </r>
  <r>
    <s v="ORD00797"/>
    <d v="2025-01-29T00:00:00"/>
    <s v="C4847"/>
    <x v="796"/>
    <d v="2025-01-30T00:00:00"/>
    <x v="5"/>
    <x v="3"/>
    <s v="Furniture"/>
    <x v="19"/>
    <s v="Frederick"/>
    <s v="Male"/>
    <n v="19"/>
    <n v="3"/>
    <n v="15"/>
    <s v="P119"/>
    <x v="0"/>
    <x v="0"/>
    <x v="2"/>
    <s v="IKEA"/>
    <n v="4"/>
    <n v="364.24"/>
    <n v="634.04999999999995"/>
    <n v="1"/>
    <s v="Q1"/>
    <n v="2025"/>
    <x v="0"/>
    <n v="928.81200000000001"/>
    <n v="294.76200000000006"/>
  </r>
  <r>
    <s v="ORD00798"/>
    <d v="2026-05-23T00:00:00"/>
    <s v="C3210"/>
    <x v="797"/>
    <d v="2026-05-27T00:00:00"/>
    <x v="9"/>
    <x v="0"/>
    <s v="Skincare"/>
    <x v="7"/>
    <s v="New York"/>
    <s v="Female"/>
    <n v="32"/>
    <n v="1"/>
    <n v="25"/>
    <s v="P792"/>
    <x v="2"/>
    <x v="4"/>
    <x v="0"/>
    <s v="Nivea"/>
    <n v="1"/>
    <n v="349.01"/>
    <n v="132.62"/>
    <n v="4"/>
    <s v="Q2"/>
    <n v="2026"/>
    <x v="9"/>
    <n v="261.75749999999999"/>
    <n v="129.13749999999999"/>
  </r>
  <r>
    <s v="ORD00799"/>
    <d v="2026-01-12T00:00:00"/>
    <s v="C8027"/>
    <x v="798"/>
    <d v="2026-01-18T00:00:00"/>
    <x v="2"/>
    <x v="2"/>
    <s v="Fitness"/>
    <x v="18"/>
    <s v="Knoxville"/>
    <s v="Male"/>
    <n v="25"/>
    <n v="1"/>
    <n v="30"/>
    <s v="P855"/>
    <x v="1"/>
    <x v="0"/>
    <x v="0"/>
    <s v="Decathlon"/>
    <n v="3"/>
    <n v="276.8"/>
    <n v="120.44"/>
    <n v="6"/>
    <s v="Q1"/>
    <n v="2026"/>
    <x v="0"/>
    <n v="193.76"/>
    <n v="73.319999999999993"/>
  </r>
  <r>
    <s v="ORD00800"/>
    <d v="2025-12-11T00:00:00"/>
    <s v="C3963"/>
    <x v="799"/>
    <d v="2025-12-14T00:00:00"/>
    <x v="5"/>
    <x v="3"/>
    <s v="Furniture"/>
    <x v="1"/>
    <s v="Sacramento"/>
    <s v="Male"/>
    <n v="53"/>
    <n v="2"/>
    <n v="25"/>
    <s v="P454"/>
    <x v="1"/>
    <x v="0"/>
    <x v="1"/>
    <s v="IKEA"/>
    <n v="5"/>
    <n v="845.23"/>
    <n v="881.94"/>
    <n v="3"/>
    <s v="Q4"/>
    <n v="2025"/>
    <x v="7"/>
    <n v="1267.845"/>
    <n v="385.90499999999997"/>
  </r>
  <r>
    <s v="ORD00801"/>
    <d v="2024-06-10T00:00:00"/>
    <s v="C4462"/>
    <x v="800"/>
    <d v="2024-06-11T00:00:00"/>
    <x v="2"/>
    <x v="2"/>
    <s v="Fitness"/>
    <x v="5"/>
    <s v="Fort Wayne"/>
    <s v="Male"/>
    <n v="21"/>
    <n v="1"/>
    <n v="30"/>
    <s v="P243"/>
    <x v="0"/>
    <x v="0"/>
    <x v="3"/>
    <s v="Decathlon"/>
    <n v="5"/>
    <n v="642.27"/>
    <n v="278.87"/>
    <n v="1"/>
    <s v="Q2"/>
    <n v="2024"/>
    <x v="2"/>
    <n v="449.58899999999994"/>
    <n v="170.71899999999994"/>
  </r>
  <r>
    <s v="ORD00802"/>
    <d v="2026-03-14T00:00:00"/>
    <s v="C3187"/>
    <x v="801"/>
    <d v="2026-03-19T00:00:00"/>
    <x v="6"/>
    <x v="5"/>
    <s v="Snacks"/>
    <x v="13"/>
    <s v="Atlanta"/>
    <s v="Male"/>
    <n v="42"/>
    <n v="1"/>
    <n v="20"/>
    <s v="P195"/>
    <x v="2"/>
    <x v="0"/>
    <x v="2"/>
    <s v="Britannia"/>
    <n v="2"/>
    <n v="782.93"/>
    <n v="498.34"/>
    <n v="5"/>
    <s v="Q1"/>
    <n v="2026"/>
    <x v="6"/>
    <n v="626.34400000000005"/>
    <n v="128.00400000000008"/>
  </r>
  <r>
    <s v="ORD00803"/>
    <d v="2025-08-24T00:00:00"/>
    <s v="C6141"/>
    <x v="802"/>
    <d v="2025-08-27T00:00:00"/>
    <x v="2"/>
    <x v="2"/>
    <s v="Fitness"/>
    <x v="9"/>
    <s v="Birmingham"/>
    <s v="Male"/>
    <n v="51"/>
    <n v="1"/>
    <n v="10"/>
    <s v="P669"/>
    <x v="2"/>
    <x v="0"/>
    <x v="1"/>
    <s v="Decathlon"/>
    <n v="5"/>
    <n v="279.91000000000003"/>
    <n v="177.61"/>
    <n v="3"/>
    <s v="Q3"/>
    <n v="2025"/>
    <x v="11"/>
    <n v="251.91900000000004"/>
    <n v="74.309000000000026"/>
  </r>
  <r>
    <s v="ORD00804"/>
    <d v="2026-01-22T00:00:00"/>
    <s v="C1259"/>
    <x v="803"/>
    <d v="2026-01-23T00:00:00"/>
    <x v="1"/>
    <x v="1"/>
    <s v="Shirt"/>
    <x v="21"/>
    <s v="Greenville"/>
    <s v="Female"/>
    <n v="55"/>
    <n v="5"/>
    <n v="20"/>
    <s v="P176"/>
    <x v="0"/>
    <x v="0"/>
    <x v="3"/>
    <s v="Puma"/>
    <n v="1"/>
    <n v="63.74"/>
    <n v="156.87"/>
    <n v="1"/>
    <s v="Q1"/>
    <n v="2026"/>
    <x v="0"/>
    <n v="254.96"/>
    <n v="98.09"/>
  </r>
  <r>
    <s v="ORD00805"/>
    <d v="2024-03-20T00:00:00"/>
    <s v="C9436"/>
    <x v="804"/>
    <d v="2024-03-22T00:00:00"/>
    <x v="1"/>
    <x v="1"/>
    <s v="Shirt"/>
    <x v="4"/>
    <s v="Tucson"/>
    <s v="Male"/>
    <n v="27"/>
    <n v="1"/>
    <n v="10"/>
    <s v="P818"/>
    <x v="2"/>
    <x v="4"/>
    <x v="3"/>
    <s v="Puma"/>
    <n v="3"/>
    <n v="962.54"/>
    <n v="520.92999999999995"/>
    <n v="2"/>
    <s v="Q1"/>
    <n v="2024"/>
    <x v="6"/>
    <n v="866.28599999999994"/>
    <n v="345.35599999999999"/>
  </r>
  <r>
    <s v="ORD00806"/>
    <d v="2024-07-01T00:00:00"/>
    <s v="C1126"/>
    <x v="805"/>
    <d v="2024-07-06T00:00:00"/>
    <x v="3"/>
    <x v="3"/>
    <s v="Kitchen"/>
    <x v="11"/>
    <s v="Jersey City"/>
    <s v="Male"/>
    <n v="36"/>
    <n v="4"/>
    <n v="25"/>
    <s v="P873"/>
    <x v="2"/>
    <x v="4"/>
    <x v="0"/>
    <s v="Philips"/>
    <n v="4"/>
    <n v="815.52"/>
    <n v="1926.55"/>
    <n v="5"/>
    <s v="Q3"/>
    <n v="2024"/>
    <x v="4"/>
    <n v="2446.56"/>
    <n v="520.01"/>
  </r>
  <r>
    <s v="ORD00807"/>
    <d v="2024-01-05T00:00:00"/>
    <s v="C6942"/>
    <x v="806"/>
    <d v="2024-01-06T00:00:00"/>
    <x v="9"/>
    <x v="0"/>
    <s v="Skincare"/>
    <x v="11"/>
    <s v="Trenton"/>
    <s v="Female"/>
    <n v="49"/>
    <n v="3"/>
    <n v="20"/>
    <s v="P183"/>
    <x v="1"/>
    <x v="2"/>
    <x v="2"/>
    <s v="Nivea"/>
    <n v="2"/>
    <n v="185.9"/>
    <n v="243.33"/>
    <n v="1"/>
    <s v="Q1"/>
    <n v="2024"/>
    <x v="0"/>
    <n v="446.16000000000008"/>
    <n v="202.83000000000007"/>
  </r>
  <r>
    <s v="ORD00808"/>
    <d v="2026-03-02T00:00:00"/>
    <s v="C2842"/>
    <x v="807"/>
    <d v="2026-03-07T00:00:00"/>
    <x v="7"/>
    <x v="4"/>
    <s v="Laptop"/>
    <x v="1"/>
    <s v="Los Angeles"/>
    <s v="Male"/>
    <n v="39"/>
    <n v="5"/>
    <n v="5"/>
    <s v="P682"/>
    <x v="2"/>
    <x v="3"/>
    <x v="0"/>
    <s v="Dell"/>
    <n v="4"/>
    <n v="355.27"/>
    <n v="1246.6400000000001"/>
    <n v="5"/>
    <s v="Q1"/>
    <n v="2026"/>
    <x v="6"/>
    <n v="1687.5324999999998"/>
    <n v="440.8924999999997"/>
  </r>
  <r>
    <s v="ORD00809"/>
    <d v="2025-07-30T00:00:00"/>
    <s v="C6946"/>
    <x v="808"/>
    <d v="2025-07-31T00:00:00"/>
    <x v="2"/>
    <x v="2"/>
    <s v="Fitness"/>
    <x v="22"/>
    <s v="Naperville"/>
    <s v="Female"/>
    <n v="31"/>
    <n v="3"/>
    <n v="5"/>
    <s v="P142"/>
    <x v="1"/>
    <x v="0"/>
    <x v="2"/>
    <s v="Decathlon"/>
    <n v="3"/>
    <n v="852.7"/>
    <n v="1944.86"/>
    <n v="1"/>
    <s v="Q3"/>
    <n v="2025"/>
    <x v="4"/>
    <n v="2430.1950000000002"/>
    <n v="485.33500000000026"/>
  </r>
  <r>
    <s v="ORD00810"/>
    <d v="2026-04-03T00:00:00"/>
    <s v="C6767"/>
    <x v="809"/>
    <d v="2026-04-04T00:00:00"/>
    <x v="2"/>
    <x v="2"/>
    <s v="Fitness"/>
    <x v="12"/>
    <s v="Grand Rapids"/>
    <s v="Male"/>
    <n v="32"/>
    <n v="3"/>
    <n v="25"/>
    <s v="P936"/>
    <x v="0"/>
    <x v="1"/>
    <x v="0"/>
    <s v="Decathlon"/>
    <n v="1"/>
    <n v="555.61"/>
    <n v="660.9"/>
    <n v="1"/>
    <s v="Q2"/>
    <n v="2026"/>
    <x v="3"/>
    <n v="1250.1224999999999"/>
    <n v="589.22249999999997"/>
  </r>
  <r>
    <s v="ORD00811"/>
    <d v="2024-10-07T00:00:00"/>
    <s v="C5139"/>
    <x v="810"/>
    <d v="2024-10-14T00:00:00"/>
    <x v="3"/>
    <x v="3"/>
    <s v="Kitchen"/>
    <x v="8"/>
    <s v="Orlando"/>
    <s v="Female"/>
    <n v="21"/>
    <n v="1"/>
    <n v="20"/>
    <s v="P127"/>
    <x v="2"/>
    <x v="3"/>
    <x v="0"/>
    <s v="Philips"/>
    <n v="4"/>
    <n v="257.57"/>
    <n v="153.18"/>
    <n v="7"/>
    <s v="Q4"/>
    <n v="2024"/>
    <x v="8"/>
    <n v="206.05600000000001"/>
    <n v="52.876000000000005"/>
  </r>
  <r>
    <s v="ORD00812"/>
    <d v="2025-07-23T00:00:00"/>
    <s v="C9335"/>
    <x v="811"/>
    <d v="2025-07-27T00:00:00"/>
    <x v="6"/>
    <x v="5"/>
    <s v="Snacks"/>
    <x v="8"/>
    <s v="Orlando"/>
    <s v="Male"/>
    <n v="40"/>
    <n v="4"/>
    <n v="25"/>
    <s v="P335"/>
    <x v="2"/>
    <x v="4"/>
    <x v="1"/>
    <s v="Britannia"/>
    <n v="3"/>
    <n v="704.57"/>
    <n v="1157.0899999999999"/>
    <n v="4"/>
    <s v="Q3"/>
    <n v="2025"/>
    <x v="4"/>
    <n v="2113.71"/>
    <n v="956.62000000000012"/>
  </r>
  <r>
    <s v="ORD00813"/>
    <d v="2026-04-12T00:00:00"/>
    <s v="C2795"/>
    <x v="812"/>
    <d v="2026-04-17T00:00:00"/>
    <x v="1"/>
    <x v="1"/>
    <s v="Shirt"/>
    <x v="2"/>
    <s v="Cincinnati"/>
    <s v="Female"/>
    <n v="24"/>
    <n v="5"/>
    <n v="0"/>
    <s v="P597"/>
    <x v="0"/>
    <x v="3"/>
    <x v="3"/>
    <s v="Puma"/>
    <n v="5"/>
    <n v="973.07"/>
    <n v="2724.53"/>
    <n v="5"/>
    <s v="Q2"/>
    <n v="2026"/>
    <x v="3"/>
    <n v="4865.3500000000004"/>
    <n v="2140.8200000000002"/>
  </r>
  <r>
    <s v="ORD00814"/>
    <d v="2025-07-01T00:00:00"/>
    <s v="C5038"/>
    <x v="813"/>
    <d v="2025-07-04T00:00:00"/>
    <x v="2"/>
    <x v="2"/>
    <s v="Fitness"/>
    <x v="24"/>
    <s v="Eugene"/>
    <s v="Female"/>
    <n v="21"/>
    <n v="3"/>
    <n v="25"/>
    <s v="P581"/>
    <x v="0"/>
    <x v="3"/>
    <x v="1"/>
    <s v="Decathlon"/>
    <n v="2"/>
    <n v="204.31"/>
    <n v="242.68"/>
    <n v="3"/>
    <s v="Q3"/>
    <n v="2025"/>
    <x v="4"/>
    <n v="459.69750000000005"/>
    <n v="217.01750000000004"/>
  </r>
  <r>
    <s v="ORD00815"/>
    <d v="2025-11-27T00:00:00"/>
    <s v="C9615"/>
    <x v="814"/>
    <d v="2025-12-04T00:00:00"/>
    <x v="9"/>
    <x v="0"/>
    <s v="Skincare"/>
    <x v="0"/>
    <s v="Worcester"/>
    <s v="Female"/>
    <n v="21"/>
    <n v="2"/>
    <n v="5"/>
    <s v="P433"/>
    <x v="0"/>
    <x v="1"/>
    <x v="2"/>
    <s v="Nivea"/>
    <n v="2"/>
    <n v="980.59"/>
    <n v="1042.8599999999999"/>
    <n v="7"/>
    <s v="Q4"/>
    <n v="2025"/>
    <x v="10"/>
    <n v="1863.1209999999999"/>
    <n v="820.26099999999997"/>
  </r>
  <r>
    <s v="ORD00816"/>
    <d v="2025-05-04T00:00:00"/>
    <s v="C6799"/>
    <x v="815"/>
    <d v="2025-05-05T00:00:00"/>
    <x v="9"/>
    <x v="0"/>
    <s v="Skincare"/>
    <x v="12"/>
    <s v="Lansing"/>
    <s v="Female"/>
    <n v="25"/>
    <n v="4"/>
    <n v="10"/>
    <s v="P179"/>
    <x v="2"/>
    <x v="0"/>
    <x v="3"/>
    <s v="Nivea"/>
    <n v="2"/>
    <n v="620.63"/>
    <n v="1710.12"/>
    <n v="1"/>
    <s v="Q2"/>
    <n v="2025"/>
    <x v="9"/>
    <n v="2234.268"/>
    <n v="524.14800000000014"/>
  </r>
  <r>
    <s v="ORD00817"/>
    <d v="2025-09-07T00:00:00"/>
    <s v="C4485"/>
    <x v="816"/>
    <d v="2025-09-10T00:00:00"/>
    <x v="6"/>
    <x v="5"/>
    <s v="Snacks"/>
    <x v="0"/>
    <s v="Worcester"/>
    <s v="Female"/>
    <n v="45"/>
    <n v="4"/>
    <n v="5"/>
    <s v="P876"/>
    <x v="0"/>
    <x v="0"/>
    <x v="1"/>
    <s v="Britannia"/>
    <n v="1"/>
    <n v="560.63"/>
    <n v="1491.85"/>
    <n v="3"/>
    <s v="Q3"/>
    <n v="2025"/>
    <x v="1"/>
    <n v="2130.3939999999998"/>
    <n v="638.54399999999987"/>
  </r>
  <r>
    <s v="ORD00818"/>
    <d v="2025-11-01T00:00:00"/>
    <s v="C9492"/>
    <x v="817"/>
    <d v="2025-11-08T00:00:00"/>
    <x v="8"/>
    <x v="1"/>
    <s v="Shoes"/>
    <x v="3"/>
    <s v="Dallas"/>
    <s v="Male"/>
    <n v="57"/>
    <n v="5"/>
    <n v="0"/>
    <s v="P175"/>
    <x v="0"/>
    <x v="3"/>
    <x v="2"/>
    <s v="Nike"/>
    <n v="2"/>
    <n v="220.23"/>
    <n v="660.56"/>
    <n v="7"/>
    <s v="Q4"/>
    <n v="2025"/>
    <x v="10"/>
    <n v="1101.1499999999999"/>
    <n v="440.58999999999992"/>
  </r>
  <r>
    <s v="ORD00819"/>
    <d v="2024-08-24T00:00:00"/>
    <s v="C9576"/>
    <x v="818"/>
    <d v="2024-08-27T00:00:00"/>
    <x v="9"/>
    <x v="0"/>
    <s v="Skincare"/>
    <x v="7"/>
    <s v="Buffalo"/>
    <s v="Male"/>
    <n v="64"/>
    <n v="5"/>
    <n v="5"/>
    <s v="P598"/>
    <x v="2"/>
    <x v="0"/>
    <x v="0"/>
    <s v="Nivea"/>
    <n v="3"/>
    <n v="704.21"/>
    <n v="2405.4699999999998"/>
    <n v="3"/>
    <s v="Q3"/>
    <n v="2024"/>
    <x v="11"/>
    <n v="3344.9974999999999"/>
    <n v="939.52750000000015"/>
  </r>
  <r>
    <s v="ORD00820"/>
    <d v="2024-05-01T00:00:00"/>
    <s v="C7085"/>
    <x v="819"/>
    <d v="2024-05-07T00:00:00"/>
    <x v="7"/>
    <x v="4"/>
    <s v="Laptop"/>
    <x v="1"/>
    <s v="San Diego"/>
    <s v="Female"/>
    <n v="31"/>
    <n v="3"/>
    <n v="20"/>
    <s v="P680"/>
    <x v="1"/>
    <x v="3"/>
    <x v="1"/>
    <s v="Dell"/>
    <n v="3"/>
    <n v="500.85"/>
    <n v="795.69"/>
    <n v="6"/>
    <s v="Q2"/>
    <n v="2024"/>
    <x v="9"/>
    <n v="1202.0400000000002"/>
    <n v="406.35000000000014"/>
  </r>
  <r>
    <s v="ORD00821"/>
    <d v="2024-04-23T00:00:00"/>
    <s v="C8607"/>
    <x v="820"/>
    <d v="2024-04-25T00:00:00"/>
    <x v="4"/>
    <x v="4"/>
    <s v="Mobile"/>
    <x v="14"/>
    <s v="St. Louis"/>
    <s v="Male"/>
    <n v="38"/>
    <n v="5"/>
    <n v="10"/>
    <s v="P178"/>
    <x v="1"/>
    <x v="4"/>
    <x v="1"/>
    <s v="Samsung"/>
    <n v="5"/>
    <n v="751.5"/>
    <n v="2151.2600000000002"/>
    <n v="2"/>
    <s v="Q2"/>
    <n v="2024"/>
    <x v="3"/>
    <n v="3381.75"/>
    <n v="1230.4899999999998"/>
  </r>
  <r>
    <s v="ORD00822"/>
    <d v="2026-06-15T00:00:00"/>
    <s v="C9110"/>
    <x v="821"/>
    <d v="2026-06-18T00:00:00"/>
    <x v="4"/>
    <x v="4"/>
    <s v="Mobile"/>
    <x v="23"/>
    <s v="Rochester"/>
    <s v="Male"/>
    <n v="56"/>
    <n v="2"/>
    <n v="30"/>
    <s v="P300"/>
    <x v="2"/>
    <x v="4"/>
    <x v="2"/>
    <s v="Samsung"/>
    <n v="5"/>
    <n v="441.65"/>
    <n v="398.58"/>
    <n v="3"/>
    <s v="Q2"/>
    <n v="2026"/>
    <x v="2"/>
    <n v="618.30999999999995"/>
    <n v="219.72999999999996"/>
  </r>
  <r>
    <s v="ORD00823"/>
    <d v="2025-05-13T00:00:00"/>
    <s v="C5834"/>
    <x v="822"/>
    <d v="2025-05-18T00:00:00"/>
    <x v="2"/>
    <x v="2"/>
    <s v="Fitness"/>
    <x v="14"/>
    <s v="Kansas City"/>
    <s v="Male"/>
    <n v="56"/>
    <n v="4"/>
    <n v="0"/>
    <s v="P303"/>
    <x v="0"/>
    <x v="3"/>
    <x v="1"/>
    <s v="Decathlon"/>
    <n v="4"/>
    <n v="984.22"/>
    <n v="2004.19"/>
    <n v="5"/>
    <s v="Q2"/>
    <n v="2025"/>
    <x v="9"/>
    <n v="3936.88"/>
    <n v="1932.69"/>
  </r>
  <r>
    <s v="ORD00824"/>
    <d v="2024-01-04T00:00:00"/>
    <s v="C6108"/>
    <x v="823"/>
    <d v="2024-01-06T00:00:00"/>
    <x v="6"/>
    <x v="5"/>
    <s v="Snacks"/>
    <x v="9"/>
    <s v="Montgomery"/>
    <s v="Female"/>
    <n v="18"/>
    <n v="5"/>
    <n v="25"/>
    <s v="P800"/>
    <x v="0"/>
    <x v="2"/>
    <x v="3"/>
    <s v="Britannia"/>
    <n v="1"/>
    <n v="749.03"/>
    <n v="2308.09"/>
    <n v="2"/>
    <s v="Q1"/>
    <n v="2024"/>
    <x v="0"/>
    <n v="2808.8624999999997"/>
    <n v="500.77249999999958"/>
  </r>
  <r>
    <s v="ORD00825"/>
    <d v="2026-03-08T00:00:00"/>
    <s v="C5174"/>
    <x v="824"/>
    <d v="2026-03-12T00:00:00"/>
    <x v="1"/>
    <x v="1"/>
    <s v="Shirt"/>
    <x v="22"/>
    <s v="Naperville"/>
    <s v="Male"/>
    <n v="33"/>
    <n v="5"/>
    <n v="5"/>
    <s v="P867"/>
    <x v="2"/>
    <x v="3"/>
    <x v="2"/>
    <s v="Puma"/>
    <n v="1"/>
    <n v="601.1"/>
    <n v="1949.41"/>
    <n v="4"/>
    <s v="Q1"/>
    <n v="2026"/>
    <x v="6"/>
    <n v="2855.2249999999999"/>
    <n v="905.81499999999983"/>
  </r>
  <r>
    <s v="ORD00826"/>
    <d v="2024-09-30T00:00:00"/>
    <s v="C2019"/>
    <x v="825"/>
    <d v="2024-10-01T00:00:00"/>
    <x v="5"/>
    <x v="3"/>
    <s v="Furniture"/>
    <x v="6"/>
    <s v="Greensboro"/>
    <s v="Female"/>
    <n v="56"/>
    <n v="3"/>
    <n v="5"/>
    <s v="P983"/>
    <x v="1"/>
    <x v="0"/>
    <x v="2"/>
    <s v="IKEA"/>
    <n v="1"/>
    <n v="397.06"/>
    <n v="878.77"/>
    <n v="1"/>
    <s v="Q3"/>
    <n v="2024"/>
    <x v="1"/>
    <n v="1131.6210000000001"/>
    <n v="252.85100000000011"/>
  </r>
  <r>
    <s v="ORD00827"/>
    <d v="2024-10-31T00:00:00"/>
    <s v="C2661"/>
    <x v="826"/>
    <d v="2024-11-01T00:00:00"/>
    <x v="7"/>
    <x v="4"/>
    <s v="Laptop"/>
    <x v="6"/>
    <s v="Raleigh"/>
    <s v="Male"/>
    <n v="51"/>
    <n v="5"/>
    <n v="0"/>
    <s v="P318"/>
    <x v="1"/>
    <x v="3"/>
    <x v="1"/>
    <s v="Dell"/>
    <n v="1"/>
    <n v="126.68"/>
    <n v="362.03"/>
    <n v="1"/>
    <s v="Q4"/>
    <n v="2024"/>
    <x v="8"/>
    <n v="633.40000000000009"/>
    <n v="271.37000000000012"/>
  </r>
  <r>
    <s v="ORD00828"/>
    <d v="2025-07-30T00:00:00"/>
    <s v="C7367"/>
    <x v="827"/>
    <d v="2025-08-03T00:00:00"/>
    <x v="2"/>
    <x v="2"/>
    <s v="Fitness"/>
    <x v="12"/>
    <s v="Grand Rapids"/>
    <s v="Male"/>
    <n v="25"/>
    <n v="5"/>
    <n v="15"/>
    <s v="P679"/>
    <x v="1"/>
    <x v="1"/>
    <x v="3"/>
    <s v="Decathlon"/>
    <n v="4"/>
    <n v="655.23"/>
    <n v="1657.49"/>
    <n v="4"/>
    <s v="Q3"/>
    <n v="2025"/>
    <x v="4"/>
    <n v="2784.7275"/>
    <n v="1127.2375"/>
  </r>
  <r>
    <s v="ORD00829"/>
    <d v="2024-08-04T00:00:00"/>
    <s v="C4765"/>
    <x v="828"/>
    <d v="2024-08-05T00:00:00"/>
    <x v="8"/>
    <x v="1"/>
    <s v="Shoes"/>
    <x v="3"/>
    <s v="San Antonio"/>
    <s v="Male"/>
    <n v="26"/>
    <n v="3"/>
    <n v="20"/>
    <s v="P237"/>
    <x v="0"/>
    <x v="3"/>
    <x v="1"/>
    <s v="Nike"/>
    <n v="4"/>
    <n v="725.16"/>
    <n v="1311.93"/>
    <n v="1"/>
    <s v="Q3"/>
    <n v="2024"/>
    <x v="11"/>
    <n v="1740.384"/>
    <n v="428.45399999999995"/>
  </r>
  <r>
    <s v="ORD00830"/>
    <d v="2024-07-13T00:00:00"/>
    <s v="C5977"/>
    <x v="829"/>
    <d v="2024-07-17T00:00:00"/>
    <x v="9"/>
    <x v="0"/>
    <s v="Skincare"/>
    <x v="1"/>
    <s v="San Francisco"/>
    <s v="Female"/>
    <n v="62"/>
    <n v="3"/>
    <n v="5"/>
    <s v="P514"/>
    <x v="2"/>
    <x v="3"/>
    <x v="2"/>
    <s v="Nivea"/>
    <n v="3"/>
    <n v="740.68"/>
    <n v="1404.19"/>
    <n v="4"/>
    <s v="Q3"/>
    <n v="2024"/>
    <x v="4"/>
    <n v="2110.9379999999996"/>
    <n v="706.74799999999959"/>
  </r>
  <r>
    <s v="ORD00831"/>
    <d v="2025-06-07T00:00:00"/>
    <s v="C7968"/>
    <x v="830"/>
    <d v="2025-06-09T00:00:00"/>
    <x v="2"/>
    <x v="2"/>
    <s v="Fitness"/>
    <x v="1"/>
    <s v="San Francisco"/>
    <s v="Female"/>
    <n v="28"/>
    <n v="3"/>
    <n v="15"/>
    <s v="P240"/>
    <x v="1"/>
    <x v="4"/>
    <x v="3"/>
    <s v="Decathlon"/>
    <n v="2"/>
    <n v="712.14"/>
    <n v="1172.94"/>
    <n v="2"/>
    <s v="Q2"/>
    <n v="2025"/>
    <x v="2"/>
    <n v="1815.9570000000001"/>
    <n v="643.01700000000005"/>
  </r>
  <r>
    <s v="ORD00832"/>
    <d v="2025-03-30T00:00:00"/>
    <s v="C8290"/>
    <x v="831"/>
    <d v="2025-04-02T00:00:00"/>
    <x v="4"/>
    <x v="4"/>
    <s v="Mobile"/>
    <x v="10"/>
    <s v="Green Bay"/>
    <s v="Female"/>
    <n v="38"/>
    <n v="3"/>
    <n v="0"/>
    <s v="P782"/>
    <x v="2"/>
    <x v="2"/>
    <x v="3"/>
    <s v="Samsung"/>
    <n v="3"/>
    <n v="393.08"/>
    <n v="812.99"/>
    <n v="3"/>
    <s v="Q1"/>
    <n v="2025"/>
    <x v="6"/>
    <n v="1179.24"/>
    <n v="366.25"/>
  </r>
  <r>
    <s v="ORD00833"/>
    <d v="2025-02-08T00:00:00"/>
    <s v="C5626"/>
    <x v="832"/>
    <d v="2025-02-11T00:00:00"/>
    <x v="1"/>
    <x v="1"/>
    <s v="Shirt"/>
    <x v="3"/>
    <s v="San Antonio"/>
    <s v="Male"/>
    <n v="24"/>
    <n v="3"/>
    <n v="30"/>
    <s v="P251"/>
    <x v="0"/>
    <x v="1"/>
    <x v="0"/>
    <s v="Puma"/>
    <n v="4"/>
    <n v="960.6"/>
    <n v="1193.2"/>
    <n v="3"/>
    <s v="Q1"/>
    <n v="2025"/>
    <x v="5"/>
    <n v="2017.26"/>
    <n v="824.06"/>
  </r>
  <r>
    <s v="ORD00834"/>
    <d v="2024-07-22T00:00:00"/>
    <s v="C4722"/>
    <x v="833"/>
    <d v="2024-07-23T00:00:00"/>
    <x v="8"/>
    <x v="1"/>
    <s v="Shoes"/>
    <x v="8"/>
    <s v="Miami"/>
    <s v="Male"/>
    <n v="55"/>
    <n v="5"/>
    <n v="15"/>
    <s v="P104"/>
    <x v="1"/>
    <x v="1"/>
    <x v="2"/>
    <s v="Nike"/>
    <n v="5"/>
    <n v="788.42"/>
    <n v="2814.03"/>
    <n v="1"/>
    <s v="Q3"/>
    <n v="2024"/>
    <x v="4"/>
    <n v="3350.7849999999999"/>
    <n v="536.75499999999965"/>
  </r>
  <r>
    <s v="ORD00835"/>
    <d v="2025-05-10T00:00:00"/>
    <s v="C6701"/>
    <x v="834"/>
    <d v="2025-05-16T00:00:00"/>
    <x v="3"/>
    <x v="3"/>
    <s v="Kitchen"/>
    <x v="12"/>
    <s v="Lansing"/>
    <s v="Male"/>
    <n v="42"/>
    <n v="3"/>
    <n v="15"/>
    <s v="P758"/>
    <x v="0"/>
    <x v="4"/>
    <x v="3"/>
    <s v="Philips"/>
    <n v="3"/>
    <n v="816.34"/>
    <n v="1476.6"/>
    <n v="6"/>
    <s v="Q2"/>
    <n v="2025"/>
    <x v="9"/>
    <n v="2081.6669999999999"/>
    <n v="605.06700000000001"/>
  </r>
  <r>
    <s v="ORD00836"/>
    <d v="2026-04-09T00:00:00"/>
    <s v="C7325"/>
    <x v="835"/>
    <d v="2026-04-12T00:00:00"/>
    <x v="9"/>
    <x v="0"/>
    <s v="Skincare"/>
    <x v="2"/>
    <s v="Columbus"/>
    <s v="Female"/>
    <n v="57"/>
    <n v="3"/>
    <n v="25"/>
    <s v="P983"/>
    <x v="2"/>
    <x v="2"/>
    <x v="1"/>
    <s v="Nivea"/>
    <n v="2"/>
    <n v="626.71"/>
    <n v="756.38"/>
    <n v="3"/>
    <s v="Q2"/>
    <n v="2026"/>
    <x v="3"/>
    <n v="1410.0975000000001"/>
    <n v="653.71750000000009"/>
  </r>
  <r>
    <s v="ORD00837"/>
    <d v="2026-03-21T00:00:00"/>
    <s v="C9973"/>
    <x v="836"/>
    <d v="2026-03-22T00:00:00"/>
    <x v="2"/>
    <x v="2"/>
    <s v="Fitness"/>
    <x v="3"/>
    <s v="San Antonio"/>
    <s v="Female"/>
    <n v="58"/>
    <n v="1"/>
    <n v="15"/>
    <s v="P170"/>
    <x v="0"/>
    <x v="3"/>
    <x v="3"/>
    <s v="Decathlon"/>
    <n v="5"/>
    <n v="48.22"/>
    <n v="23.83"/>
    <n v="1"/>
    <s v="Q1"/>
    <n v="2026"/>
    <x v="6"/>
    <n v="40.986999999999995"/>
    <n v="17.156999999999996"/>
  </r>
  <r>
    <s v="ORD00838"/>
    <d v="2026-02-19T00:00:00"/>
    <s v="C6432"/>
    <x v="837"/>
    <d v="2026-02-23T00:00:00"/>
    <x v="1"/>
    <x v="1"/>
    <s v="Shirt"/>
    <x v="5"/>
    <s v="Fort Wayne"/>
    <s v="Male"/>
    <n v="41"/>
    <n v="2"/>
    <n v="5"/>
    <s v="P592"/>
    <x v="1"/>
    <x v="4"/>
    <x v="2"/>
    <s v="Puma"/>
    <n v="2"/>
    <n v="562.91"/>
    <n v="889.06"/>
    <n v="4"/>
    <s v="Q1"/>
    <n v="2026"/>
    <x v="5"/>
    <n v="1069.529"/>
    <n v="180.46900000000005"/>
  </r>
  <r>
    <s v="ORD00839"/>
    <d v="2024-12-12T00:00:00"/>
    <s v="C5417"/>
    <x v="838"/>
    <d v="2024-12-15T00:00:00"/>
    <x v="1"/>
    <x v="1"/>
    <s v="Shirt"/>
    <x v="3"/>
    <s v="San Antonio"/>
    <s v="Female"/>
    <n v="48"/>
    <n v="4"/>
    <n v="10"/>
    <s v="P768"/>
    <x v="1"/>
    <x v="1"/>
    <x v="2"/>
    <s v="Puma"/>
    <n v="2"/>
    <n v="62.54"/>
    <n v="136.88999999999999"/>
    <n v="3"/>
    <s v="Q4"/>
    <n v="2024"/>
    <x v="7"/>
    <n v="225.14400000000001"/>
    <n v="88.254000000000019"/>
  </r>
  <r>
    <s v="ORD00840"/>
    <d v="2024-07-22T00:00:00"/>
    <s v="C9100"/>
    <x v="839"/>
    <d v="2024-07-28T00:00:00"/>
    <x v="9"/>
    <x v="0"/>
    <s v="Skincare"/>
    <x v="1"/>
    <s v="Los Angeles"/>
    <s v="Male"/>
    <n v="57"/>
    <n v="1"/>
    <n v="20"/>
    <s v="P991"/>
    <x v="1"/>
    <x v="1"/>
    <x v="3"/>
    <s v="Nivea"/>
    <n v="5"/>
    <n v="736.79"/>
    <n v="356.69"/>
    <n v="6"/>
    <s v="Q3"/>
    <n v="2024"/>
    <x v="4"/>
    <n v="589.43200000000002"/>
    <n v="232.74200000000002"/>
  </r>
  <r>
    <s v="ORD00841"/>
    <d v="2025-07-05T00:00:00"/>
    <s v="C7578"/>
    <x v="840"/>
    <d v="2025-07-09T00:00:00"/>
    <x v="9"/>
    <x v="0"/>
    <s v="Skincare"/>
    <x v="1"/>
    <s v="San Diego"/>
    <s v="Female"/>
    <n v="60"/>
    <n v="1"/>
    <n v="0"/>
    <s v="P908"/>
    <x v="1"/>
    <x v="2"/>
    <x v="2"/>
    <s v="Nivea"/>
    <n v="3"/>
    <n v="250.52"/>
    <n v="143.87"/>
    <n v="4"/>
    <s v="Q3"/>
    <n v="2025"/>
    <x v="4"/>
    <n v="250.52"/>
    <n v="106.65"/>
  </r>
  <r>
    <s v="ORD00842"/>
    <d v="2026-04-22T00:00:00"/>
    <s v="C5418"/>
    <x v="841"/>
    <d v="2026-04-29T00:00:00"/>
    <x v="9"/>
    <x v="0"/>
    <s v="Skincare"/>
    <x v="21"/>
    <s v="Columbia"/>
    <s v="Male"/>
    <n v="54"/>
    <n v="2"/>
    <n v="25"/>
    <s v="P569"/>
    <x v="0"/>
    <x v="2"/>
    <x v="2"/>
    <s v="Nivea"/>
    <n v="3"/>
    <n v="675.13"/>
    <n v="544.86"/>
    <n v="7"/>
    <s v="Q2"/>
    <n v="2026"/>
    <x v="3"/>
    <n v="1012.6949999999999"/>
    <n v="467.83499999999992"/>
  </r>
  <r>
    <s v="ORD00843"/>
    <d v="2026-03-06T00:00:00"/>
    <s v="C2027"/>
    <x v="842"/>
    <d v="2026-03-11T00:00:00"/>
    <x v="8"/>
    <x v="1"/>
    <s v="Shoes"/>
    <x v="2"/>
    <s v="Cincinnati"/>
    <s v="Male"/>
    <n v="24"/>
    <n v="5"/>
    <n v="20"/>
    <s v="P995"/>
    <x v="1"/>
    <x v="3"/>
    <x v="0"/>
    <s v="Nike"/>
    <n v="2"/>
    <n v="970.76"/>
    <n v="1989.74"/>
    <n v="5"/>
    <s v="Q1"/>
    <n v="2026"/>
    <x v="6"/>
    <n v="3883.0400000000004"/>
    <n v="1893.3000000000004"/>
  </r>
  <r>
    <s v="ORD00844"/>
    <d v="2025-01-14T00:00:00"/>
    <s v="C3135"/>
    <x v="843"/>
    <d v="2025-01-16T00:00:00"/>
    <x v="8"/>
    <x v="1"/>
    <s v="Shoes"/>
    <x v="2"/>
    <s v="Cleveland"/>
    <s v="Male"/>
    <n v="45"/>
    <n v="1"/>
    <n v="20"/>
    <s v="P299"/>
    <x v="0"/>
    <x v="0"/>
    <x v="3"/>
    <s v="Nike"/>
    <n v="2"/>
    <n v="571.15"/>
    <n v="236.83"/>
    <n v="2"/>
    <s v="Q1"/>
    <n v="2025"/>
    <x v="0"/>
    <n v="456.92"/>
    <n v="220.09"/>
  </r>
  <r>
    <s v="ORD00845"/>
    <d v="2026-02-21T00:00:00"/>
    <s v="C3519"/>
    <x v="844"/>
    <d v="2026-02-23T00:00:00"/>
    <x v="6"/>
    <x v="5"/>
    <s v="Snacks"/>
    <x v="3"/>
    <s v="Austin"/>
    <s v="Female"/>
    <n v="47"/>
    <n v="3"/>
    <n v="5"/>
    <s v="P528"/>
    <x v="2"/>
    <x v="3"/>
    <x v="0"/>
    <s v="Britannia"/>
    <n v="3"/>
    <n v="391.14"/>
    <n v="847.48"/>
    <n v="2"/>
    <s v="Q1"/>
    <n v="2026"/>
    <x v="5"/>
    <n v="1114.749"/>
    <n v="267.26900000000001"/>
  </r>
  <r>
    <s v="ORD00846"/>
    <d v="2025-11-17T00:00:00"/>
    <s v="C1967"/>
    <x v="845"/>
    <d v="2025-11-21T00:00:00"/>
    <x v="6"/>
    <x v="5"/>
    <s v="Snacks"/>
    <x v="2"/>
    <s v="Cleveland"/>
    <s v="Female"/>
    <n v="43"/>
    <n v="5"/>
    <n v="0"/>
    <s v="P941"/>
    <x v="0"/>
    <x v="3"/>
    <x v="0"/>
    <s v="Britannia"/>
    <n v="2"/>
    <n v="124.79"/>
    <n v="345.12"/>
    <n v="4"/>
    <s v="Q4"/>
    <n v="2025"/>
    <x v="10"/>
    <n v="623.95000000000005"/>
    <n v="278.83000000000004"/>
  </r>
  <r>
    <s v="ORD00847"/>
    <d v="2025-04-06T00:00:00"/>
    <s v="C5060"/>
    <x v="846"/>
    <d v="2025-04-12T00:00:00"/>
    <x v="2"/>
    <x v="2"/>
    <s v="Fitness"/>
    <x v="17"/>
    <s v="Philadelphia"/>
    <s v="Female"/>
    <n v="28"/>
    <n v="4"/>
    <n v="10"/>
    <s v="P170"/>
    <x v="0"/>
    <x v="2"/>
    <x v="2"/>
    <s v="Decathlon"/>
    <n v="1"/>
    <n v="484.61"/>
    <n v="984.07"/>
    <n v="6"/>
    <s v="Q2"/>
    <n v="2025"/>
    <x v="3"/>
    <n v="1744.596"/>
    <n v="760.52599999999995"/>
  </r>
  <r>
    <s v="ORD00848"/>
    <d v="2025-06-17T00:00:00"/>
    <s v="C6040"/>
    <x v="847"/>
    <d v="2025-06-24T00:00:00"/>
    <x v="2"/>
    <x v="2"/>
    <s v="Fitness"/>
    <x v="8"/>
    <s v="Jacksonville"/>
    <s v="Female"/>
    <n v="64"/>
    <n v="1"/>
    <n v="25"/>
    <s v="P358"/>
    <x v="2"/>
    <x v="2"/>
    <x v="3"/>
    <s v="Decathlon"/>
    <n v="3"/>
    <n v="253.2"/>
    <n v="125.5"/>
    <n v="7"/>
    <s v="Q2"/>
    <n v="2025"/>
    <x v="2"/>
    <n v="189.89999999999998"/>
    <n v="64.399999999999977"/>
  </r>
  <r>
    <s v="ORD00849"/>
    <d v="2025-10-05T00:00:00"/>
    <s v="C1505"/>
    <x v="848"/>
    <d v="2025-10-10T00:00:00"/>
    <x v="3"/>
    <x v="3"/>
    <s v="Kitchen"/>
    <x v="24"/>
    <s v="Portland"/>
    <s v="Female"/>
    <n v="23"/>
    <n v="4"/>
    <n v="5"/>
    <s v="P435"/>
    <x v="1"/>
    <x v="2"/>
    <x v="3"/>
    <s v="Philips"/>
    <n v="3"/>
    <n v="880.81"/>
    <n v="2666.82"/>
    <n v="5"/>
    <s v="Q4"/>
    <n v="2025"/>
    <x v="8"/>
    <n v="3347.0779999999995"/>
    <n v="680.25799999999936"/>
  </r>
  <r>
    <s v="ORD00850"/>
    <d v="2026-03-12T00:00:00"/>
    <s v="C8963"/>
    <x v="849"/>
    <d v="2026-03-19T00:00:00"/>
    <x v="2"/>
    <x v="2"/>
    <s v="Fitness"/>
    <x v="15"/>
    <s v="Colorado Springs"/>
    <s v="Male"/>
    <n v="50"/>
    <n v="4"/>
    <n v="30"/>
    <s v="P857"/>
    <x v="1"/>
    <x v="0"/>
    <x v="1"/>
    <s v="Decathlon"/>
    <n v="4"/>
    <n v="303.17"/>
    <n v="640.20000000000005"/>
    <n v="7"/>
    <s v="Q1"/>
    <n v="2026"/>
    <x v="6"/>
    <n v="848.87599999999998"/>
    <n v="208.67599999999993"/>
  </r>
  <r>
    <s v="ORD00851"/>
    <d v="2025-12-26T00:00:00"/>
    <s v="C4206"/>
    <x v="850"/>
    <d v="2026-01-02T00:00:00"/>
    <x v="1"/>
    <x v="1"/>
    <s v="Shirt"/>
    <x v="6"/>
    <s v="Charlotte"/>
    <s v="Male"/>
    <n v="50"/>
    <n v="3"/>
    <n v="0"/>
    <s v="P557"/>
    <x v="0"/>
    <x v="1"/>
    <x v="2"/>
    <s v="Puma"/>
    <n v="2"/>
    <n v="769.53"/>
    <n v="1265.69"/>
    <n v="7"/>
    <s v="Q4"/>
    <n v="2025"/>
    <x v="7"/>
    <n v="2308.59"/>
    <n v="1042.9000000000001"/>
  </r>
  <r>
    <s v="ORD00852"/>
    <d v="2024-04-01T00:00:00"/>
    <s v="C7448"/>
    <x v="851"/>
    <d v="2024-04-05T00:00:00"/>
    <x v="6"/>
    <x v="5"/>
    <s v="Snacks"/>
    <x v="3"/>
    <s v="Houston"/>
    <s v="Male"/>
    <n v="59"/>
    <n v="1"/>
    <n v="30"/>
    <s v="P370"/>
    <x v="2"/>
    <x v="4"/>
    <x v="1"/>
    <s v="Britannia"/>
    <n v="4"/>
    <n v="129.47"/>
    <n v="72.36"/>
    <n v="4"/>
    <s v="Q2"/>
    <n v="2024"/>
    <x v="3"/>
    <n v="90.628999999999991"/>
    <n v="18.268999999999991"/>
  </r>
  <r>
    <s v="ORD00853"/>
    <d v="2025-03-28T00:00:00"/>
    <s v="C5526"/>
    <x v="852"/>
    <d v="2025-04-01T00:00:00"/>
    <x v="4"/>
    <x v="4"/>
    <s v="Mobile"/>
    <x v="1"/>
    <s v="San Diego"/>
    <s v="Female"/>
    <n v="56"/>
    <n v="2"/>
    <n v="25"/>
    <s v="P976"/>
    <x v="2"/>
    <x v="3"/>
    <x v="0"/>
    <s v="Samsung"/>
    <n v="3"/>
    <n v="632.55999999999995"/>
    <n v="712.9"/>
    <n v="4"/>
    <s v="Q1"/>
    <n v="2025"/>
    <x v="6"/>
    <n v="948.83999999999992"/>
    <n v="235.93999999999994"/>
  </r>
  <r>
    <s v="ORD00854"/>
    <d v="2024-11-16T00:00:00"/>
    <s v="C4018"/>
    <x v="853"/>
    <d v="2024-11-18T00:00:00"/>
    <x v="7"/>
    <x v="4"/>
    <s v="Laptop"/>
    <x v="11"/>
    <s v="Trenton"/>
    <s v="Male"/>
    <n v="41"/>
    <n v="2"/>
    <n v="15"/>
    <s v="P652"/>
    <x v="0"/>
    <x v="1"/>
    <x v="2"/>
    <s v="Dell"/>
    <n v="5"/>
    <n v="849.02"/>
    <n v="1027.22"/>
    <n v="2"/>
    <s v="Q4"/>
    <n v="2024"/>
    <x v="10"/>
    <n v="1443.3339999999998"/>
    <n v="416.11399999999981"/>
  </r>
  <r>
    <s v="ORD00855"/>
    <d v="2025-05-04T00:00:00"/>
    <s v="C4418"/>
    <x v="854"/>
    <d v="2025-05-11T00:00:00"/>
    <x v="8"/>
    <x v="1"/>
    <s v="Shoes"/>
    <x v="9"/>
    <s v="Birmingham"/>
    <s v="Male"/>
    <n v="27"/>
    <n v="5"/>
    <n v="15"/>
    <s v="P221"/>
    <x v="2"/>
    <x v="0"/>
    <x v="0"/>
    <s v="Nike"/>
    <n v="3"/>
    <n v="258.74"/>
    <n v="760.35"/>
    <n v="7"/>
    <s v="Q2"/>
    <n v="2025"/>
    <x v="9"/>
    <n v="1099.645"/>
    <n v="339.29499999999996"/>
  </r>
  <r>
    <s v="ORD00856"/>
    <d v="2026-05-16T00:00:00"/>
    <s v="C4555"/>
    <x v="855"/>
    <d v="2026-05-17T00:00:00"/>
    <x v="6"/>
    <x v="5"/>
    <s v="Snacks"/>
    <x v="17"/>
    <s v="Philadelphia"/>
    <s v="Male"/>
    <n v="26"/>
    <n v="2"/>
    <n v="20"/>
    <s v="P345"/>
    <x v="2"/>
    <x v="0"/>
    <x v="1"/>
    <s v="Britannia"/>
    <n v="2"/>
    <n v="882.36"/>
    <n v="961.12"/>
    <n v="1"/>
    <s v="Q2"/>
    <n v="2026"/>
    <x v="9"/>
    <n v="1411.7760000000001"/>
    <n v="450.65600000000006"/>
  </r>
  <r>
    <s v="ORD00857"/>
    <d v="2025-12-15T00:00:00"/>
    <s v="C1173"/>
    <x v="856"/>
    <d v="2025-12-19T00:00:00"/>
    <x v="9"/>
    <x v="0"/>
    <s v="Skincare"/>
    <x v="1"/>
    <s v="San Diego"/>
    <s v="Male"/>
    <n v="58"/>
    <n v="4"/>
    <n v="0"/>
    <s v="P273"/>
    <x v="1"/>
    <x v="0"/>
    <x v="0"/>
    <s v="Nivea"/>
    <n v="5"/>
    <n v="202.32"/>
    <n v="419.93"/>
    <n v="4"/>
    <s v="Q4"/>
    <n v="2025"/>
    <x v="7"/>
    <n v="809.28"/>
    <n v="389.34999999999997"/>
  </r>
  <r>
    <s v="ORD00858"/>
    <d v="2026-04-03T00:00:00"/>
    <s v="C8049"/>
    <x v="857"/>
    <d v="2026-04-04T00:00:00"/>
    <x v="5"/>
    <x v="3"/>
    <s v="Furniture"/>
    <x v="2"/>
    <s v="Columbus"/>
    <s v="Female"/>
    <n v="48"/>
    <n v="3"/>
    <n v="25"/>
    <s v="P413"/>
    <x v="0"/>
    <x v="1"/>
    <x v="3"/>
    <s v="IKEA"/>
    <n v="2"/>
    <n v="391.89"/>
    <n v="542.44000000000005"/>
    <n v="1"/>
    <s v="Q2"/>
    <n v="2026"/>
    <x v="3"/>
    <n v="881.75250000000005"/>
    <n v="339.3125"/>
  </r>
  <r>
    <s v="ORD00859"/>
    <d v="2024-03-12T00:00:00"/>
    <s v="C2757"/>
    <x v="858"/>
    <d v="2024-03-13T00:00:00"/>
    <x v="9"/>
    <x v="0"/>
    <s v="Skincare"/>
    <x v="22"/>
    <s v="Springfield"/>
    <s v="Male"/>
    <n v="37"/>
    <n v="5"/>
    <n v="25"/>
    <s v="P124"/>
    <x v="0"/>
    <x v="1"/>
    <x v="1"/>
    <s v="Nivea"/>
    <n v="5"/>
    <n v="609.29"/>
    <n v="1309.47"/>
    <n v="1"/>
    <s v="Q1"/>
    <n v="2024"/>
    <x v="6"/>
    <n v="2284.8374999999996"/>
    <n v="975.36749999999961"/>
  </r>
  <r>
    <s v="ORD00860"/>
    <d v="2024-01-04T00:00:00"/>
    <s v="C3646"/>
    <x v="859"/>
    <d v="2024-01-06T00:00:00"/>
    <x v="3"/>
    <x v="3"/>
    <s v="Kitchen"/>
    <x v="1"/>
    <s v="San Diego"/>
    <s v="Male"/>
    <n v="43"/>
    <n v="2"/>
    <n v="10"/>
    <s v="P994"/>
    <x v="0"/>
    <x v="1"/>
    <x v="3"/>
    <s v="Philips"/>
    <n v="3"/>
    <n v="349.45"/>
    <n v="346.33"/>
    <n v="2"/>
    <s v="Q1"/>
    <n v="2024"/>
    <x v="0"/>
    <n v="629.01"/>
    <n v="282.68"/>
  </r>
  <r>
    <s v="ORD00861"/>
    <d v="2026-04-03T00:00:00"/>
    <s v="C9687"/>
    <x v="860"/>
    <d v="2026-04-09T00:00:00"/>
    <x v="2"/>
    <x v="2"/>
    <s v="Fitness"/>
    <x v="13"/>
    <s v="Atlanta"/>
    <s v="Male"/>
    <n v="39"/>
    <n v="5"/>
    <n v="25"/>
    <s v="P778"/>
    <x v="2"/>
    <x v="1"/>
    <x v="1"/>
    <s v="Decathlon"/>
    <n v="3"/>
    <n v="172.66"/>
    <n v="514.34"/>
    <n v="6"/>
    <s v="Q2"/>
    <n v="2026"/>
    <x v="3"/>
    <n v="647.47499999999991"/>
    <n v="133.13499999999988"/>
  </r>
  <r>
    <s v="ORD00862"/>
    <d v="2025-11-30T00:00:00"/>
    <s v="C2642"/>
    <x v="861"/>
    <d v="2025-12-01T00:00:00"/>
    <x v="2"/>
    <x v="2"/>
    <s v="Fitness"/>
    <x v="6"/>
    <s v="Greensboro"/>
    <s v="Male"/>
    <n v="35"/>
    <n v="2"/>
    <n v="15"/>
    <s v="P859"/>
    <x v="1"/>
    <x v="3"/>
    <x v="3"/>
    <s v="Decathlon"/>
    <n v="3"/>
    <n v="905.65"/>
    <n v="1160.08"/>
    <n v="1"/>
    <s v="Q4"/>
    <n v="2025"/>
    <x v="10"/>
    <n v="1539.605"/>
    <n v="379.52500000000009"/>
  </r>
  <r>
    <s v="ORD00863"/>
    <d v="2024-02-23T00:00:00"/>
    <s v="C9106"/>
    <x v="862"/>
    <d v="2024-02-28T00:00:00"/>
    <x v="9"/>
    <x v="0"/>
    <s v="Skincare"/>
    <x v="8"/>
    <s v="Tampa"/>
    <s v="Male"/>
    <n v="33"/>
    <n v="1"/>
    <n v="30"/>
    <s v="P317"/>
    <x v="1"/>
    <x v="1"/>
    <x v="0"/>
    <s v="Nivea"/>
    <n v="2"/>
    <n v="833.89"/>
    <n v="413.64"/>
    <n v="5"/>
    <s v="Q1"/>
    <n v="2024"/>
    <x v="5"/>
    <n v="583.72299999999996"/>
    <n v="170.08299999999997"/>
  </r>
  <r>
    <s v="ORD00864"/>
    <d v="2025-05-16T00:00:00"/>
    <s v="C4474"/>
    <x v="863"/>
    <d v="2025-05-21T00:00:00"/>
    <x v="6"/>
    <x v="5"/>
    <s v="Snacks"/>
    <x v="15"/>
    <s v="Boulder"/>
    <s v="Male"/>
    <n v="60"/>
    <n v="4"/>
    <n v="10"/>
    <s v="P859"/>
    <x v="1"/>
    <x v="1"/>
    <x v="0"/>
    <s v="Britannia"/>
    <n v="2"/>
    <n v="631.94000000000005"/>
    <n v="1697.36"/>
    <n v="5"/>
    <s v="Q2"/>
    <n v="2025"/>
    <x v="9"/>
    <n v="2274.9840000000004"/>
    <n v="577.62400000000048"/>
  </r>
  <r>
    <s v="ORD00865"/>
    <d v="2025-02-25T00:00:00"/>
    <s v="C7895"/>
    <x v="864"/>
    <d v="2025-03-03T00:00:00"/>
    <x v="8"/>
    <x v="1"/>
    <s v="Shoes"/>
    <x v="0"/>
    <s v="Worcester"/>
    <s v="Male"/>
    <n v="61"/>
    <n v="3"/>
    <n v="0"/>
    <s v="P850"/>
    <x v="1"/>
    <x v="4"/>
    <x v="2"/>
    <s v="Nike"/>
    <n v="2"/>
    <n v="47.77"/>
    <n v="81.17"/>
    <n v="6"/>
    <s v="Q1"/>
    <n v="2025"/>
    <x v="5"/>
    <n v="143.31"/>
    <n v="62.14"/>
  </r>
  <r>
    <s v="ORD00866"/>
    <d v="2024-02-18T00:00:00"/>
    <s v="C2554"/>
    <x v="865"/>
    <d v="2024-02-23T00:00:00"/>
    <x v="9"/>
    <x v="0"/>
    <s v="Skincare"/>
    <x v="3"/>
    <s v="Austin"/>
    <s v="Female"/>
    <n v="32"/>
    <n v="3"/>
    <n v="0"/>
    <s v="P675"/>
    <x v="2"/>
    <x v="0"/>
    <x v="1"/>
    <s v="Nivea"/>
    <n v="3"/>
    <n v="97.46"/>
    <n v="146.54"/>
    <n v="5"/>
    <s v="Q1"/>
    <n v="2024"/>
    <x v="5"/>
    <n v="292.38"/>
    <n v="145.84"/>
  </r>
  <r>
    <s v="ORD00867"/>
    <d v="2026-05-19T00:00:00"/>
    <s v="C5764"/>
    <x v="866"/>
    <d v="2026-05-21T00:00:00"/>
    <x v="9"/>
    <x v="0"/>
    <s v="Skincare"/>
    <x v="8"/>
    <s v="Miami"/>
    <s v="Female"/>
    <n v="51"/>
    <n v="2"/>
    <n v="10"/>
    <s v="P583"/>
    <x v="0"/>
    <x v="4"/>
    <x v="1"/>
    <s v="Nivea"/>
    <n v="3"/>
    <n v="163.69"/>
    <n v="213.53"/>
    <n v="2"/>
    <s v="Q2"/>
    <n v="2026"/>
    <x v="9"/>
    <n v="294.642"/>
    <n v="81.111999999999995"/>
  </r>
  <r>
    <s v="ORD00868"/>
    <d v="2025-07-22T00:00:00"/>
    <s v="C5862"/>
    <x v="867"/>
    <d v="2025-07-26T00:00:00"/>
    <x v="4"/>
    <x v="4"/>
    <s v="Mobile"/>
    <x v="2"/>
    <s v="Columbus"/>
    <s v="Female"/>
    <n v="26"/>
    <n v="2"/>
    <n v="5"/>
    <s v="P778"/>
    <x v="2"/>
    <x v="3"/>
    <x v="2"/>
    <s v="Samsung"/>
    <n v="2"/>
    <n v="336.42"/>
    <n v="454.3"/>
    <n v="4"/>
    <s v="Q3"/>
    <n v="2025"/>
    <x v="4"/>
    <n v="639.19799999999998"/>
    <n v="184.89799999999997"/>
  </r>
  <r>
    <s v="ORD00869"/>
    <d v="2025-07-25T00:00:00"/>
    <s v="C8747"/>
    <x v="868"/>
    <d v="2025-07-29T00:00:00"/>
    <x v="7"/>
    <x v="4"/>
    <s v="Laptop"/>
    <x v="6"/>
    <s v="Greensboro"/>
    <s v="Male"/>
    <n v="41"/>
    <n v="2"/>
    <n v="25"/>
    <s v="P689"/>
    <x v="1"/>
    <x v="3"/>
    <x v="1"/>
    <s v="Dell"/>
    <n v="2"/>
    <n v="165.57"/>
    <n v="169.37"/>
    <n v="4"/>
    <s v="Q3"/>
    <n v="2025"/>
    <x v="4"/>
    <n v="248.35499999999999"/>
    <n v="78.984999999999985"/>
  </r>
  <r>
    <s v="ORD00870"/>
    <d v="2025-10-28T00:00:00"/>
    <s v="C8614"/>
    <x v="869"/>
    <d v="2025-10-31T00:00:00"/>
    <x v="9"/>
    <x v="0"/>
    <s v="Skincare"/>
    <x v="12"/>
    <s v="Detroit"/>
    <s v="Female"/>
    <n v="59"/>
    <n v="1"/>
    <n v="30"/>
    <s v="P751"/>
    <x v="0"/>
    <x v="3"/>
    <x v="1"/>
    <s v="Nivea"/>
    <n v="4"/>
    <n v="392.65"/>
    <n v="218.78"/>
    <n v="3"/>
    <s v="Q4"/>
    <n v="2025"/>
    <x v="8"/>
    <n v="274.85499999999996"/>
    <n v="56.07499999999996"/>
  </r>
  <r>
    <s v="ORD00871"/>
    <d v="2025-04-03T00:00:00"/>
    <s v="C2092"/>
    <x v="870"/>
    <d v="2025-04-06T00:00:00"/>
    <x v="7"/>
    <x v="4"/>
    <s v="Laptop"/>
    <x v="13"/>
    <s v="Savannah"/>
    <s v="Female"/>
    <n v="30"/>
    <n v="3"/>
    <n v="5"/>
    <s v="P695"/>
    <x v="1"/>
    <x v="3"/>
    <x v="1"/>
    <s v="Dell"/>
    <n v="1"/>
    <n v="483.44"/>
    <n v="1136.78"/>
    <n v="3"/>
    <s v="Q2"/>
    <n v="2025"/>
    <x v="3"/>
    <n v="1377.8039999999999"/>
    <n v="241.02399999999989"/>
  </r>
  <r>
    <s v="ORD00872"/>
    <d v="2025-07-06T00:00:00"/>
    <s v="C6417"/>
    <x v="871"/>
    <d v="2025-07-13T00:00:00"/>
    <x v="8"/>
    <x v="1"/>
    <s v="Shoes"/>
    <x v="15"/>
    <s v="Denver"/>
    <s v="Female"/>
    <n v="56"/>
    <n v="1"/>
    <n v="5"/>
    <s v="P965"/>
    <x v="1"/>
    <x v="1"/>
    <x v="1"/>
    <s v="Nike"/>
    <n v="3"/>
    <n v="618.33000000000004"/>
    <n v="449.77"/>
    <n v="7"/>
    <s v="Q3"/>
    <n v="2025"/>
    <x v="4"/>
    <n v="587.4135"/>
    <n v="137.64350000000002"/>
  </r>
  <r>
    <s v="ORD00873"/>
    <d v="2025-12-29T00:00:00"/>
    <s v="C8479"/>
    <x v="872"/>
    <d v="2026-01-05T00:00:00"/>
    <x v="4"/>
    <x v="4"/>
    <s v="Mobile"/>
    <x v="5"/>
    <s v="Indianapolis"/>
    <s v="Female"/>
    <n v="58"/>
    <n v="4"/>
    <n v="10"/>
    <s v="P636"/>
    <x v="0"/>
    <x v="0"/>
    <x v="1"/>
    <s v="Samsung"/>
    <n v="2"/>
    <n v="760.17"/>
    <n v="1483.27"/>
    <n v="7"/>
    <s v="Q4"/>
    <n v="2025"/>
    <x v="7"/>
    <n v="2736.6120000000001"/>
    <n v="1253.3420000000001"/>
  </r>
  <r>
    <s v="ORD00874"/>
    <d v="2024-03-16T00:00:00"/>
    <s v="C9394"/>
    <x v="873"/>
    <d v="2024-03-17T00:00:00"/>
    <x v="2"/>
    <x v="2"/>
    <s v="Fitness"/>
    <x v="7"/>
    <s v="New York"/>
    <s v="Male"/>
    <n v="63"/>
    <n v="1"/>
    <n v="30"/>
    <s v="P959"/>
    <x v="2"/>
    <x v="1"/>
    <x v="1"/>
    <s v="Decathlon"/>
    <n v="4"/>
    <n v="385.95"/>
    <n v="223.65"/>
    <n v="1"/>
    <s v="Q1"/>
    <n v="2024"/>
    <x v="6"/>
    <n v="270.16499999999996"/>
    <n v="46.514999999999958"/>
  </r>
  <r>
    <s v="ORD00875"/>
    <d v="2025-11-29T00:00:00"/>
    <s v="C2883"/>
    <x v="874"/>
    <d v="2025-12-02T00:00:00"/>
    <x v="1"/>
    <x v="1"/>
    <s v="Shirt"/>
    <x v="9"/>
    <s v="Birmingham"/>
    <s v="Female"/>
    <n v="61"/>
    <n v="5"/>
    <n v="0"/>
    <s v="P950"/>
    <x v="2"/>
    <x v="3"/>
    <x v="0"/>
    <s v="Puma"/>
    <n v="1"/>
    <n v="318.04000000000002"/>
    <n v="965.33"/>
    <n v="3"/>
    <s v="Q4"/>
    <n v="2025"/>
    <x v="10"/>
    <n v="1590.2"/>
    <n v="624.87"/>
  </r>
  <r>
    <s v="ORD00876"/>
    <d v="2025-09-27T00:00:00"/>
    <s v="C6222"/>
    <x v="875"/>
    <d v="2025-10-01T00:00:00"/>
    <x v="2"/>
    <x v="2"/>
    <s v="Fitness"/>
    <x v="13"/>
    <s v="Atlanta"/>
    <s v="Female"/>
    <n v="53"/>
    <n v="2"/>
    <n v="20"/>
    <s v="P777"/>
    <x v="0"/>
    <x v="3"/>
    <x v="3"/>
    <s v="Decathlon"/>
    <n v="2"/>
    <n v="20.100000000000001"/>
    <n v="26.33"/>
    <n v="4"/>
    <s v="Q3"/>
    <n v="2025"/>
    <x v="1"/>
    <n v="32.160000000000004"/>
    <n v="5.8300000000000054"/>
  </r>
  <r>
    <s v="ORD00877"/>
    <d v="2024-06-15T00:00:00"/>
    <s v="C5189"/>
    <x v="876"/>
    <d v="2024-06-18T00:00:00"/>
    <x v="6"/>
    <x v="5"/>
    <s v="Snacks"/>
    <x v="24"/>
    <s v="Salem"/>
    <s v="Female"/>
    <n v="26"/>
    <n v="2"/>
    <n v="0"/>
    <s v="P751"/>
    <x v="1"/>
    <x v="4"/>
    <x v="1"/>
    <s v="Britannia"/>
    <n v="4"/>
    <n v="32.49"/>
    <n v="33.96"/>
    <n v="3"/>
    <s v="Q2"/>
    <n v="2024"/>
    <x v="2"/>
    <n v="64.98"/>
    <n v="31.020000000000003"/>
  </r>
  <r>
    <s v="ORD00878"/>
    <d v="2026-03-07T00:00:00"/>
    <s v="C8244"/>
    <x v="877"/>
    <d v="2026-03-11T00:00:00"/>
    <x v="8"/>
    <x v="1"/>
    <s v="Shoes"/>
    <x v="22"/>
    <s v="Springfield"/>
    <s v="Male"/>
    <n v="55"/>
    <n v="1"/>
    <n v="15"/>
    <s v="P486"/>
    <x v="1"/>
    <x v="4"/>
    <x v="0"/>
    <s v="Nike"/>
    <n v="4"/>
    <n v="569.91999999999996"/>
    <n v="289.02"/>
    <n v="4"/>
    <s v="Q1"/>
    <n v="2026"/>
    <x v="6"/>
    <n v="484.43199999999996"/>
    <n v="195.41199999999998"/>
  </r>
  <r>
    <s v="ORD00879"/>
    <d v="2024-08-13T00:00:00"/>
    <s v="C6060"/>
    <x v="878"/>
    <d v="2024-08-19T00:00:00"/>
    <x v="7"/>
    <x v="4"/>
    <s v="Laptop"/>
    <x v="16"/>
    <s v="Tacoma"/>
    <s v="Male"/>
    <n v="35"/>
    <n v="1"/>
    <n v="10"/>
    <s v="P305"/>
    <x v="1"/>
    <x v="0"/>
    <x v="2"/>
    <s v="Dell"/>
    <n v="4"/>
    <n v="759.44"/>
    <n v="500.36"/>
    <n v="6"/>
    <s v="Q3"/>
    <n v="2024"/>
    <x v="11"/>
    <n v="683.49600000000009"/>
    <n v="183.13600000000008"/>
  </r>
  <r>
    <s v="ORD00880"/>
    <d v="2026-03-10T00:00:00"/>
    <s v="C5066"/>
    <x v="879"/>
    <d v="2026-03-12T00:00:00"/>
    <x v="2"/>
    <x v="2"/>
    <s v="Fitness"/>
    <x v="12"/>
    <s v="Grand Rapids"/>
    <s v="Male"/>
    <n v="50"/>
    <n v="2"/>
    <n v="15"/>
    <s v="P938"/>
    <x v="1"/>
    <x v="3"/>
    <x v="0"/>
    <s v="Decathlon"/>
    <n v="3"/>
    <n v="839.31"/>
    <n v="1164.76"/>
    <n v="2"/>
    <s v="Q1"/>
    <n v="2026"/>
    <x v="6"/>
    <n v="1426.8269999999998"/>
    <n v="262.06699999999978"/>
  </r>
  <r>
    <s v="ORD00881"/>
    <d v="2024-06-20T00:00:00"/>
    <s v="C4725"/>
    <x v="880"/>
    <d v="2024-06-25T00:00:00"/>
    <x v="4"/>
    <x v="4"/>
    <s v="Mobile"/>
    <x v="3"/>
    <s v="San Antonio"/>
    <s v="Male"/>
    <n v="21"/>
    <n v="4"/>
    <n v="30"/>
    <s v="P250"/>
    <x v="2"/>
    <x v="1"/>
    <x v="1"/>
    <s v="Samsung"/>
    <n v="3"/>
    <n v="377.03"/>
    <n v="644.16"/>
    <n v="5"/>
    <s v="Q2"/>
    <n v="2024"/>
    <x v="2"/>
    <n v="1055.684"/>
    <n v="411.524"/>
  </r>
  <r>
    <s v="ORD00882"/>
    <d v="2024-07-18T00:00:00"/>
    <s v="C6265"/>
    <x v="881"/>
    <d v="2024-07-23T00:00:00"/>
    <x v="6"/>
    <x v="5"/>
    <s v="Snacks"/>
    <x v="8"/>
    <s v="Miami"/>
    <s v="Female"/>
    <n v="21"/>
    <n v="5"/>
    <n v="10"/>
    <s v="P855"/>
    <x v="1"/>
    <x v="4"/>
    <x v="3"/>
    <s v="Britannia"/>
    <n v="5"/>
    <n v="330.68"/>
    <n v="803.19"/>
    <n v="5"/>
    <s v="Q3"/>
    <n v="2024"/>
    <x v="4"/>
    <n v="1488.0600000000002"/>
    <n v="684.87000000000012"/>
  </r>
  <r>
    <s v="ORD00883"/>
    <d v="2024-08-16T00:00:00"/>
    <s v="C8517"/>
    <x v="882"/>
    <d v="2024-08-19T00:00:00"/>
    <x v="8"/>
    <x v="1"/>
    <s v="Shoes"/>
    <x v="7"/>
    <s v="Buffalo"/>
    <s v="Female"/>
    <n v="19"/>
    <n v="5"/>
    <n v="20"/>
    <s v="P763"/>
    <x v="1"/>
    <x v="3"/>
    <x v="2"/>
    <s v="Nike"/>
    <n v="2"/>
    <n v="466.54"/>
    <n v="1553.81"/>
    <n v="3"/>
    <s v="Q3"/>
    <n v="2024"/>
    <x v="11"/>
    <n v="1866.1600000000003"/>
    <n v="312.35000000000036"/>
  </r>
  <r>
    <s v="ORD00884"/>
    <d v="2025-11-25T00:00:00"/>
    <s v="C1481"/>
    <x v="883"/>
    <d v="2025-12-02T00:00:00"/>
    <x v="8"/>
    <x v="1"/>
    <s v="Shoes"/>
    <x v="17"/>
    <s v="Pittsburgh"/>
    <s v="Male"/>
    <n v="64"/>
    <n v="1"/>
    <n v="25"/>
    <s v="P766"/>
    <x v="0"/>
    <x v="1"/>
    <x v="1"/>
    <s v="Nike"/>
    <n v="5"/>
    <n v="410.52"/>
    <n v="173.45"/>
    <n v="7"/>
    <s v="Q4"/>
    <n v="2025"/>
    <x v="10"/>
    <n v="307.89"/>
    <n v="134.44"/>
  </r>
  <r>
    <s v="ORD00885"/>
    <d v="2025-06-13T00:00:00"/>
    <s v="C4333"/>
    <x v="884"/>
    <d v="2025-06-16T00:00:00"/>
    <x v="3"/>
    <x v="3"/>
    <s v="Kitchen"/>
    <x v="18"/>
    <s v="Nashville"/>
    <s v="Female"/>
    <n v="45"/>
    <n v="2"/>
    <n v="25"/>
    <s v="P666"/>
    <x v="1"/>
    <x v="3"/>
    <x v="3"/>
    <s v="Philips"/>
    <n v="3"/>
    <n v="33.08"/>
    <n v="33.93"/>
    <n v="3"/>
    <s v="Q2"/>
    <n v="2025"/>
    <x v="2"/>
    <n v="49.62"/>
    <n v="15.689999999999998"/>
  </r>
  <r>
    <s v="ORD00886"/>
    <d v="2025-06-27T00:00:00"/>
    <s v="C7549"/>
    <x v="885"/>
    <d v="2025-07-02T00:00:00"/>
    <x v="6"/>
    <x v="5"/>
    <s v="Snacks"/>
    <x v="21"/>
    <s v="Columbia"/>
    <s v="Male"/>
    <n v="44"/>
    <n v="5"/>
    <n v="5"/>
    <s v="P495"/>
    <x v="0"/>
    <x v="2"/>
    <x v="2"/>
    <s v="Britannia"/>
    <n v="2"/>
    <n v="686.49"/>
    <n v="1882.32"/>
    <n v="5"/>
    <s v="Q2"/>
    <n v="2025"/>
    <x v="2"/>
    <n v="3260.8274999999999"/>
    <n v="1378.5074999999999"/>
  </r>
  <r>
    <s v="ORD00887"/>
    <d v="2026-03-02T00:00:00"/>
    <s v="C9862"/>
    <x v="886"/>
    <d v="2026-03-05T00:00:00"/>
    <x v="9"/>
    <x v="0"/>
    <s v="Skincare"/>
    <x v="0"/>
    <s v="Boston"/>
    <s v="Female"/>
    <n v="40"/>
    <n v="2"/>
    <n v="0"/>
    <s v="P729"/>
    <x v="0"/>
    <x v="0"/>
    <x v="2"/>
    <s v="Nivea"/>
    <n v="5"/>
    <n v="183.67"/>
    <n v="303.39999999999998"/>
    <n v="3"/>
    <s v="Q1"/>
    <n v="2026"/>
    <x v="6"/>
    <n v="367.34"/>
    <n v="63.94"/>
  </r>
  <r>
    <s v="ORD00888"/>
    <d v="2026-05-20T00:00:00"/>
    <s v="C1846"/>
    <x v="887"/>
    <d v="2026-05-21T00:00:00"/>
    <x v="6"/>
    <x v="5"/>
    <s v="Snacks"/>
    <x v="17"/>
    <s v="Pittsburgh"/>
    <s v="Female"/>
    <n v="30"/>
    <n v="1"/>
    <n v="10"/>
    <s v="P796"/>
    <x v="1"/>
    <x v="2"/>
    <x v="1"/>
    <s v="Britannia"/>
    <n v="1"/>
    <n v="868.73"/>
    <n v="405.51"/>
    <n v="1"/>
    <s v="Q2"/>
    <n v="2026"/>
    <x v="9"/>
    <n v="781.85700000000008"/>
    <n v="376.34700000000009"/>
  </r>
  <r>
    <s v="ORD00889"/>
    <d v="2026-06-19T00:00:00"/>
    <s v="C1064"/>
    <x v="888"/>
    <d v="2026-06-24T00:00:00"/>
    <x v="6"/>
    <x v="5"/>
    <s v="Snacks"/>
    <x v="12"/>
    <s v="Grand Rapids"/>
    <s v="Female"/>
    <n v="25"/>
    <n v="4"/>
    <n v="20"/>
    <s v="P149"/>
    <x v="0"/>
    <x v="3"/>
    <x v="0"/>
    <s v="Britannia"/>
    <n v="3"/>
    <n v="609.62"/>
    <n v="1096.9000000000001"/>
    <n v="5"/>
    <s v="Q2"/>
    <n v="2026"/>
    <x v="2"/>
    <n v="1950.7840000000001"/>
    <n v="853.88400000000001"/>
  </r>
  <r>
    <s v="ORD00890"/>
    <d v="2024-08-24T00:00:00"/>
    <s v="C8151"/>
    <x v="889"/>
    <d v="2024-08-29T00:00:00"/>
    <x v="2"/>
    <x v="2"/>
    <s v="Fitness"/>
    <x v="10"/>
    <s v="Madison"/>
    <s v="Female"/>
    <n v="36"/>
    <n v="4"/>
    <n v="30"/>
    <s v="P951"/>
    <x v="2"/>
    <x v="2"/>
    <x v="3"/>
    <s v="Decathlon"/>
    <n v="3"/>
    <n v="251.47"/>
    <n v="521.29"/>
    <n v="5"/>
    <s v="Q3"/>
    <n v="2024"/>
    <x v="11"/>
    <n v="704.11599999999999"/>
    <n v="182.82600000000002"/>
  </r>
  <r>
    <s v="ORD00891"/>
    <d v="2024-12-21T00:00:00"/>
    <s v="C4227"/>
    <x v="890"/>
    <d v="2024-12-26T00:00:00"/>
    <x v="8"/>
    <x v="1"/>
    <s v="Shoes"/>
    <x v="1"/>
    <s v="San Francisco"/>
    <s v="Male"/>
    <n v="21"/>
    <n v="4"/>
    <n v="25"/>
    <s v="P205"/>
    <x v="2"/>
    <x v="0"/>
    <x v="2"/>
    <s v="Nike"/>
    <n v="4"/>
    <n v="888.12"/>
    <n v="1939.47"/>
    <n v="5"/>
    <s v="Q4"/>
    <n v="2024"/>
    <x v="7"/>
    <n v="2664.36"/>
    <n v="724.8900000000001"/>
  </r>
  <r>
    <s v="ORD00892"/>
    <d v="2024-05-14T00:00:00"/>
    <s v="C2275"/>
    <x v="891"/>
    <d v="2024-05-20T00:00:00"/>
    <x v="9"/>
    <x v="0"/>
    <s v="Skincare"/>
    <x v="18"/>
    <s v="Memphis"/>
    <s v="Male"/>
    <n v="63"/>
    <n v="4"/>
    <n v="25"/>
    <s v="P330"/>
    <x v="0"/>
    <x v="3"/>
    <x v="2"/>
    <s v="Nivea"/>
    <n v="1"/>
    <n v="120.4"/>
    <n v="219.84"/>
    <n v="6"/>
    <s v="Q2"/>
    <n v="2024"/>
    <x v="9"/>
    <n v="361.20000000000005"/>
    <n v="141.36000000000004"/>
  </r>
  <r>
    <s v="ORD00893"/>
    <d v="2025-04-23T00:00:00"/>
    <s v="C2671"/>
    <x v="892"/>
    <d v="2025-04-24T00:00:00"/>
    <x v="4"/>
    <x v="4"/>
    <s v="Mobile"/>
    <x v="4"/>
    <s v="Phoenix"/>
    <s v="Male"/>
    <n v="31"/>
    <n v="1"/>
    <n v="5"/>
    <s v="P339"/>
    <x v="0"/>
    <x v="1"/>
    <x v="0"/>
    <s v="Samsung"/>
    <n v="3"/>
    <n v="336.15"/>
    <n v="165.6"/>
    <n v="1"/>
    <s v="Q2"/>
    <n v="2025"/>
    <x v="3"/>
    <n v="319.34249999999997"/>
    <n v="153.74249999999998"/>
  </r>
  <r>
    <s v="ORD00894"/>
    <d v="2025-07-07T00:00:00"/>
    <s v="C6900"/>
    <x v="893"/>
    <d v="2025-07-09T00:00:00"/>
    <x v="7"/>
    <x v="4"/>
    <s v="Laptop"/>
    <x v="20"/>
    <s v="Virginia Beach"/>
    <s v="Male"/>
    <n v="28"/>
    <n v="4"/>
    <n v="5"/>
    <s v="P267"/>
    <x v="1"/>
    <x v="2"/>
    <x v="3"/>
    <s v="Dell"/>
    <n v="2"/>
    <n v="438.31"/>
    <n v="1389.1"/>
    <n v="2"/>
    <s v="Q3"/>
    <n v="2025"/>
    <x v="4"/>
    <n v="1665.578"/>
    <n v="276.47800000000007"/>
  </r>
  <r>
    <s v="ORD00895"/>
    <d v="2025-01-24T00:00:00"/>
    <s v="C8615"/>
    <x v="894"/>
    <d v="2025-01-26T00:00:00"/>
    <x v="6"/>
    <x v="5"/>
    <s v="Snacks"/>
    <x v="7"/>
    <s v="Albany"/>
    <s v="Female"/>
    <n v="55"/>
    <n v="1"/>
    <n v="10"/>
    <s v="P919"/>
    <x v="1"/>
    <x v="1"/>
    <x v="1"/>
    <s v="Britannia"/>
    <n v="3"/>
    <n v="65.400000000000006"/>
    <n v="31.25"/>
    <n v="2"/>
    <s v="Q1"/>
    <n v="2025"/>
    <x v="0"/>
    <n v="58.860000000000007"/>
    <n v="27.610000000000007"/>
  </r>
  <r>
    <s v="ORD00896"/>
    <d v="2025-10-29T00:00:00"/>
    <s v="C9608"/>
    <x v="895"/>
    <d v="2025-11-04T00:00:00"/>
    <x v="9"/>
    <x v="0"/>
    <s v="Skincare"/>
    <x v="1"/>
    <s v="Los Angeles"/>
    <s v="Female"/>
    <n v="18"/>
    <n v="1"/>
    <n v="30"/>
    <s v="P143"/>
    <x v="1"/>
    <x v="3"/>
    <x v="0"/>
    <s v="Nivea"/>
    <n v="2"/>
    <n v="10.08"/>
    <n v="4.7699999999999996"/>
    <n v="6"/>
    <s v="Q4"/>
    <n v="2025"/>
    <x v="8"/>
    <n v="7.0559999999999992"/>
    <n v="2.2859999999999996"/>
  </r>
  <r>
    <s v="ORD00897"/>
    <d v="2024-08-21T00:00:00"/>
    <s v="C8942"/>
    <x v="896"/>
    <d v="2024-08-24T00:00:00"/>
    <x v="8"/>
    <x v="1"/>
    <s v="Shoes"/>
    <x v="18"/>
    <s v="Memphis"/>
    <s v="Female"/>
    <n v="24"/>
    <n v="3"/>
    <n v="30"/>
    <s v="P941"/>
    <x v="0"/>
    <x v="0"/>
    <x v="2"/>
    <s v="Nike"/>
    <n v="4"/>
    <n v="470.12"/>
    <n v="642.30999999999995"/>
    <n v="3"/>
    <s v="Q3"/>
    <n v="2024"/>
    <x v="11"/>
    <n v="987.25200000000007"/>
    <n v="344.94200000000012"/>
  </r>
  <r>
    <s v="ORD00898"/>
    <d v="2024-05-22T00:00:00"/>
    <s v="C2773"/>
    <x v="897"/>
    <d v="2024-05-25T00:00:00"/>
    <x v="5"/>
    <x v="3"/>
    <s v="Furniture"/>
    <x v="22"/>
    <s v="Naperville"/>
    <s v="Female"/>
    <n v="23"/>
    <n v="4"/>
    <n v="30"/>
    <s v="P707"/>
    <x v="0"/>
    <x v="4"/>
    <x v="3"/>
    <s v="IKEA"/>
    <n v="3"/>
    <n v="853.2"/>
    <n v="1932.7"/>
    <n v="3"/>
    <s v="Q2"/>
    <n v="2024"/>
    <x v="9"/>
    <n v="2388.96"/>
    <n v="456.26"/>
  </r>
  <r>
    <s v="ORD00899"/>
    <d v="2025-07-02T00:00:00"/>
    <s v="C5813"/>
    <x v="898"/>
    <d v="2025-07-04T00:00:00"/>
    <x v="9"/>
    <x v="0"/>
    <s v="Skincare"/>
    <x v="20"/>
    <s v="Richmond"/>
    <s v="Female"/>
    <n v="19"/>
    <n v="3"/>
    <n v="30"/>
    <s v="P269"/>
    <x v="2"/>
    <x v="0"/>
    <x v="2"/>
    <s v="Nivea"/>
    <n v="3"/>
    <n v="239.49"/>
    <n v="395.88"/>
    <n v="2"/>
    <s v="Q3"/>
    <n v="2025"/>
    <x v="4"/>
    <n v="502.92899999999997"/>
    <n v="107.04899999999998"/>
  </r>
  <r>
    <s v="ORD00900"/>
    <d v="2025-06-20T00:00:00"/>
    <s v="C2124"/>
    <x v="899"/>
    <d v="2025-06-21T00:00:00"/>
    <x v="9"/>
    <x v="0"/>
    <s v="Skincare"/>
    <x v="2"/>
    <s v="Cleveland"/>
    <s v="Male"/>
    <n v="18"/>
    <n v="3"/>
    <n v="5"/>
    <s v="P598"/>
    <x v="0"/>
    <x v="2"/>
    <x v="2"/>
    <s v="Nivea"/>
    <n v="4"/>
    <n v="376.63"/>
    <n v="756.52"/>
    <n v="1"/>
    <s v="Q2"/>
    <n v="2025"/>
    <x v="2"/>
    <n v="1073.3954999999999"/>
    <n v="316.87549999999987"/>
  </r>
  <r>
    <s v="ORD00901"/>
    <d v="2024-09-22T00:00:00"/>
    <s v="C4087"/>
    <x v="900"/>
    <d v="2024-09-28T00:00:00"/>
    <x v="3"/>
    <x v="3"/>
    <s v="Kitchen"/>
    <x v="7"/>
    <s v="New York"/>
    <s v="Female"/>
    <n v="18"/>
    <n v="1"/>
    <n v="20"/>
    <s v="P689"/>
    <x v="1"/>
    <x v="4"/>
    <x v="2"/>
    <s v="Philips"/>
    <n v="5"/>
    <n v="755.98"/>
    <n v="441.87"/>
    <n v="6"/>
    <s v="Q3"/>
    <n v="2024"/>
    <x v="1"/>
    <n v="604.78399999999999"/>
    <n v="162.91399999999999"/>
  </r>
  <r>
    <s v="ORD00902"/>
    <d v="2025-05-01T00:00:00"/>
    <s v="C9224"/>
    <x v="901"/>
    <d v="2025-05-07T00:00:00"/>
    <x v="2"/>
    <x v="2"/>
    <s v="Fitness"/>
    <x v="3"/>
    <s v="Dallas"/>
    <s v="Male"/>
    <n v="45"/>
    <n v="5"/>
    <n v="30"/>
    <s v="P126"/>
    <x v="2"/>
    <x v="3"/>
    <x v="3"/>
    <s v="Decathlon"/>
    <n v="4"/>
    <n v="181.78"/>
    <n v="397.47"/>
    <n v="6"/>
    <s v="Q2"/>
    <n v="2025"/>
    <x v="9"/>
    <n v="636.2299999999999"/>
    <n v="238.75999999999988"/>
  </r>
  <r>
    <s v="ORD00903"/>
    <d v="2025-10-06T00:00:00"/>
    <s v="C4538"/>
    <x v="902"/>
    <d v="2025-10-09T00:00:00"/>
    <x v="9"/>
    <x v="0"/>
    <s v="Skincare"/>
    <x v="18"/>
    <s v="Nashville"/>
    <s v="Male"/>
    <n v="19"/>
    <n v="4"/>
    <n v="20"/>
    <s v="P167"/>
    <x v="1"/>
    <x v="4"/>
    <x v="2"/>
    <s v="Nivea"/>
    <n v="5"/>
    <n v="821.26"/>
    <n v="1844.65"/>
    <n v="3"/>
    <s v="Q4"/>
    <n v="2025"/>
    <x v="8"/>
    <n v="2628.0320000000002"/>
    <n v="783.38200000000006"/>
  </r>
  <r>
    <s v="ORD00904"/>
    <d v="2026-05-27T00:00:00"/>
    <s v="C7597"/>
    <x v="903"/>
    <d v="2026-06-01T00:00:00"/>
    <x v="1"/>
    <x v="1"/>
    <s v="Shirt"/>
    <x v="22"/>
    <s v="Springfield"/>
    <s v="Male"/>
    <n v="24"/>
    <n v="4"/>
    <n v="20"/>
    <s v="P411"/>
    <x v="0"/>
    <x v="2"/>
    <x v="2"/>
    <s v="Puma"/>
    <n v="3"/>
    <n v="944.43"/>
    <n v="1725.53"/>
    <n v="5"/>
    <s v="Q2"/>
    <n v="2026"/>
    <x v="9"/>
    <n v="3022.1759999999999"/>
    <n v="1296.646"/>
  </r>
  <r>
    <s v="ORD00905"/>
    <d v="2025-02-09T00:00:00"/>
    <s v="C1197"/>
    <x v="904"/>
    <d v="2025-02-14T00:00:00"/>
    <x v="7"/>
    <x v="4"/>
    <s v="Laptop"/>
    <x v="20"/>
    <s v="Virginia Beach"/>
    <s v="Male"/>
    <n v="27"/>
    <n v="3"/>
    <n v="5"/>
    <s v="P690"/>
    <x v="1"/>
    <x v="2"/>
    <x v="1"/>
    <s v="Dell"/>
    <n v="4"/>
    <n v="425"/>
    <n v="788.91"/>
    <n v="5"/>
    <s v="Q1"/>
    <n v="2025"/>
    <x v="5"/>
    <n v="1211.25"/>
    <n v="422.34000000000003"/>
  </r>
  <r>
    <s v="ORD00906"/>
    <d v="2025-04-08T00:00:00"/>
    <s v="C1858"/>
    <x v="905"/>
    <d v="2025-04-10T00:00:00"/>
    <x v="5"/>
    <x v="3"/>
    <s v="Furniture"/>
    <x v="7"/>
    <s v="New York"/>
    <s v="Female"/>
    <n v="21"/>
    <n v="1"/>
    <n v="15"/>
    <s v="P479"/>
    <x v="1"/>
    <x v="2"/>
    <x v="2"/>
    <s v="IKEA"/>
    <n v="3"/>
    <n v="110.47"/>
    <n v="54.28"/>
    <n v="2"/>
    <s v="Q2"/>
    <n v="2025"/>
    <x v="3"/>
    <n v="93.899500000000003"/>
    <n v="39.619500000000002"/>
  </r>
  <r>
    <s v="ORD00907"/>
    <d v="2024-04-01T00:00:00"/>
    <s v="C4086"/>
    <x v="906"/>
    <d v="2024-04-07T00:00:00"/>
    <x v="4"/>
    <x v="4"/>
    <s v="Mobile"/>
    <x v="2"/>
    <s v="Columbus"/>
    <s v="Male"/>
    <n v="23"/>
    <n v="2"/>
    <n v="30"/>
    <s v="P566"/>
    <x v="0"/>
    <x v="3"/>
    <x v="1"/>
    <s v="Samsung"/>
    <n v="1"/>
    <n v="442.83"/>
    <n v="416.21"/>
    <n v="6"/>
    <s v="Q2"/>
    <n v="2024"/>
    <x v="3"/>
    <n v="619.96199999999999"/>
    <n v="203.75200000000001"/>
  </r>
  <r>
    <s v="ORD00908"/>
    <d v="2024-05-26T00:00:00"/>
    <s v="C4558"/>
    <x v="907"/>
    <d v="2024-05-28T00:00:00"/>
    <x v="9"/>
    <x v="0"/>
    <s v="Skincare"/>
    <x v="4"/>
    <s v="Phoenix"/>
    <s v="Male"/>
    <n v="38"/>
    <n v="1"/>
    <n v="5"/>
    <s v="P714"/>
    <x v="0"/>
    <x v="4"/>
    <x v="2"/>
    <s v="Nivea"/>
    <n v="5"/>
    <n v="333.15"/>
    <n v="170.72"/>
    <n v="2"/>
    <s v="Q2"/>
    <n v="2024"/>
    <x v="9"/>
    <n v="316.49249999999995"/>
    <n v="145.77249999999995"/>
  </r>
  <r>
    <s v="ORD00909"/>
    <d v="2024-05-14T00:00:00"/>
    <s v="C7243"/>
    <x v="908"/>
    <d v="2024-05-16T00:00:00"/>
    <x v="6"/>
    <x v="5"/>
    <s v="Snacks"/>
    <x v="19"/>
    <s v="Baltimore"/>
    <s v="Male"/>
    <n v="18"/>
    <n v="2"/>
    <n v="25"/>
    <s v="P804"/>
    <x v="0"/>
    <x v="2"/>
    <x v="0"/>
    <s v="Britannia"/>
    <n v="4"/>
    <n v="330.65"/>
    <n v="298.55"/>
    <n v="2"/>
    <s v="Q2"/>
    <n v="2024"/>
    <x v="9"/>
    <n v="495.97499999999997"/>
    <n v="197.42499999999995"/>
  </r>
  <r>
    <s v="ORD00910"/>
    <d v="2026-05-03T00:00:00"/>
    <s v="C2608"/>
    <x v="909"/>
    <d v="2026-05-07T00:00:00"/>
    <x v="2"/>
    <x v="2"/>
    <s v="Fitness"/>
    <x v="5"/>
    <s v="Indianapolis"/>
    <s v="Female"/>
    <n v="58"/>
    <n v="1"/>
    <n v="10"/>
    <s v="P737"/>
    <x v="1"/>
    <x v="0"/>
    <x v="0"/>
    <s v="Decathlon"/>
    <n v="3"/>
    <n v="291.77999999999997"/>
    <n v="179.16"/>
    <n v="4"/>
    <s v="Q2"/>
    <n v="2026"/>
    <x v="9"/>
    <n v="262.60199999999998"/>
    <n v="83.441999999999979"/>
  </r>
  <r>
    <s v="ORD00911"/>
    <d v="2024-02-09T00:00:00"/>
    <s v="C3773"/>
    <x v="910"/>
    <d v="2024-02-12T00:00:00"/>
    <x v="2"/>
    <x v="2"/>
    <s v="Fitness"/>
    <x v="0"/>
    <s v="Cambridge"/>
    <s v="Male"/>
    <n v="53"/>
    <n v="1"/>
    <n v="20"/>
    <s v="P500"/>
    <x v="2"/>
    <x v="4"/>
    <x v="1"/>
    <s v="Decathlon"/>
    <n v="3"/>
    <n v="374.37"/>
    <n v="184.68"/>
    <n v="3"/>
    <s v="Q1"/>
    <n v="2024"/>
    <x v="5"/>
    <n v="299.49600000000004"/>
    <n v="114.81600000000003"/>
  </r>
  <r>
    <s v="ORD00912"/>
    <d v="2025-07-28T00:00:00"/>
    <s v="C3408"/>
    <x v="911"/>
    <d v="2025-08-02T00:00:00"/>
    <x v="9"/>
    <x v="0"/>
    <s v="Skincare"/>
    <x v="1"/>
    <s v="San Francisco"/>
    <s v="Male"/>
    <n v="45"/>
    <n v="2"/>
    <n v="20"/>
    <s v="P713"/>
    <x v="0"/>
    <x v="2"/>
    <x v="3"/>
    <s v="Nivea"/>
    <n v="3"/>
    <n v="967.55"/>
    <n v="1088.5"/>
    <n v="5"/>
    <s v="Q3"/>
    <n v="2025"/>
    <x v="4"/>
    <n v="1548.08"/>
    <n v="459.57999999999993"/>
  </r>
  <r>
    <s v="ORD00913"/>
    <d v="2025-03-15T00:00:00"/>
    <s v="C8921"/>
    <x v="912"/>
    <d v="2025-03-19T00:00:00"/>
    <x v="3"/>
    <x v="3"/>
    <s v="Kitchen"/>
    <x v="4"/>
    <s v="Phoenix"/>
    <s v="Male"/>
    <n v="55"/>
    <n v="1"/>
    <n v="25"/>
    <s v="P740"/>
    <x v="0"/>
    <x v="2"/>
    <x v="2"/>
    <s v="Philips"/>
    <n v="5"/>
    <n v="367.91"/>
    <n v="204.33"/>
    <n v="4"/>
    <s v="Q1"/>
    <n v="2025"/>
    <x v="6"/>
    <n v="275.9325"/>
    <n v="71.602499999999992"/>
  </r>
  <r>
    <s v="ORD00914"/>
    <d v="2025-11-10T00:00:00"/>
    <s v="C4797"/>
    <x v="913"/>
    <d v="2025-11-17T00:00:00"/>
    <x v="3"/>
    <x v="3"/>
    <s v="Kitchen"/>
    <x v="8"/>
    <s v="Miami"/>
    <s v="Female"/>
    <n v="61"/>
    <n v="1"/>
    <n v="10"/>
    <s v="P801"/>
    <x v="1"/>
    <x v="2"/>
    <x v="0"/>
    <s v="Philips"/>
    <n v="2"/>
    <n v="73.37"/>
    <n v="38.299999999999997"/>
    <n v="7"/>
    <s v="Q4"/>
    <n v="2025"/>
    <x v="10"/>
    <n v="66.033000000000001"/>
    <n v="27.733000000000004"/>
  </r>
  <r>
    <s v="ORD00915"/>
    <d v="2025-01-22T00:00:00"/>
    <s v="C3276"/>
    <x v="914"/>
    <d v="2025-01-23T00:00:00"/>
    <x v="7"/>
    <x v="4"/>
    <s v="Laptop"/>
    <x v="17"/>
    <s v="Philadelphia"/>
    <s v="Male"/>
    <n v="37"/>
    <n v="4"/>
    <n v="5"/>
    <s v="P475"/>
    <x v="0"/>
    <x v="0"/>
    <x v="0"/>
    <s v="Dell"/>
    <n v="3"/>
    <n v="358.62"/>
    <n v="739.11"/>
    <n v="1"/>
    <s v="Q1"/>
    <n v="2025"/>
    <x v="0"/>
    <n v="1362.7559999999999"/>
    <n v="623.64599999999984"/>
  </r>
  <r>
    <s v="ORD00916"/>
    <d v="2024-01-22T00:00:00"/>
    <s v="C8845"/>
    <x v="915"/>
    <d v="2024-01-27T00:00:00"/>
    <x v="9"/>
    <x v="0"/>
    <s v="Skincare"/>
    <x v="22"/>
    <s v="Springfield"/>
    <s v="Female"/>
    <n v="34"/>
    <n v="4"/>
    <n v="5"/>
    <s v="P861"/>
    <x v="0"/>
    <x v="4"/>
    <x v="0"/>
    <s v="Nivea"/>
    <n v="1"/>
    <n v="802.89"/>
    <n v="1746.36"/>
    <n v="5"/>
    <s v="Q1"/>
    <n v="2024"/>
    <x v="0"/>
    <n v="3050.982"/>
    <n v="1304.6220000000001"/>
  </r>
  <r>
    <s v="ORD00917"/>
    <d v="2024-05-12T00:00:00"/>
    <s v="C1886"/>
    <x v="916"/>
    <d v="2024-05-13T00:00:00"/>
    <x v="2"/>
    <x v="2"/>
    <s v="Fitness"/>
    <x v="7"/>
    <s v="New York"/>
    <s v="Male"/>
    <n v="41"/>
    <n v="5"/>
    <n v="5"/>
    <s v="P329"/>
    <x v="0"/>
    <x v="0"/>
    <x v="2"/>
    <s v="Decathlon"/>
    <n v="5"/>
    <n v="586.54999999999995"/>
    <n v="1620.6"/>
    <n v="1"/>
    <s v="Q2"/>
    <n v="2024"/>
    <x v="9"/>
    <n v="2786.1124999999997"/>
    <n v="1165.5124999999998"/>
  </r>
  <r>
    <s v="ORD00918"/>
    <d v="2025-01-31T00:00:00"/>
    <s v="C9856"/>
    <x v="917"/>
    <d v="2025-02-04T00:00:00"/>
    <x v="9"/>
    <x v="0"/>
    <s v="Skincare"/>
    <x v="22"/>
    <s v="Springfield"/>
    <s v="Male"/>
    <n v="57"/>
    <n v="4"/>
    <n v="10"/>
    <s v="P318"/>
    <x v="2"/>
    <x v="2"/>
    <x v="1"/>
    <s v="Nivea"/>
    <n v="3"/>
    <n v="447.01"/>
    <n v="1252.56"/>
    <n v="4"/>
    <s v="Q1"/>
    <n v="2025"/>
    <x v="0"/>
    <n v="1609.2360000000001"/>
    <n v="356.67600000000016"/>
  </r>
  <r>
    <s v="ORD00919"/>
    <d v="2024-01-17T00:00:00"/>
    <s v="C3974"/>
    <x v="918"/>
    <d v="2024-01-19T00:00:00"/>
    <x v="1"/>
    <x v="1"/>
    <s v="Shirt"/>
    <x v="6"/>
    <s v="Greensboro"/>
    <s v="Female"/>
    <n v="20"/>
    <n v="5"/>
    <n v="10"/>
    <s v="P112"/>
    <x v="2"/>
    <x v="1"/>
    <x v="1"/>
    <s v="Puma"/>
    <n v="5"/>
    <n v="450.15"/>
    <n v="1647.09"/>
    <n v="2"/>
    <s v="Q1"/>
    <n v="2024"/>
    <x v="0"/>
    <n v="2025.675"/>
    <n v="378.58500000000004"/>
  </r>
  <r>
    <s v="ORD00920"/>
    <d v="2026-01-07T00:00:00"/>
    <s v="C1452"/>
    <x v="919"/>
    <d v="2026-01-09T00:00:00"/>
    <x v="2"/>
    <x v="2"/>
    <s v="Fitness"/>
    <x v="6"/>
    <s v="Greensboro"/>
    <s v="Female"/>
    <n v="48"/>
    <n v="5"/>
    <n v="0"/>
    <s v="P699"/>
    <x v="2"/>
    <x v="2"/>
    <x v="0"/>
    <s v="Decathlon"/>
    <n v="4"/>
    <n v="262.91000000000003"/>
    <n v="1106.19"/>
    <n v="2"/>
    <s v="Q1"/>
    <n v="2026"/>
    <x v="0"/>
    <n v="1314.5500000000002"/>
    <n v="208.36000000000013"/>
  </r>
  <r>
    <s v="ORD00921"/>
    <d v="2024-11-19T00:00:00"/>
    <s v="C1089"/>
    <x v="920"/>
    <d v="2024-11-22T00:00:00"/>
    <x v="6"/>
    <x v="5"/>
    <s v="Snacks"/>
    <x v="7"/>
    <s v="Albany"/>
    <s v="Male"/>
    <n v="43"/>
    <n v="3"/>
    <n v="15"/>
    <s v="P481"/>
    <x v="1"/>
    <x v="2"/>
    <x v="0"/>
    <s v="Britannia"/>
    <n v="5"/>
    <n v="394.92"/>
    <n v="672.66"/>
    <n v="3"/>
    <s v="Q4"/>
    <n v="2024"/>
    <x v="10"/>
    <n v="1007.0459999999999"/>
    <n v="334.38599999999997"/>
  </r>
  <r>
    <s v="ORD00922"/>
    <d v="2026-04-26T00:00:00"/>
    <s v="C9488"/>
    <x v="921"/>
    <d v="2026-04-29T00:00:00"/>
    <x v="6"/>
    <x v="5"/>
    <s v="Snacks"/>
    <x v="22"/>
    <s v="Springfield"/>
    <s v="Female"/>
    <n v="21"/>
    <n v="2"/>
    <n v="25"/>
    <s v="P282"/>
    <x v="2"/>
    <x v="0"/>
    <x v="1"/>
    <s v="Britannia"/>
    <n v="5"/>
    <n v="724.07"/>
    <n v="716.26"/>
    <n v="3"/>
    <s v="Q2"/>
    <n v="2026"/>
    <x v="3"/>
    <n v="1086.105"/>
    <n v="369.84500000000003"/>
  </r>
  <r>
    <s v="ORD00923"/>
    <d v="2025-08-04T00:00:00"/>
    <s v="C4029"/>
    <x v="922"/>
    <d v="2025-08-10T00:00:00"/>
    <x v="7"/>
    <x v="4"/>
    <s v="Laptop"/>
    <x v="0"/>
    <s v="Boston"/>
    <s v="Male"/>
    <n v="42"/>
    <n v="4"/>
    <n v="5"/>
    <s v="P735"/>
    <x v="0"/>
    <x v="4"/>
    <x v="3"/>
    <s v="Dell"/>
    <n v="4"/>
    <n v="940.18"/>
    <n v="2707.63"/>
    <n v="6"/>
    <s v="Q3"/>
    <n v="2025"/>
    <x v="11"/>
    <n v="3572.6839999999997"/>
    <n v="865.05399999999963"/>
  </r>
  <r>
    <s v="ORD00924"/>
    <d v="2025-11-30T00:00:00"/>
    <s v="C2033"/>
    <x v="923"/>
    <d v="2025-12-04T00:00:00"/>
    <x v="3"/>
    <x v="3"/>
    <s v="Kitchen"/>
    <x v="3"/>
    <s v="Houston"/>
    <s v="Female"/>
    <n v="27"/>
    <n v="3"/>
    <n v="15"/>
    <s v="P813"/>
    <x v="1"/>
    <x v="1"/>
    <x v="0"/>
    <s v="Philips"/>
    <n v="3"/>
    <n v="937.03"/>
    <n v="1768.64"/>
    <n v="4"/>
    <s v="Q4"/>
    <n v="2025"/>
    <x v="10"/>
    <n v="2389.4265"/>
    <n v="620.78649999999993"/>
  </r>
  <r>
    <s v="ORD00925"/>
    <d v="2025-07-08T00:00:00"/>
    <s v="C6573"/>
    <x v="924"/>
    <d v="2025-07-12T00:00:00"/>
    <x v="4"/>
    <x v="4"/>
    <s v="Mobile"/>
    <x v="18"/>
    <s v="Nashville"/>
    <s v="Female"/>
    <n v="28"/>
    <n v="2"/>
    <n v="10"/>
    <s v="P967"/>
    <x v="2"/>
    <x v="0"/>
    <x v="3"/>
    <s v="Samsung"/>
    <n v="4"/>
    <n v="910.98"/>
    <n v="1184.8499999999999"/>
    <n v="4"/>
    <s v="Q3"/>
    <n v="2025"/>
    <x v="4"/>
    <n v="1639.7640000000001"/>
    <n v="454.91400000000021"/>
  </r>
  <r>
    <s v="ORD00926"/>
    <d v="2024-04-01T00:00:00"/>
    <s v="C4949"/>
    <x v="925"/>
    <d v="2024-04-07T00:00:00"/>
    <x v="9"/>
    <x v="0"/>
    <s v="Skincare"/>
    <x v="3"/>
    <s v="San Antonio"/>
    <s v="Female"/>
    <n v="36"/>
    <n v="3"/>
    <n v="5"/>
    <s v="P364"/>
    <x v="1"/>
    <x v="2"/>
    <x v="1"/>
    <s v="Nivea"/>
    <n v="5"/>
    <n v="252.82"/>
    <n v="447.42"/>
    <n v="6"/>
    <s v="Q2"/>
    <n v="2024"/>
    <x v="3"/>
    <n v="720.53700000000003"/>
    <n v="273.11700000000002"/>
  </r>
  <r>
    <s v="ORD00927"/>
    <d v="2025-01-14T00:00:00"/>
    <s v="C2792"/>
    <x v="926"/>
    <d v="2025-01-20T00:00:00"/>
    <x v="5"/>
    <x v="3"/>
    <s v="Furniture"/>
    <x v="0"/>
    <s v="Cambridge"/>
    <s v="Male"/>
    <n v="58"/>
    <n v="2"/>
    <n v="30"/>
    <s v="P943"/>
    <x v="1"/>
    <x v="0"/>
    <x v="0"/>
    <s v="IKEA"/>
    <n v="2"/>
    <n v="356.26"/>
    <n v="308.16000000000003"/>
    <n v="6"/>
    <s v="Q1"/>
    <n v="2025"/>
    <x v="0"/>
    <n v="498.76399999999995"/>
    <n v="190.60399999999993"/>
  </r>
  <r>
    <s v="ORD00928"/>
    <d v="2025-07-13T00:00:00"/>
    <s v="C8217"/>
    <x v="927"/>
    <d v="2025-07-16T00:00:00"/>
    <x v="4"/>
    <x v="4"/>
    <s v="Mobile"/>
    <x v="8"/>
    <s v="Orlando"/>
    <s v="Male"/>
    <n v="58"/>
    <n v="3"/>
    <n v="10"/>
    <s v="P987"/>
    <x v="1"/>
    <x v="4"/>
    <x v="1"/>
    <s v="Samsung"/>
    <n v="1"/>
    <n v="418.12"/>
    <n v="685.76"/>
    <n v="3"/>
    <s v="Q3"/>
    <n v="2025"/>
    <x v="4"/>
    <n v="1128.9240000000002"/>
    <n v="443.16400000000021"/>
  </r>
  <r>
    <s v="ORD00929"/>
    <d v="2025-02-01T00:00:00"/>
    <s v="C8499"/>
    <x v="928"/>
    <d v="2025-02-08T00:00:00"/>
    <x v="6"/>
    <x v="5"/>
    <s v="Snacks"/>
    <x v="15"/>
    <s v="Colorado Springs"/>
    <s v="Male"/>
    <n v="32"/>
    <n v="2"/>
    <n v="0"/>
    <s v="P950"/>
    <x v="2"/>
    <x v="2"/>
    <x v="3"/>
    <s v="Britannia"/>
    <n v="3"/>
    <n v="554.15"/>
    <n v="813.15"/>
    <n v="7"/>
    <s v="Q1"/>
    <n v="2025"/>
    <x v="5"/>
    <n v="1108.3"/>
    <n v="295.14999999999998"/>
  </r>
  <r>
    <s v="ORD00930"/>
    <d v="2024-05-15T00:00:00"/>
    <s v="C6702"/>
    <x v="929"/>
    <d v="2024-05-19T00:00:00"/>
    <x v="5"/>
    <x v="3"/>
    <s v="Furniture"/>
    <x v="1"/>
    <s v="Los Angeles"/>
    <s v="Female"/>
    <n v="39"/>
    <n v="3"/>
    <n v="25"/>
    <s v="P895"/>
    <x v="2"/>
    <x v="3"/>
    <x v="2"/>
    <s v="IKEA"/>
    <n v="1"/>
    <n v="680.97"/>
    <n v="1178.71"/>
    <n v="4"/>
    <s v="Q2"/>
    <n v="2024"/>
    <x v="9"/>
    <n v="1532.1825000000001"/>
    <n v="353.47250000000008"/>
  </r>
  <r>
    <s v="ORD00931"/>
    <d v="2024-09-27T00:00:00"/>
    <s v="C6462"/>
    <x v="930"/>
    <d v="2024-10-01T00:00:00"/>
    <x v="4"/>
    <x v="4"/>
    <s v="Mobile"/>
    <x v="12"/>
    <s v="Detroit"/>
    <s v="Male"/>
    <n v="45"/>
    <n v="2"/>
    <n v="15"/>
    <s v="P294"/>
    <x v="0"/>
    <x v="1"/>
    <x v="2"/>
    <s v="Samsung"/>
    <n v="1"/>
    <n v="256.25"/>
    <n v="224.44"/>
    <n v="4"/>
    <s v="Q3"/>
    <n v="2024"/>
    <x v="1"/>
    <n v="435.625"/>
    <n v="211.185"/>
  </r>
  <r>
    <s v="ORD00932"/>
    <d v="2025-11-10T00:00:00"/>
    <s v="C3212"/>
    <x v="833"/>
    <d v="2025-11-17T00:00:00"/>
    <x v="9"/>
    <x v="0"/>
    <s v="Skincare"/>
    <x v="14"/>
    <s v="Springfield"/>
    <s v="Male"/>
    <n v="44"/>
    <n v="1"/>
    <n v="10"/>
    <s v="P916"/>
    <x v="0"/>
    <x v="3"/>
    <x v="1"/>
    <s v="Nivea"/>
    <n v="1"/>
    <n v="340.44"/>
    <n v="186.83"/>
    <n v="7"/>
    <s v="Q4"/>
    <n v="2025"/>
    <x v="10"/>
    <n v="306.39600000000002"/>
    <n v="119.566"/>
  </r>
  <r>
    <s v="ORD00933"/>
    <d v="2025-04-16T00:00:00"/>
    <s v="C9874"/>
    <x v="834"/>
    <d v="2025-04-21T00:00:00"/>
    <x v="3"/>
    <x v="3"/>
    <s v="Kitchen"/>
    <x v="3"/>
    <s v="San Antonio"/>
    <s v="Male"/>
    <n v="58"/>
    <n v="5"/>
    <n v="0"/>
    <s v="P144"/>
    <x v="0"/>
    <x v="1"/>
    <x v="2"/>
    <s v="Philips"/>
    <n v="2"/>
    <n v="674.64"/>
    <n v="1988.82"/>
    <n v="5"/>
    <s v="Q2"/>
    <n v="2025"/>
    <x v="3"/>
    <n v="3373.2"/>
    <n v="1384.3799999999999"/>
  </r>
  <r>
    <s v="ORD00934"/>
    <d v="2025-11-21T00:00:00"/>
    <s v="C2271"/>
    <x v="835"/>
    <d v="2025-11-25T00:00:00"/>
    <x v="1"/>
    <x v="1"/>
    <s v="Shirt"/>
    <x v="0"/>
    <s v="Worcester"/>
    <s v="Male"/>
    <n v="50"/>
    <n v="4"/>
    <n v="25"/>
    <s v="P604"/>
    <x v="1"/>
    <x v="0"/>
    <x v="3"/>
    <s v="Puma"/>
    <n v="1"/>
    <n v="637.44000000000005"/>
    <n v="1555.32"/>
    <n v="4"/>
    <s v="Q4"/>
    <n v="2025"/>
    <x v="10"/>
    <n v="1912.3200000000002"/>
    <n v="357.00000000000023"/>
  </r>
  <r>
    <s v="ORD00935"/>
    <d v="2024-09-17T00:00:00"/>
    <s v="C6224"/>
    <x v="836"/>
    <d v="2024-09-23T00:00:00"/>
    <x v="5"/>
    <x v="3"/>
    <s v="Furniture"/>
    <x v="6"/>
    <s v="Raleigh"/>
    <s v="Male"/>
    <n v="53"/>
    <n v="4"/>
    <n v="5"/>
    <s v="P931"/>
    <x v="1"/>
    <x v="0"/>
    <x v="3"/>
    <s v="IKEA"/>
    <n v="3"/>
    <n v="800.88"/>
    <n v="1889.51"/>
    <n v="6"/>
    <s v="Q3"/>
    <n v="2024"/>
    <x v="1"/>
    <n v="3043.3440000000001"/>
    <n v="1153.8340000000001"/>
  </r>
  <r>
    <s v="ORD00936"/>
    <d v="2025-09-23T00:00:00"/>
    <s v="C6809"/>
    <x v="837"/>
    <d v="2025-09-24T00:00:00"/>
    <x v="5"/>
    <x v="3"/>
    <s v="Furniture"/>
    <x v="5"/>
    <s v="Fort Wayne"/>
    <s v="Male"/>
    <n v="24"/>
    <n v="3"/>
    <n v="20"/>
    <s v="P256"/>
    <x v="1"/>
    <x v="1"/>
    <x v="1"/>
    <s v="IKEA"/>
    <n v="1"/>
    <n v="217.31"/>
    <n v="373.2"/>
    <n v="1"/>
    <s v="Q3"/>
    <n v="2025"/>
    <x v="1"/>
    <n v="521.5440000000001"/>
    <n v="148.34400000000011"/>
  </r>
  <r>
    <s v="ORD00937"/>
    <d v="2024-01-05T00:00:00"/>
    <s v="C6145"/>
    <x v="838"/>
    <d v="2024-01-09T00:00:00"/>
    <x v="6"/>
    <x v="5"/>
    <s v="Snacks"/>
    <x v="3"/>
    <s v="Dallas"/>
    <s v="Female"/>
    <n v="45"/>
    <n v="2"/>
    <n v="30"/>
    <s v="P294"/>
    <x v="2"/>
    <x v="2"/>
    <x v="0"/>
    <s v="Britannia"/>
    <n v="5"/>
    <n v="242.03"/>
    <n v="213.33"/>
    <n v="4"/>
    <s v="Q1"/>
    <n v="2024"/>
    <x v="0"/>
    <n v="338.84199999999998"/>
    <n v="125.51199999999997"/>
  </r>
  <r>
    <s v="ORD00938"/>
    <d v="2025-10-03T00:00:00"/>
    <s v="C4560"/>
    <x v="839"/>
    <d v="2025-10-09T00:00:00"/>
    <x v="8"/>
    <x v="1"/>
    <s v="Shoes"/>
    <x v="22"/>
    <s v="Springfield"/>
    <s v="Female"/>
    <n v="38"/>
    <n v="5"/>
    <n v="10"/>
    <s v="P374"/>
    <x v="1"/>
    <x v="0"/>
    <x v="3"/>
    <s v="Nike"/>
    <n v="4"/>
    <n v="335.53"/>
    <n v="1155.73"/>
    <n v="6"/>
    <s v="Q4"/>
    <n v="2025"/>
    <x v="8"/>
    <n v="1509.885"/>
    <n v="354.15499999999997"/>
  </r>
  <r>
    <s v="ORD00939"/>
    <d v="2025-03-17T00:00:00"/>
    <s v="C3138"/>
    <x v="840"/>
    <d v="2025-03-24T00:00:00"/>
    <x v="1"/>
    <x v="1"/>
    <s v="Shirt"/>
    <x v="13"/>
    <s v="Atlanta"/>
    <s v="Male"/>
    <n v="40"/>
    <n v="5"/>
    <n v="5"/>
    <s v="P515"/>
    <x v="0"/>
    <x v="3"/>
    <x v="0"/>
    <s v="Puma"/>
    <n v="1"/>
    <n v="713.22"/>
    <n v="1970.88"/>
    <n v="7"/>
    <s v="Q1"/>
    <n v="2025"/>
    <x v="6"/>
    <n v="3387.7950000000001"/>
    <n v="1416.915"/>
  </r>
  <r>
    <s v="ORD00940"/>
    <d v="2024-07-22T00:00:00"/>
    <s v="C6526"/>
    <x v="841"/>
    <d v="2024-07-28T00:00:00"/>
    <x v="9"/>
    <x v="0"/>
    <s v="Skincare"/>
    <x v="23"/>
    <s v="Minneapolis"/>
    <s v="Female"/>
    <n v="31"/>
    <n v="4"/>
    <n v="0"/>
    <s v="P654"/>
    <x v="0"/>
    <x v="2"/>
    <x v="0"/>
    <s v="Nivea"/>
    <n v="3"/>
    <n v="146.41999999999999"/>
    <n v="357.52"/>
    <n v="6"/>
    <s v="Q3"/>
    <n v="2024"/>
    <x v="4"/>
    <n v="585.67999999999995"/>
    <n v="228.15999999999997"/>
  </r>
  <r>
    <s v="ORD00941"/>
    <d v="2024-10-04T00:00:00"/>
    <s v="C3955"/>
    <x v="842"/>
    <d v="2024-10-06T00:00:00"/>
    <x v="6"/>
    <x v="5"/>
    <s v="Snacks"/>
    <x v="6"/>
    <s v="Charlotte"/>
    <s v="Female"/>
    <n v="61"/>
    <n v="4"/>
    <n v="5"/>
    <s v="P647"/>
    <x v="0"/>
    <x v="4"/>
    <x v="0"/>
    <s v="Britannia"/>
    <n v="5"/>
    <n v="215.84"/>
    <n v="513.41"/>
    <n v="2"/>
    <s v="Q4"/>
    <n v="2024"/>
    <x v="8"/>
    <n v="820.19200000000001"/>
    <n v="306.78200000000004"/>
  </r>
  <r>
    <s v="ORD00942"/>
    <d v="2024-08-10T00:00:00"/>
    <s v="C7124"/>
    <x v="843"/>
    <d v="2024-08-14T00:00:00"/>
    <x v="3"/>
    <x v="3"/>
    <s v="Kitchen"/>
    <x v="3"/>
    <s v="Austin"/>
    <s v="Male"/>
    <n v="48"/>
    <n v="4"/>
    <n v="10"/>
    <s v="P123"/>
    <x v="1"/>
    <x v="2"/>
    <x v="2"/>
    <s v="Philips"/>
    <n v="4"/>
    <n v="516.5"/>
    <n v="1313.65"/>
    <n v="4"/>
    <s v="Q3"/>
    <n v="2024"/>
    <x v="11"/>
    <n v="1859.4"/>
    <n v="545.75"/>
  </r>
  <r>
    <s v="ORD00943"/>
    <d v="2024-09-03T00:00:00"/>
    <s v="C1168"/>
    <x v="844"/>
    <d v="2024-09-07T00:00:00"/>
    <x v="8"/>
    <x v="1"/>
    <s v="Shoes"/>
    <x v="1"/>
    <s v="San Diego"/>
    <s v="Male"/>
    <n v="30"/>
    <n v="5"/>
    <n v="30"/>
    <s v="P497"/>
    <x v="1"/>
    <x v="0"/>
    <x v="0"/>
    <s v="Nike"/>
    <n v="1"/>
    <n v="790.89"/>
    <n v="1990.33"/>
    <n v="4"/>
    <s v="Q3"/>
    <n v="2024"/>
    <x v="1"/>
    <n v="2768.1149999999998"/>
    <n v="777.78499999999985"/>
  </r>
  <r>
    <s v="ORD00944"/>
    <d v="2025-07-18T00:00:00"/>
    <s v="C7189"/>
    <x v="845"/>
    <d v="2025-07-25T00:00:00"/>
    <x v="1"/>
    <x v="1"/>
    <s v="Shirt"/>
    <x v="8"/>
    <s v="Orlando"/>
    <s v="Female"/>
    <n v="62"/>
    <n v="2"/>
    <n v="30"/>
    <s v="P286"/>
    <x v="2"/>
    <x v="2"/>
    <x v="1"/>
    <s v="Puma"/>
    <n v="5"/>
    <n v="676.04"/>
    <n v="590.66"/>
    <n v="7"/>
    <s v="Q3"/>
    <n v="2025"/>
    <x v="4"/>
    <n v="946.4559999999999"/>
    <n v="355.79599999999994"/>
  </r>
  <r>
    <s v="ORD00945"/>
    <d v="2025-09-16T00:00:00"/>
    <s v="C5028"/>
    <x v="846"/>
    <d v="2025-09-17T00:00:00"/>
    <x v="2"/>
    <x v="2"/>
    <s v="Fitness"/>
    <x v="0"/>
    <s v="Cambridge"/>
    <s v="Male"/>
    <n v="27"/>
    <n v="2"/>
    <n v="0"/>
    <s v="P336"/>
    <x v="2"/>
    <x v="0"/>
    <x v="2"/>
    <s v="Decathlon"/>
    <n v="3"/>
    <n v="697.42"/>
    <n v="829.01"/>
    <n v="1"/>
    <s v="Q3"/>
    <n v="2025"/>
    <x v="1"/>
    <n v="1394.84"/>
    <n v="565.82999999999993"/>
  </r>
  <r>
    <s v="ORD00946"/>
    <d v="2025-05-17T00:00:00"/>
    <s v="C8144"/>
    <x v="847"/>
    <d v="2025-05-24T00:00:00"/>
    <x v="6"/>
    <x v="5"/>
    <s v="Snacks"/>
    <x v="9"/>
    <s v="Mobile"/>
    <s v="Male"/>
    <n v="59"/>
    <n v="1"/>
    <n v="10"/>
    <s v="P314"/>
    <x v="0"/>
    <x v="1"/>
    <x v="1"/>
    <s v="Britannia"/>
    <n v="3"/>
    <n v="745.67"/>
    <n v="442.38"/>
    <n v="7"/>
    <s v="Q2"/>
    <n v="2025"/>
    <x v="9"/>
    <n v="671.10299999999995"/>
    <n v="228.72299999999996"/>
  </r>
  <r>
    <s v="ORD00947"/>
    <d v="2025-08-20T00:00:00"/>
    <s v="C5978"/>
    <x v="848"/>
    <d v="2025-08-27T00:00:00"/>
    <x v="4"/>
    <x v="4"/>
    <s v="Mobile"/>
    <x v="17"/>
    <s v="Pittsburgh"/>
    <s v="Male"/>
    <n v="46"/>
    <n v="4"/>
    <n v="20"/>
    <s v="P852"/>
    <x v="2"/>
    <x v="3"/>
    <x v="2"/>
    <s v="Samsung"/>
    <n v="1"/>
    <n v="265.48"/>
    <n v="429.89"/>
    <n v="7"/>
    <s v="Q3"/>
    <n v="2025"/>
    <x v="11"/>
    <n v="849.53600000000006"/>
    <n v="419.64600000000007"/>
  </r>
  <r>
    <s v="ORD00948"/>
    <d v="2024-10-30T00:00:00"/>
    <s v="C2120"/>
    <x v="849"/>
    <d v="2024-11-01T00:00:00"/>
    <x v="5"/>
    <x v="3"/>
    <s v="Furniture"/>
    <x v="18"/>
    <s v="Nashville"/>
    <s v="Male"/>
    <n v="26"/>
    <n v="1"/>
    <n v="10"/>
    <s v="P897"/>
    <x v="0"/>
    <x v="3"/>
    <x v="1"/>
    <s v="IKEA"/>
    <n v="5"/>
    <n v="559.69000000000005"/>
    <n v="279.51"/>
    <n v="2"/>
    <s v="Q4"/>
    <n v="2024"/>
    <x v="8"/>
    <n v="503.72100000000006"/>
    <n v="224.21100000000007"/>
  </r>
  <r>
    <s v="ORD00949"/>
    <d v="2025-08-02T00:00:00"/>
    <s v="C7289"/>
    <x v="850"/>
    <d v="2025-08-04T00:00:00"/>
    <x v="9"/>
    <x v="0"/>
    <s v="Skincare"/>
    <x v="1"/>
    <s v="Los Angeles"/>
    <s v="Male"/>
    <n v="35"/>
    <n v="1"/>
    <n v="10"/>
    <s v="P725"/>
    <x v="1"/>
    <x v="3"/>
    <x v="1"/>
    <s v="Nivea"/>
    <n v="4"/>
    <n v="260.85000000000002"/>
    <n v="184.68"/>
    <n v="2"/>
    <s v="Q3"/>
    <n v="2025"/>
    <x v="11"/>
    <n v="234.76500000000001"/>
    <n v="50.085000000000008"/>
  </r>
  <r>
    <s v="ORD00950"/>
    <d v="2025-04-17T00:00:00"/>
    <s v="C6101"/>
    <x v="851"/>
    <d v="2025-04-23T00:00:00"/>
    <x v="9"/>
    <x v="0"/>
    <s v="Skincare"/>
    <x v="22"/>
    <s v="Naperville"/>
    <s v="Female"/>
    <n v="33"/>
    <n v="5"/>
    <n v="5"/>
    <s v="P588"/>
    <x v="1"/>
    <x v="1"/>
    <x v="1"/>
    <s v="Nivea"/>
    <n v="5"/>
    <n v="471.62"/>
    <n v="1499.6"/>
    <n v="6"/>
    <s v="Q2"/>
    <n v="2025"/>
    <x v="3"/>
    <n v="2240.1949999999997"/>
    <n v="740.5949999999998"/>
  </r>
  <r>
    <s v="ORD00951"/>
    <d v="2025-07-27T00:00:00"/>
    <s v="C9054"/>
    <x v="852"/>
    <d v="2025-08-02T00:00:00"/>
    <x v="4"/>
    <x v="4"/>
    <s v="Mobile"/>
    <x v="18"/>
    <s v="Knoxville"/>
    <s v="Male"/>
    <n v="63"/>
    <n v="1"/>
    <n v="5"/>
    <s v="P425"/>
    <x v="2"/>
    <x v="3"/>
    <x v="0"/>
    <s v="Samsung"/>
    <n v="4"/>
    <n v="910.33"/>
    <n v="695.63"/>
    <n v="6"/>
    <s v="Q3"/>
    <n v="2025"/>
    <x v="4"/>
    <n v="864.81349999999998"/>
    <n v="169.18349999999998"/>
  </r>
  <r>
    <s v="ORD00952"/>
    <d v="2025-11-21T00:00:00"/>
    <s v="C3890"/>
    <x v="853"/>
    <d v="2025-11-28T00:00:00"/>
    <x v="4"/>
    <x v="4"/>
    <s v="Mobile"/>
    <x v="13"/>
    <s v="Atlanta"/>
    <s v="Female"/>
    <n v="18"/>
    <n v="1"/>
    <n v="10"/>
    <s v="P317"/>
    <x v="2"/>
    <x v="2"/>
    <x v="1"/>
    <s v="Samsung"/>
    <n v="3"/>
    <n v="270.11"/>
    <n v="196.63"/>
    <n v="7"/>
    <s v="Q4"/>
    <n v="2025"/>
    <x v="10"/>
    <n v="243.09900000000002"/>
    <n v="46.469000000000023"/>
  </r>
  <r>
    <s v="ORD00953"/>
    <d v="2026-04-30T00:00:00"/>
    <s v="C5066"/>
    <x v="854"/>
    <d v="2026-05-06T00:00:00"/>
    <x v="4"/>
    <x v="4"/>
    <s v="Mobile"/>
    <x v="1"/>
    <s v="San Diego"/>
    <s v="Female"/>
    <n v="62"/>
    <n v="1"/>
    <n v="30"/>
    <s v="P882"/>
    <x v="2"/>
    <x v="3"/>
    <x v="3"/>
    <s v="Samsung"/>
    <n v="4"/>
    <n v="104.66"/>
    <n v="44.09"/>
    <n v="6"/>
    <s v="Q2"/>
    <n v="2026"/>
    <x v="3"/>
    <n v="73.261999999999986"/>
    <n v="29.171999999999983"/>
  </r>
  <r>
    <s v="ORD00954"/>
    <d v="2024-07-27T00:00:00"/>
    <s v="C8060"/>
    <x v="855"/>
    <d v="2024-08-03T00:00:00"/>
    <x v="5"/>
    <x v="3"/>
    <s v="Furniture"/>
    <x v="1"/>
    <s v="Sacramento"/>
    <s v="Male"/>
    <n v="39"/>
    <n v="2"/>
    <n v="5"/>
    <s v="P225"/>
    <x v="2"/>
    <x v="3"/>
    <x v="0"/>
    <s v="IKEA"/>
    <n v="3"/>
    <n v="685.15"/>
    <n v="788.52"/>
    <n v="7"/>
    <s v="Q3"/>
    <n v="2024"/>
    <x v="4"/>
    <n v="1301.7849999999999"/>
    <n v="513.26499999999987"/>
  </r>
  <r>
    <s v="ORD00955"/>
    <d v="2025-05-08T00:00:00"/>
    <s v="C2325"/>
    <x v="856"/>
    <d v="2025-05-10T00:00:00"/>
    <x v="6"/>
    <x v="5"/>
    <s v="Snacks"/>
    <x v="22"/>
    <s v="Springfield"/>
    <s v="Male"/>
    <n v="38"/>
    <n v="4"/>
    <n v="30"/>
    <s v="P909"/>
    <x v="0"/>
    <x v="0"/>
    <x v="2"/>
    <s v="Britannia"/>
    <n v="1"/>
    <n v="659.52"/>
    <n v="1091.3399999999999"/>
    <n v="2"/>
    <s v="Q2"/>
    <n v="2025"/>
    <x v="9"/>
    <n v="1846.6559999999997"/>
    <n v="755.3159999999998"/>
  </r>
  <r>
    <s v="ORD00956"/>
    <d v="2025-02-09T00:00:00"/>
    <s v="C7540"/>
    <x v="857"/>
    <d v="2025-02-14T00:00:00"/>
    <x v="9"/>
    <x v="0"/>
    <s v="Skincare"/>
    <x v="14"/>
    <s v="St. Louis"/>
    <s v="Male"/>
    <n v="52"/>
    <n v="4"/>
    <n v="25"/>
    <s v="P278"/>
    <x v="1"/>
    <x v="3"/>
    <x v="3"/>
    <s v="Nivea"/>
    <n v="3"/>
    <n v="984.14"/>
    <n v="2382.88"/>
    <n v="5"/>
    <s v="Q1"/>
    <n v="2025"/>
    <x v="5"/>
    <n v="2952.42"/>
    <n v="569.54"/>
  </r>
  <r>
    <s v="ORD00957"/>
    <d v="2024-12-16T00:00:00"/>
    <s v="C5456"/>
    <x v="858"/>
    <d v="2024-12-19T00:00:00"/>
    <x v="2"/>
    <x v="2"/>
    <s v="Fitness"/>
    <x v="5"/>
    <s v="Evansville"/>
    <s v="Male"/>
    <n v="36"/>
    <n v="5"/>
    <n v="20"/>
    <s v="P330"/>
    <x v="0"/>
    <x v="3"/>
    <x v="2"/>
    <s v="Decathlon"/>
    <n v="5"/>
    <n v="234.99"/>
    <n v="600.51"/>
    <n v="3"/>
    <s v="Q4"/>
    <n v="2024"/>
    <x v="7"/>
    <n v="939.96"/>
    <n v="339.45000000000005"/>
  </r>
  <r>
    <s v="ORD00958"/>
    <d v="2025-04-24T00:00:00"/>
    <s v="C1953"/>
    <x v="859"/>
    <d v="2025-04-26T00:00:00"/>
    <x v="6"/>
    <x v="5"/>
    <s v="Snacks"/>
    <x v="8"/>
    <s v="Tampa"/>
    <s v="Female"/>
    <n v="47"/>
    <n v="3"/>
    <n v="25"/>
    <s v="P275"/>
    <x v="0"/>
    <x v="1"/>
    <x v="3"/>
    <s v="Britannia"/>
    <n v="1"/>
    <n v="416.91"/>
    <n v="512.08000000000004"/>
    <n v="2"/>
    <s v="Q2"/>
    <n v="2025"/>
    <x v="3"/>
    <n v="938.04750000000001"/>
    <n v="425.96749999999997"/>
  </r>
  <r>
    <s v="ORD00959"/>
    <d v="2026-06-15T00:00:00"/>
    <s v="C5638"/>
    <x v="860"/>
    <d v="2026-06-21T00:00:00"/>
    <x v="6"/>
    <x v="5"/>
    <s v="Snacks"/>
    <x v="5"/>
    <s v="Fort Wayne"/>
    <s v="Male"/>
    <n v="57"/>
    <n v="2"/>
    <n v="25"/>
    <s v="P647"/>
    <x v="2"/>
    <x v="2"/>
    <x v="1"/>
    <s v="Britannia"/>
    <n v="5"/>
    <n v="275.22000000000003"/>
    <n v="210.18"/>
    <n v="6"/>
    <s v="Q2"/>
    <n v="2026"/>
    <x v="2"/>
    <n v="412.83000000000004"/>
    <n v="202.65000000000003"/>
  </r>
  <r>
    <s v="ORD00960"/>
    <d v="2024-03-13T00:00:00"/>
    <s v="C5470"/>
    <x v="861"/>
    <d v="2024-03-17T00:00:00"/>
    <x v="2"/>
    <x v="2"/>
    <s v="Fitness"/>
    <x v="3"/>
    <s v="Austin"/>
    <s v="Male"/>
    <n v="27"/>
    <n v="1"/>
    <n v="20"/>
    <s v="P386"/>
    <x v="2"/>
    <x v="3"/>
    <x v="2"/>
    <s v="Decathlon"/>
    <n v="4"/>
    <n v="504.6"/>
    <n v="290.61"/>
    <n v="4"/>
    <s v="Q1"/>
    <n v="2024"/>
    <x v="6"/>
    <n v="403.68000000000006"/>
    <n v="113.07000000000005"/>
  </r>
  <r>
    <s v="ORD00961"/>
    <d v="2026-03-31T00:00:00"/>
    <s v="C3692"/>
    <x v="862"/>
    <d v="2026-04-02T00:00:00"/>
    <x v="4"/>
    <x v="4"/>
    <s v="Mobile"/>
    <x v="18"/>
    <s v="Memphis"/>
    <s v="Male"/>
    <n v="64"/>
    <n v="5"/>
    <n v="15"/>
    <s v="P665"/>
    <x v="0"/>
    <x v="4"/>
    <x v="2"/>
    <s v="Samsung"/>
    <n v="5"/>
    <n v="55.13"/>
    <n v="183.29"/>
    <n v="2"/>
    <s v="Q1"/>
    <n v="2026"/>
    <x v="6"/>
    <n v="234.30250000000001"/>
    <n v="51.012500000000017"/>
  </r>
  <r>
    <s v="ORD00962"/>
    <d v="2025-10-29T00:00:00"/>
    <s v="C6122"/>
    <x v="863"/>
    <d v="2025-11-05T00:00:00"/>
    <x v="8"/>
    <x v="1"/>
    <s v="Shoes"/>
    <x v="18"/>
    <s v="Nashville"/>
    <s v="Female"/>
    <n v="32"/>
    <n v="2"/>
    <n v="30"/>
    <s v="P441"/>
    <x v="0"/>
    <x v="3"/>
    <x v="3"/>
    <s v="Nike"/>
    <n v="4"/>
    <n v="620.28"/>
    <n v="449.52"/>
    <n v="7"/>
    <s v="Q4"/>
    <n v="2025"/>
    <x v="8"/>
    <n v="868.39199999999994"/>
    <n v="418.87199999999996"/>
  </r>
  <r>
    <s v="ORD00963"/>
    <d v="2025-07-07T00:00:00"/>
    <s v="C9503"/>
    <x v="864"/>
    <d v="2025-07-08T00:00:00"/>
    <x v="6"/>
    <x v="5"/>
    <s v="Snacks"/>
    <x v="22"/>
    <s v="Naperville"/>
    <s v="Female"/>
    <n v="39"/>
    <n v="4"/>
    <n v="30"/>
    <s v="P918"/>
    <x v="2"/>
    <x v="2"/>
    <x v="2"/>
    <s v="Britannia"/>
    <n v="3"/>
    <n v="602.02"/>
    <n v="1280.58"/>
    <n v="1"/>
    <s v="Q3"/>
    <n v="2025"/>
    <x v="4"/>
    <n v="1685.6559999999999"/>
    <n v="405.07600000000002"/>
  </r>
  <r>
    <s v="ORD00964"/>
    <d v="2026-04-03T00:00:00"/>
    <s v="C6193"/>
    <x v="865"/>
    <d v="2026-04-09T00:00:00"/>
    <x v="8"/>
    <x v="1"/>
    <s v="Shoes"/>
    <x v="21"/>
    <s v="Charleston"/>
    <s v="Female"/>
    <n v="44"/>
    <n v="3"/>
    <n v="15"/>
    <s v="P182"/>
    <x v="1"/>
    <x v="1"/>
    <x v="2"/>
    <s v="Nike"/>
    <n v="4"/>
    <n v="919.07"/>
    <n v="1806.77"/>
    <n v="6"/>
    <s v="Q2"/>
    <n v="2026"/>
    <x v="3"/>
    <n v="2343.6284999999998"/>
    <n v="536.85849999999982"/>
  </r>
  <r>
    <s v="ORD00965"/>
    <d v="2024-12-23T00:00:00"/>
    <s v="C5955"/>
    <x v="866"/>
    <d v="2024-12-30T00:00:00"/>
    <x v="2"/>
    <x v="2"/>
    <s v="Fitness"/>
    <x v="7"/>
    <s v="Rochester"/>
    <s v="Male"/>
    <n v="63"/>
    <n v="1"/>
    <n v="0"/>
    <s v="P363"/>
    <x v="1"/>
    <x v="1"/>
    <x v="3"/>
    <s v="Decathlon"/>
    <n v="3"/>
    <n v="109.08"/>
    <n v="78.849999999999994"/>
    <n v="7"/>
    <s v="Q4"/>
    <n v="2024"/>
    <x v="7"/>
    <n v="109.08"/>
    <n v="30.230000000000004"/>
  </r>
  <r>
    <s v="ORD00966"/>
    <d v="2024-10-30T00:00:00"/>
    <s v="C2819"/>
    <x v="867"/>
    <d v="2024-11-03T00:00:00"/>
    <x v="6"/>
    <x v="5"/>
    <s v="Snacks"/>
    <x v="0"/>
    <s v="Cambridge"/>
    <s v="Female"/>
    <n v="58"/>
    <n v="3"/>
    <n v="10"/>
    <s v="P744"/>
    <x v="1"/>
    <x v="2"/>
    <x v="2"/>
    <s v="Britannia"/>
    <n v="1"/>
    <n v="378.02"/>
    <n v="695.47"/>
    <n v="4"/>
    <s v="Q4"/>
    <n v="2024"/>
    <x v="8"/>
    <n v="1020.654"/>
    <n v="325.18399999999997"/>
  </r>
  <r>
    <s v="ORD00967"/>
    <d v="2024-04-01T00:00:00"/>
    <s v="C3868"/>
    <x v="868"/>
    <d v="2024-04-06T00:00:00"/>
    <x v="7"/>
    <x v="4"/>
    <s v="Laptop"/>
    <x v="8"/>
    <s v="Miami"/>
    <s v="Male"/>
    <n v="31"/>
    <n v="2"/>
    <n v="20"/>
    <s v="P756"/>
    <x v="0"/>
    <x v="2"/>
    <x v="0"/>
    <s v="Dell"/>
    <n v="4"/>
    <n v="483.93"/>
    <n v="419.99"/>
    <n v="5"/>
    <s v="Q2"/>
    <n v="2024"/>
    <x v="3"/>
    <n v="774.28800000000001"/>
    <n v="354.298"/>
  </r>
  <r>
    <s v="ORD00968"/>
    <d v="2025-04-25T00:00:00"/>
    <s v="C7630"/>
    <x v="869"/>
    <d v="2025-04-28T00:00:00"/>
    <x v="2"/>
    <x v="2"/>
    <s v="Fitness"/>
    <x v="7"/>
    <s v="Buffalo"/>
    <s v="Male"/>
    <n v="47"/>
    <n v="2"/>
    <n v="0"/>
    <s v="P133"/>
    <x v="1"/>
    <x v="2"/>
    <x v="2"/>
    <s v="Decathlon"/>
    <n v="2"/>
    <n v="798.82"/>
    <n v="944.73"/>
    <n v="3"/>
    <s v="Q2"/>
    <n v="2025"/>
    <x v="3"/>
    <n v="1597.64"/>
    <n v="652.91000000000008"/>
  </r>
  <r>
    <s v="ORD00969"/>
    <d v="2025-10-06T00:00:00"/>
    <s v="C3873"/>
    <x v="870"/>
    <d v="2025-10-13T00:00:00"/>
    <x v="5"/>
    <x v="3"/>
    <s v="Furniture"/>
    <x v="1"/>
    <s v="San Diego"/>
    <s v="Male"/>
    <n v="61"/>
    <n v="5"/>
    <n v="20"/>
    <s v="P116"/>
    <x v="0"/>
    <x v="0"/>
    <x v="0"/>
    <s v="IKEA"/>
    <n v="3"/>
    <n v="958.58"/>
    <n v="3229.77"/>
    <n v="7"/>
    <s v="Q4"/>
    <n v="2025"/>
    <x v="8"/>
    <n v="3834.3200000000006"/>
    <n v="604.55000000000064"/>
  </r>
  <r>
    <s v="ORD00970"/>
    <d v="2025-10-26T00:00:00"/>
    <s v="C5484"/>
    <x v="871"/>
    <d v="2025-10-29T00:00:00"/>
    <x v="6"/>
    <x v="5"/>
    <s v="Snacks"/>
    <x v="20"/>
    <s v="Norfolk"/>
    <s v="Female"/>
    <n v="63"/>
    <n v="4"/>
    <n v="30"/>
    <s v="P649"/>
    <x v="0"/>
    <x v="2"/>
    <x v="2"/>
    <s v="Britannia"/>
    <n v="1"/>
    <n v="529.69000000000005"/>
    <n v="927.93"/>
    <n v="3"/>
    <s v="Q4"/>
    <n v="2025"/>
    <x v="8"/>
    <n v="1483.1320000000001"/>
    <n v="555.20200000000011"/>
  </r>
  <r>
    <s v="ORD00971"/>
    <d v="2025-07-15T00:00:00"/>
    <s v="C2375"/>
    <x v="872"/>
    <d v="2025-07-17T00:00:00"/>
    <x v="2"/>
    <x v="2"/>
    <s v="Fitness"/>
    <x v="1"/>
    <s v="Los Angeles"/>
    <s v="Male"/>
    <n v="22"/>
    <n v="3"/>
    <n v="10"/>
    <s v="P829"/>
    <x v="2"/>
    <x v="0"/>
    <x v="0"/>
    <s v="Decathlon"/>
    <n v="1"/>
    <n v="485.62"/>
    <n v="1108.8800000000001"/>
    <n v="2"/>
    <s v="Q3"/>
    <n v="2025"/>
    <x v="4"/>
    <n v="1311.1740000000002"/>
    <n v="202.2940000000001"/>
  </r>
  <r>
    <s v="ORD00972"/>
    <d v="2024-01-17T00:00:00"/>
    <s v="C5493"/>
    <x v="873"/>
    <d v="2024-01-22T00:00:00"/>
    <x v="9"/>
    <x v="0"/>
    <s v="Skincare"/>
    <x v="17"/>
    <s v="Allentown"/>
    <s v="Male"/>
    <n v="33"/>
    <n v="1"/>
    <n v="25"/>
    <s v="P794"/>
    <x v="0"/>
    <x v="2"/>
    <x v="2"/>
    <s v="Nivea"/>
    <n v="3"/>
    <n v="978.57"/>
    <n v="621.89"/>
    <n v="5"/>
    <s v="Q1"/>
    <n v="2024"/>
    <x v="0"/>
    <n v="733.92750000000001"/>
    <n v="112.03750000000002"/>
  </r>
  <r>
    <s v="ORD00973"/>
    <d v="2024-03-05T00:00:00"/>
    <s v="C5829"/>
    <x v="874"/>
    <d v="2024-03-07T00:00:00"/>
    <x v="9"/>
    <x v="0"/>
    <s v="Skincare"/>
    <x v="12"/>
    <s v="Grand Rapids"/>
    <s v="Male"/>
    <n v="24"/>
    <n v="5"/>
    <n v="10"/>
    <s v="P688"/>
    <x v="1"/>
    <x v="4"/>
    <x v="1"/>
    <s v="Nivea"/>
    <n v="3"/>
    <n v="896.05"/>
    <n v="2235.54"/>
    <n v="2"/>
    <s v="Q1"/>
    <n v="2024"/>
    <x v="6"/>
    <n v="4032.2249999999999"/>
    <n v="1796.6849999999999"/>
  </r>
  <r>
    <s v="ORD00974"/>
    <d v="2024-07-13T00:00:00"/>
    <s v="C6405"/>
    <x v="875"/>
    <d v="2024-07-20T00:00:00"/>
    <x v="9"/>
    <x v="0"/>
    <s v="Skincare"/>
    <x v="13"/>
    <s v="Savannah"/>
    <s v="Female"/>
    <n v="20"/>
    <n v="5"/>
    <n v="5"/>
    <s v="P652"/>
    <x v="0"/>
    <x v="0"/>
    <x v="0"/>
    <s v="Nivea"/>
    <n v="3"/>
    <n v="212.99"/>
    <n v="708.84"/>
    <n v="7"/>
    <s v="Q3"/>
    <n v="2024"/>
    <x v="4"/>
    <n v="1011.7025"/>
    <n v="302.86249999999995"/>
  </r>
  <r>
    <s v="ORD00975"/>
    <d v="2026-06-07T00:00:00"/>
    <s v="C8346"/>
    <x v="876"/>
    <d v="2026-06-12T00:00:00"/>
    <x v="6"/>
    <x v="5"/>
    <s v="Snacks"/>
    <x v="21"/>
    <s v="Columbia"/>
    <s v="Male"/>
    <n v="42"/>
    <n v="3"/>
    <n v="5"/>
    <s v="P182"/>
    <x v="2"/>
    <x v="2"/>
    <x v="3"/>
    <s v="Britannia"/>
    <n v="3"/>
    <n v="758.48"/>
    <n v="1485.26"/>
    <n v="5"/>
    <s v="Q2"/>
    <n v="2026"/>
    <x v="2"/>
    <n v="2161.6680000000001"/>
    <n v="676.40800000000013"/>
  </r>
  <r>
    <s v="ORD00976"/>
    <d v="2025-03-07T00:00:00"/>
    <s v="C4321"/>
    <x v="877"/>
    <d v="2025-03-09T00:00:00"/>
    <x v="3"/>
    <x v="3"/>
    <s v="Kitchen"/>
    <x v="8"/>
    <s v="Orlando"/>
    <s v="Female"/>
    <n v="52"/>
    <n v="1"/>
    <n v="25"/>
    <s v="P347"/>
    <x v="2"/>
    <x v="1"/>
    <x v="3"/>
    <s v="Philips"/>
    <n v="1"/>
    <n v="196.55"/>
    <n v="119.13"/>
    <n v="2"/>
    <s v="Q1"/>
    <n v="2025"/>
    <x v="6"/>
    <n v="147.41250000000002"/>
    <n v="28.282500000000027"/>
  </r>
  <r>
    <s v="ORD00977"/>
    <d v="2024-08-14T00:00:00"/>
    <s v="C6059"/>
    <x v="878"/>
    <d v="2024-08-18T00:00:00"/>
    <x v="4"/>
    <x v="4"/>
    <s v="Mobile"/>
    <x v="8"/>
    <s v="Miami"/>
    <s v="Male"/>
    <n v="20"/>
    <n v="3"/>
    <n v="25"/>
    <s v="P213"/>
    <x v="1"/>
    <x v="1"/>
    <x v="3"/>
    <s v="Samsung"/>
    <n v="4"/>
    <n v="79.69"/>
    <n v="117.84"/>
    <n v="4"/>
    <s v="Q3"/>
    <n v="2024"/>
    <x v="11"/>
    <n v="179.30250000000001"/>
    <n v="61.462500000000006"/>
  </r>
  <r>
    <s v="ORD00978"/>
    <d v="2024-06-26T00:00:00"/>
    <s v="C7829"/>
    <x v="879"/>
    <d v="2024-06-29T00:00:00"/>
    <x v="2"/>
    <x v="2"/>
    <s v="Fitness"/>
    <x v="24"/>
    <s v="Salem"/>
    <s v="Male"/>
    <n v="32"/>
    <n v="5"/>
    <n v="10"/>
    <s v="P689"/>
    <x v="1"/>
    <x v="0"/>
    <x v="2"/>
    <s v="Decathlon"/>
    <n v="3"/>
    <n v="403.9"/>
    <n v="1021.45"/>
    <n v="3"/>
    <s v="Q2"/>
    <n v="2024"/>
    <x v="2"/>
    <n v="1817.55"/>
    <n v="796.09999999999991"/>
  </r>
  <r>
    <s v="ORD00979"/>
    <d v="2025-06-15T00:00:00"/>
    <s v="C7681"/>
    <x v="880"/>
    <d v="2025-06-19T00:00:00"/>
    <x v="9"/>
    <x v="0"/>
    <s v="Skincare"/>
    <x v="24"/>
    <s v="Portland"/>
    <s v="Female"/>
    <n v="32"/>
    <n v="4"/>
    <n v="5"/>
    <s v="P947"/>
    <x v="1"/>
    <x v="0"/>
    <x v="0"/>
    <s v="Nivea"/>
    <n v="1"/>
    <n v="546.95000000000005"/>
    <n v="1243.27"/>
    <n v="4"/>
    <s v="Q2"/>
    <n v="2025"/>
    <x v="2"/>
    <n v="2078.41"/>
    <n v="835.13999999999987"/>
  </r>
  <r>
    <s v="ORD00980"/>
    <d v="2025-06-26T00:00:00"/>
    <s v="C2995"/>
    <x v="881"/>
    <d v="2025-06-27T00:00:00"/>
    <x v="6"/>
    <x v="5"/>
    <s v="Snacks"/>
    <x v="3"/>
    <s v="Houston"/>
    <s v="Female"/>
    <n v="61"/>
    <n v="5"/>
    <n v="5"/>
    <s v="P897"/>
    <x v="0"/>
    <x v="0"/>
    <x v="3"/>
    <s v="Britannia"/>
    <n v="5"/>
    <n v="390.5"/>
    <n v="943.12"/>
    <n v="1"/>
    <s v="Q2"/>
    <n v="2025"/>
    <x v="2"/>
    <n v="1854.875"/>
    <n v="911.755"/>
  </r>
  <r>
    <s v="ORD00981"/>
    <d v="2025-06-13T00:00:00"/>
    <s v="C2083"/>
    <x v="931"/>
    <d v="2025-06-20T00:00:00"/>
    <x v="9"/>
    <x v="0"/>
    <s v="Skincare"/>
    <x v="7"/>
    <s v="Rochester"/>
    <s v="Female"/>
    <n v="51"/>
    <n v="2"/>
    <n v="30"/>
    <s v="P387"/>
    <x v="0"/>
    <x v="2"/>
    <x v="2"/>
    <s v="Nivea"/>
    <n v="4"/>
    <n v="727.5"/>
    <n v="578.54999999999995"/>
    <n v="7"/>
    <s v="Q2"/>
    <n v="2025"/>
    <x v="2"/>
    <n v="1018.4999999999999"/>
    <n v="439.94999999999993"/>
  </r>
  <r>
    <s v="ORD00982"/>
    <d v="2024-10-29T00:00:00"/>
    <s v="C6805"/>
    <x v="932"/>
    <d v="2024-10-30T00:00:00"/>
    <x v="2"/>
    <x v="2"/>
    <s v="Fitness"/>
    <x v="14"/>
    <s v="Springfield"/>
    <s v="Female"/>
    <n v="40"/>
    <n v="3"/>
    <n v="0"/>
    <s v="P974"/>
    <x v="2"/>
    <x v="0"/>
    <x v="1"/>
    <s v="Decathlon"/>
    <n v="4"/>
    <n v="853.64"/>
    <n v="1561.47"/>
    <n v="1"/>
    <s v="Q4"/>
    <n v="2024"/>
    <x v="8"/>
    <n v="2560.92"/>
    <n v="999.45"/>
  </r>
  <r>
    <s v="ORD00983"/>
    <d v="2024-05-31T00:00:00"/>
    <s v="C4486"/>
    <x v="933"/>
    <d v="2024-06-07T00:00:00"/>
    <x v="3"/>
    <x v="3"/>
    <s v="Kitchen"/>
    <x v="8"/>
    <s v="Jacksonville"/>
    <s v="Female"/>
    <n v="55"/>
    <n v="3"/>
    <n v="0"/>
    <s v="P196"/>
    <x v="2"/>
    <x v="3"/>
    <x v="3"/>
    <s v="Philips"/>
    <n v="5"/>
    <n v="81.34"/>
    <n v="201.33"/>
    <n v="7"/>
    <s v="Q2"/>
    <n v="2024"/>
    <x v="9"/>
    <n v="244.02"/>
    <n v="42.69"/>
  </r>
  <r>
    <s v="ORD00984"/>
    <d v="2024-05-07T00:00:00"/>
    <s v="C5261"/>
    <x v="934"/>
    <d v="2024-05-13T00:00:00"/>
    <x v="2"/>
    <x v="2"/>
    <s v="Fitness"/>
    <x v="12"/>
    <s v="Grand Rapids"/>
    <s v="Male"/>
    <n v="38"/>
    <n v="1"/>
    <n v="20"/>
    <s v="P543"/>
    <x v="0"/>
    <x v="4"/>
    <x v="3"/>
    <s v="Decathlon"/>
    <n v="4"/>
    <n v="470.84"/>
    <n v="248.13"/>
    <n v="6"/>
    <s v="Q2"/>
    <n v="2024"/>
    <x v="9"/>
    <n v="376.67200000000003"/>
    <n v="128.54200000000003"/>
  </r>
  <r>
    <s v="ORD00985"/>
    <d v="2025-03-15T00:00:00"/>
    <s v="C9153"/>
    <x v="935"/>
    <d v="2025-03-16T00:00:00"/>
    <x v="8"/>
    <x v="1"/>
    <s v="Shoes"/>
    <x v="17"/>
    <s v="Allentown"/>
    <s v="Female"/>
    <n v="38"/>
    <n v="2"/>
    <n v="10"/>
    <s v="P975"/>
    <x v="0"/>
    <x v="4"/>
    <x v="2"/>
    <s v="Nike"/>
    <n v="3"/>
    <n v="489.97"/>
    <n v="540.54999999999995"/>
    <n v="1"/>
    <s v="Q1"/>
    <n v="2025"/>
    <x v="6"/>
    <n v="881.94600000000003"/>
    <n v="341.39600000000007"/>
  </r>
  <r>
    <s v="ORD00986"/>
    <d v="2025-09-24T00:00:00"/>
    <s v="C6128"/>
    <x v="936"/>
    <d v="2025-09-29T00:00:00"/>
    <x v="4"/>
    <x v="4"/>
    <s v="Mobile"/>
    <x v="8"/>
    <s v="Jacksonville"/>
    <s v="Female"/>
    <n v="57"/>
    <n v="2"/>
    <n v="25"/>
    <s v="P252"/>
    <x v="0"/>
    <x v="0"/>
    <x v="0"/>
    <s v="Samsung"/>
    <n v="5"/>
    <n v="64.44"/>
    <n v="54.81"/>
    <n v="5"/>
    <s v="Q3"/>
    <n v="2025"/>
    <x v="1"/>
    <n v="96.66"/>
    <n v="41.849999999999994"/>
  </r>
  <r>
    <s v="ORD00987"/>
    <d v="2026-02-15T00:00:00"/>
    <s v="C8686"/>
    <x v="937"/>
    <d v="2026-02-16T00:00:00"/>
    <x v="9"/>
    <x v="0"/>
    <s v="Skincare"/>
    <x v="16"/>
    <s v="Seattle"/>
    <s v="Female"/>
    <n v="51"/>
    <n v="1"/>
    <n v="20"/>
    <s v="P764"/>
    <x v="1"/>
    <x v="4"/>
    <x v="0"/>
    <s v="Nivea"/>
    <n v="5"/>
    <n v="513.03"/>
    <n v="275.32"/>
    <n v="1"/>
    <s v="Q1"/>
    <n v="2026"/>
    <x v="5"/>
    <n v="410.42399999999998"/>
    <n v="135.10399999999998"/>
  </r>
  <r>
    <s v="ORD00988"/>
    <d v="2024-06-28T00:00:00"/>
    <s v="C6321"/>
    <x v="938"/>
    <d v="2024-07-04T00:00:00"/>
    <x v="1"/>
    <x v="1"/>
    <s v="Shirt"/>
    <x v="24"/>
    <s v="Salem"/>
    <s v="Male"/>
    <n v="34"/>
    <n v="5"/>
    <n v="5"/>
    <s v="P982"/>
    <x v="1"/>
    <x v="1"/>
    <x v="3"/>
    <s v="Puma"/>
    <n v="2"/>
    <n v="248.92"/>
    <n v="919.11"/>
    <n v="6"/>
    <s v="Q2"/>
    <n v="2024"/>
    <x v="2"/>
    <n v="1182.3699999999999"/>
    <n v="263.25999999999988"/>
  </r>
  <r>
    <s v="ORD00989"/>
    <d v="2025-01-07T00:00:00"/>
    <s v="C5251"/>
    <x v="939"/>
    <d v="2025-01-10T00:00:00"/>
    <x v="9"/>
    <x v="0"/>
    <s v="Skincare"/>
    <x v="13"/>
    <s v="Savannah"/>
    <s v="Male"/>
    <n v="49"/>
    <n v="1"/>
    <n v="0"/>
    <s v="P883"/>
    <x v="2"/>
    <x v="2"/>
    <x v="3"/>
    <s v="Nivea"/>
    <n v="1"/>
    <n v="740.15"/>
    <n v="467.7"/>
    <n v="3"/>
    <s v="Q1"/>
    <n v="2025"/>
    <x v="0"/>
    <n v="740.15"/>
    <n v="272.45"/>
  </r>
  <r>
    <s v="ORD00990"/>
    <d v="2025-12-08T00:00:00"/>
    <s v="C9654"/>
    <x v="940"/>
    <d v="2025-12-11T00:00:00"/>
    <x v="2"/>
    <x v="2"/>
    <s v="Fitness"/>
    <x v="0"/>
    <s v="Worcester"/>
    <s v="Male"/>
    <n v="38"/>
    <n v="4"/>
    <n v="10"/>
    <s v="P925"/>
    <x v="0"/>
    <x v="2"/>
    <x v="0"/>
    <s v="Decathlon"/>
    <n v="3"/>
    <n v="359.41"/>
    <n v="744.26"/>
    <n v="3"/>
    <s v="Q4"/>
    <n v="2025"/>
    <x v="7"/>
    <n v="1293.8760000000002"/>
    <n v="549.61600000000021"/>
  </r>
  <r>
    <s v="ORD00991"/>
    <d v="2024-08-26T00:00:00"/>
    <s v="C6806"/>
    <x v="941"/>
    <d v="2024-08-28T00:00:00"/>
    <x v="5"/>
    <x v="3"/>
    <s v="Furniture"/>
    <x v="1"/>
    <s v="Sacramento"/>
    <s v="Female"/>
    <n v="43"/>
    <n v="5"/>
    <n v="25"/>
    <s v="P631"/>
    <x v="1"/>
    <x v="0"/>
    <x v="3"/>
    <s v="IKEA"/>
    <n v="3"/>
    <n v="621.39"/>
    <n v="1905.06"/>
    <n v="2"/>
    <s v="Q3"/>
    <n v="2024"/>
    <x v="11"/>
    <n v="2330.2124999999996"/>
    <n v="425.15249999999969"/>
  </r>
  <r>
    <s v="ORD00992"/>
    <d v="2025-09-14T00:00:00"/>
    <s v="C3489"/>
    <x v="942"/>
    <d v="2025-09-16T00:00:00"/>
    <x v="4"/>
    <x v="4"/>
    <s v="Mobile"/>
    <x v="9"/>
    <s v="Birmingham"/>
    <s v="Male"/>
    <n v="37"/>
    <n v="1"/>
    <n v="15"/>
    <s v="P943"/>
    <x v="2"/>
    <x v="0"/>
    <x v="0"/>
    <s v="Samsung"/>
    <n v="5"/>
    <n v="727.4"/>
    <n v="369.45"/>
    <n v="2"/>
    <s v="Q3"/>
    <n v="2025"/>
    <x v="1"/>
    <n v="618.29"/>
    <n v="248.83999999999997"/>
  </r>
  <r>
    <s v="ORD00993"/>
    <d v="2025-11-30T00:00:00"/>
    <s v="C7400"/>
    <x v="943"/>
    <d v="2025-12-03T00:00:00"/>
    <x v="9"/>
    <x v="0"/>
    <s v="Skincare"/>
    <x v="8"/>
    <s v="Jacksonville"/>
    <s v="Male"/>
    <n v="40"/>
    <n v="3"/>
    <n v="30"/>
    <s v="P958"/>
    <x v="1"/>
    <x v="3"/>
    <x v="2"/>
    <s v="Nivea"/>
    <n v="5"/>
    <n v="173.93"/>
    <n v="281.77999999999997"/>
    <n v="3"/>
    <s v="Q4"/>
    <n v="2025"/>
    <x v="10"/>
    <n v="365.25299999999993"/>
    <n v="83.472999999999956"/>
  </r>
  <r>
    <s v="ORD00994"/>
    <d v="2024-02-23T00:00:00"/>
    <s v="C4775"/>
    <x v="944"/>
    <d v="2024-02-28T00:00:00"/>
    <x v="6"/>
    <x v="5"/>
    <s v="Snacks"/>
    <x v="1"/>
    <s v="Sacramento"/>
    <s v="Male"/>
    <n v="32"/>
    <n v="5"/>
    <n v="10"/>
    <s v="P884"/>
    <x v="2"/>
    <x v="3"/>
    <x v="3"/>
    <s v="Britannia"/>
    <n v="5"/>
    <n v="928.21"/>
    <n v="2117.91"/>
    <n v="5"/>
    <s v="Q1"/>
    <n v="2024"/>
    <x v="5"/>
    <n v="4176.9450000000006"/>
    <n v="2059.0350000000008"/>
  </r>
  <r>
    <s v="ORD00995"/>
    <d v="2025-10-30T00:00:00"/>
    <s v="C7739"/>
    <x v="945"/>
    <d v="2025-11-03T00:00:00"/>
    <x v="2"/>
    <x v="2"/>
    <s v="Fitness"/>
    <x v="6"/>
    <s v="Raleigh"/>
    <s v="Female"/>
    <n v="65"/>
    <n v="1"/>
    <n v="15"/>
    <s v="P743"/>
    <x v="0"/>
    <x v="1"/>
    <x v="2"/>
    <s v="Decathlon"/>
    <n v="4"/>
    <n v="982.12"/>
    <n v="566.82000000000005"/>
    <n v="4"/>
    <s v="Q4"/>
    <n v="2025"/>
    <x v="8"/>
    <n v="834.80200000000002"/>
    <n v="267.98199999999997"/>
  </r>
  <r>
    <s v="ORD00996"/>
    <d v="2025-11-30T00:00:00"/>
    <s v="C2033"/>
    <x v="923"/>
    <d v="2025-12-04T00:00:00"/>
    <x v="3"/>
    <x v="3"/>
    <s v="Kitchen"/>
    <x v="3"/>
    <s v="Houston"/>
    <s v="Female"/>
    <n v="22"/>
    <n v="1"/>
    <n v="5"/>
    <s v="P744"/>
    <x v="2"/>
    <x v="1"/>
    <x v="3"/>
    <s v="Samsung"/>
    <n v="5"/>
    <n v="394.92"/>
    <n v="672.66"/>
    <n v="3"/>
    <s v="Q4"/>
    <m/>
    <x v="10"/>
    <n v="375.17399999999998"/>
    <n v="-297.48599999999999"/>
  </r>
  <r>
    <s v="ORD00997"/>
    <d v="2025-07-08T00:00:00"/>
    <s v="C6573"/>
    <x v="924"/>
    <d v="2025-07-12T00:00:00"/>
    <x v="4"/>
    <x v="4"/>
    <s v="Mobile"/>
    <x v="18"/>
    <s v="Nashville"/>
    <s v="Female"/>
    <n v="33"/>
    <n v="3"/>
    <n v="0"/>
    <s v="P745"/>
    <x v="1"/>
    <x v="1"/>
    <x v="1"/>
    <s v="Nike"/>
    <n v="6"/>
    <n v="724.07"/>
    <n v="716.26"/>
    <n v="3"/>
    <s v="Q2"/>
    <m/>
    <x v="4"/>
    <n v="2172.21"/>
    <n v="1455.95"/>
  </r>
  <r>
    <s v="ORD00998"/>
    <d v="2024-04-01T00:00:00"/>
    <s v="C4949"/>
    <x v="925"/>
    <d v="2024-04-07T00:00:00"/>
    <x v="9"/>
    <x v="0"/>
    <s v="Skincare"/>
    <x v="3"/>
    <s v="San Antonio"/>
    <s v="Female"/>
    <n v="24"/>
    <n v="5"/>
    <n v="10"/>
    <s v="P746"/>
    <x v="1"/>
    <x v="1"/>
    <x v="2"/>
    <s v="Britannia"/>
    <n v="7"/>
    <n v="940.18"/>
    <n v="2707.63"/>
    <n v="6"/>
    <s v="Q3"/>
    <m/>
    <x v="3"/>
    <n v="4230.8099999999995"/>
    <n v="1523.1799999999994"/>
  </r>
  <r>
    <s v="ORD00999"/>
    <d v="2025-01-14T00:00:00"/>
    <s v="C2792"/>
    <x v="926"/>
    <d v="2025-01-20T00:00:00"/>
    <x v="5"/>
    <x v="3"/>
    <s v="Furniture"/>
    <x v="0"/>
    <s v="Cambridge"/>
    <s v="Male"/>
    <n v="20"/>
    <n v="4"/>
    <n v="25"/>
    <s v="P747"/>
    <x v="1"/>
    <x v="1"/>
    <x v="2"/>
    <s v="Nike"/>
    <n v="8"/>
    <n v="937.03"/>
    <n v="1768.64"/>
    <n v="4"/>
    <s v="Q4"/>
    <m/>
    <x v="0"/>
    <n v="2811.09"/>
    <n v="1042.45"/>
  </r>
  <r>
    <s v="ORD01000"/>
    <d v="2025-07-13T00:00:00"/>
    <s v="C8217"/>
    <x v="927"/>
    <d v="2025-07-16T00:00:00"/>
    <x v="4"/>
    <x v="4"/>
    <s v="Mobile"/>
    <x v="8"/>
    <s v="Orlando"/>
    <s v="Male"/>
    <n v="42"/>
    <n v="5"/>
    <n v="15"/>
    <s v="P748"/>
    <x v="0"/>
    <x v="1"/>
    <x v="3"/>
    <s v="Decathlon"/>
    <n v="4"/>
    <n v="910.98"/>
    <n v="1184.8499999999999"/>
    <n v="4"/>
    <s v="Q3"/>
    <m/>
    <x v="4"/>
    <n v="3871.6649999999995"/>
    <n v="2686.8149999999996"/>
  </r>
  <r>
    <s v="ORD01001"/>
    <d v="2025-02-01T00:00:00"/>
    <s v="C8499"/>
    <x v="928"/>
    <d v="2025-02-08T00:00:00"/>
    <x v="6"/>
    <x v="5"/>
    <s v="Snacks"/>
    <x v="15"/>
    <s v="Colorado Springs"/>
    <s v="Male"/>
    <n v="52"/>
    <n v="2"/>
    <n v="30"/>
    <s v="P749"/>
    <x v="0"/>
    <x v="1"/>
    <x v="2"/>
    <s v="Britannia"/>
    <n v="5"/>
    <n v="252.82"/>
    <n v="447.42"/>
    <n v="6"/>
    <s v="Q2"/>
    <m/>
    <x v="5"/>
    <n v="353.94799999999998"/>
    <n v="-93.472000000000037"/>
  </r>
  <r>
    <s v="ORD01002"/>
    <d v="2024-05-15T00:00:00"/>
    <s v="C6702"/>
    <x v="929"/>
    <d v="2024-05-19T00:00:00"/>
    <x v="5"/>
    <x v="3"/>
    <s v="Furniture"/>
    <x v="1"/>
    <s v="Los Angeles"/>
    <s v="Female"/>
    <n v="20"/>
    <n v="3"/>
    <n v="5"/>
    <s v="P750"/>
    <x v="2"/>
    <x v="1"/>
    <x v="2"/>
    <s v="Dell"/>
    <n v="4"/>
    <n v="356.26"/>
    <n v="308.16000000000003"/>
    <n v="6"/>
    <s v="Q1"/>
    <m/>
    <x v="9"/>
    <n v="1015.3409999999999"/>
    <n v="707.18099999999981"/>
  </r>
  <r>
    <s v="ORD01003"/>
    <d v="2024-09-27T00:00:00"/>
    <s v="C6462"/>
    <x v="930"/>
    <d v="2024-10-01T00:00:00"/>
    <x v="4"/>
    <x v="4"/>
    <s v="Mobile"/>
    <x v="12"/>
    <s v="Detroit"/>
    <s v="Male"/>
    <n v="32"/>
    <n v="3"/>
    <n v="0"/>
    <s v="P751"/>
    <x v="2"/>
    <x v="1"/>
    <x v="3"/>
    <s v="Decathlon"/>
    <n v="3"/>
    <n v="418.12"/>
    <n v="685.76"/>
    <n v="3"/>
    <s v="Q3"/>
    <m/>
    <x v="1"/>
    <n v="1254.3600000000001"/>
    <n v="568.60000000000014"/>
  </r>
  <r>
    <s v="ORD01004"/>
    <d v="2025-11-10T00:00:00"/>
    <s v="C3212"/>
    <x v="833"/>
    <d v="2025-11-17T00:00:00"/>
    <x v="9"/>
    <x v="0"/>
    <s v="Skincare"/>
    <x v="14"/>
    <s v="Springfield"/>
    <s v="Male"/>
    <n v="32"/>
    <n v="1"/>
    <n v="10"/>
    <s v="P752"/>
    <x v="0"/>
    <x v="1"/>
    <x v="2"/>
    <s v="IKEA"/>
    <n v="4"/>
    <n v="554.15"/>
    <n v="813.15"/>
    <n v="7"/>
    <s v="Q1"/>
    <m/>
    <x v="10"/>
    <n v="498.73500000000001"/>
    <n v="-314.41499999999996"/>
  </r>
  <r>
    <s v="ORD01005"/>
    <d v="2025-04-16T00:00:00"/>
    <s v="C9874"/>
    <x v="834"/>
    <d v="2025-04-21T00:00:00"/>
    <x v="3"/>
    <x v="3"/>
    <s v="Kitchen"/>
    <x v="3"/>
    <s v="San Antonio"/>
    <s v="Male"/>
    <n v="61"/>
    <n v="2"/>
    <n v="25"/>
    <s v="P753"/>
    <x v="0"/>
    <x v="1"/>
    <x v="0"/>
    <s v="Britannia"/>
    <n v="3"/>
    <n v="680.97"/>
    <n v="1178.71"/>
    <n v="4"/>
    <s v="Q2"/>
    <m/>
    <x v="3"/>
    <n v="1021.455"/>
    <n v="-157.255"/>
  </r>
  <r>
    <s v="ORD01006"/>
    <d v="2025-11-21T00:00:00"/>
    <s v="C2271"/>
    <x v="835"/>
    <d v="2025-11-25T00:00:00"/>
    <x v="1"/>
    <x v="1"/>
    <s v="Shirt"/>
    <x v="0"/>
    <s v="Worcester"/>
    <s v="Male"/>
    <n v="51"/>
    <n v="2"/>
    <n v="15"/>
    <s v="P754"/>
    <x v="0"/>
    <x v="1"/>
    <x v="3"/>
    <s v="Decathlon"/>
    <n v="1"/>
    <n v="256.25"/>
    <n v="224.44"/>
    <n v="4"/>
    <s v="Q3"/>
    <m/>
    <x v="10"/>
    <n v="435.625"/>
    <n v="211.185"/>
  </r>
  <r>
    <s v="ORD01007"/>
    <d v="2024-09-17T00:00:00"/>
    <s v="C6224"/>
    <x v="836"/>
    <d v="2024-09-23T00:00:00"/>
    <x v="5"/>
    <x v="3"/>
    <s v="Furniture"/>
    <x v="6"/>
    <s v="Raleigh"/>
    <s v="Male"/>
    <n v="40"/>
    <n v="1"/>
    <n v="30"/>
    <s v="P755"/>
    <x v="1"/>
    <x v="1"/>
    <x v="1"/>
    <s v="Nivea"/>
    <n v="4"/>
    <n v="340.44"/>
    <n v="186.83"/>
    <n v="7"/>
    <s v="Q4"/>
    <m/>
    <x v="1"/>
    <n v="238.30799999999999"/>
    <n v="51.47799999999998"/>
  </r>
  <r>
    <s v="ORD01008"/>
    <d v="2025-09-23T00:00:00"/>
    <s v="C6809"/>
    <x v="837"/>
    <d v="2025-09-24T00:00:00"/>
    <x v="5"/>
    <x v="3"/>
    <s v="Furniture"/>
    <x v="5"/>
    <s v="Fort Wayne"/>
    <s v="Male"/>
    <n v="55"/>
    <n v="5"/>
    <n v="5"/>
    <s v="P756"/>
    <x v="1"/>
    <x v="1"/>
    <x v="2"/>
    <s v="Nivea"/>
    <n v="2"/>
    <n v="674.64"/>
    <n v="1988.82"/>
    <n v="5"/>
    <s v="Q2"/>
    <m/>
    <x v="1"/>
    <n v="3204.5399999999995"/>
    <n v="1215.7199999999996"/>
  </r>
  <r>
    <s v="ORD01009"/>
    <d v="2024-01-05T00:00:00"/>
    <s v="C6145"/>
    <x v="838"/>
    <d v="2024-01-09T00:00:00"/>
    <x v="6"/>
    <x v="5"/>
    <s v="Snacks"/>
    <x v="3"/>
    <s v="Dallas"/>
    <s v="Female"/>
    <n v="38"/>
    <n v="1"/>
    <n v="0"/>
    <s v="P757"/>
    <x v="2"/>
    <x v="1"/>
    <x v="2"/>
    <s v="Nivea"/>
    <n v="3"/>
    <n v="637.44000000000005"/>
    <n v="1555.32"/>
    <n v="4"/>
    <s v="Q4"/>
    <m/>
    <x v="0"/>
    <n v="637.44000000000005"/>
    <n v="-917.87999999999988"/>
  </r>
  <r>
    <s v="ORD01010"/>
    <d v="2025-10-03T00:00:00"/>
    <s v="C4560"/>
    <x v="839"/>
    <d v="2025-10-09T00:00:00"/>
    <x v="8"/>
    <x v="1"/>
    <s v="Shoes"/>
    <x v="22"/>
    <s v="Springfield"/>
    <s v="Female"/>
    <n v="38"/>
    <n v="4"/>
    <n v="10"/>
    <s v="P758"/>
    <x v="0"/>
    <x v="1"/>
    <x v="3"/>
    <s v="Britannia"/>
    <n v="1"/>
    <n v="800.88"/>
    <n v="1889.51"/>
    <n v="6"/>
    <s v="Q3"/>
    <m/>
    <x v="8"/>
    <n v="2883.1680000000001"/>
    <n v="993.65800000000013"/>
  </r>
  <r>
    <s v="ORD01011"/>
    <d v="2025-07-18T00:00:00"/>
    <s v="C7189"/>
    <x v="845"/>
    <d v="2025-07-25T00:00:00"/>
    <x v="1"/>
    <x v="1"/>
    <s v="Shirt"/>
    <x v="8"/>
    <s v="Orlando"/>
    <s v="Female"/>
    <n v="57"/>
    <n v="5"/>
    <n v="25"/>
    <s v="P759"/>
    <x v="1"/>
    <x v="1"/>
    <x v="2"/>
    <s v="Philips"/>
    <n v="1"/>
    <n v="217.31"/>
    <n v="373.2"/>
    <n v="1"/>
    <s v="Q3"/>
    <m/>
    <x v="4"/>
    <n v="814.91249999999991"/>
    <n v="441.71249999999992"/>
  </r>
  <r>
    <s v="ORD01012"/>
    <d v="2025-09-16T00:00:00"/>
    <s v="C5028"/>
    <x v="846"/>
    <d v="2025-09-17T00:00:00"/>
    <x v="2"/>
    <x v="2"/>
    <s v="Fitness"/>
    <x v="0"/>
    <s v="Cambridge"/>
    <s v="Male"/>
    <n v="51"/>
    <n v="1"/>
    <n v="15"/>
    <s v="P760"/>
    <x v="2"/>
    <x v="1"/>
    <x v="2"/>
    <s v="Samsung"/>
    <n v="3"/>
    <n v="242.03"/>
    <n v="213.33"/>
    <n v="4"/>
    <s v="Q1"/>
    <m/>
    <x v="1"/>
    <n v="205.72549999999998"/>
    <n v="-7.60450000000003"/>
  </r>
  <r>
    <s v="ORD01013"/>
    <d v="2025-05-17T00:00:00"/>
    <s v="C8144"/>
    <x v="847"/>
    <d v="2025-05-24T00:00:00"/>
    <x v="6"/>
    <x v="5"/>
    <s v="Snacks"/>
    <x v="9"/>
    <s v="Mobile"/>
    <s v="Male"/>
    <n v="34"/>
    <n v="3"/>
    <n v="30"/>
    <s v="P761"/>
    <x v="1"/>
    <x v="1"/>
    <x v="3"/>
    <s v="Decathlon"/>
    <n v="3"/>
    <n v="335.53"/>
    <n v="1155.73"/>
    <n v="6"/>
    <s v="Q4"/>
    <m/>
    <x v="9"/>
    <n v="704.61299999999994"/>
    <n v="-451.11700000000008"/>
  </r>
  <r>
    <s v="ORD01014"/>
    <d v="2025-08-20T00:00:00"/>
    <s v="C5978"/>
    <x v="848"/>
    <d v="2025-08-27T00:00:00"/>
    <x v="4"/>
    <x v="4"/>
    <s v="Mobile"/>
    <x v="17"/>
    <s v="Pittsburgh"/>
    <s v="Male"/>
    <n v="49"/>
    <n v="5"/>
    <n v="32.5"/>
    <s v="P762"/>
    <x v="2"/>
    <x v="1"/>
    <x v="2"/>
    <s v="Nivea"/>
    <n v="3"/>
    <n v="713.22"/>
    <n v="1970.88"/>
    <n v="7"/>
    <s v="Q1"/>
    <m/>
    <x v="11"/>
    <n v="2407.1175000000003"/>
    <n v="436.23750000000018"/>
  </r>
  <r>
    <s v="ORD01015"/>
    <d v="2024-10-30T00:00:00"/>
    <s v="C2120"/>
    <x v="849"/>
    <d v="2024-11-01T00:00:00"/>
    <x v="5"/>
    <x v="3"/>
    <s v="Furniture"/>
    <x v="18"/>
    <s v="Nashville"/>
    <s v="Male"/>
    <n v="38"/>
    <n v="4"/>
    <n v="37.5"/>
    <s v="P763"/>
    <x v="0"/>
    <x v="1"/>
    <x v="0"/>
    <s v="Nivea"/>
    <n v="3"/>
    <n v="146.41999999999999"/>
    <n v="357.52"/>
    <n v="6"/>
    <s v="Q3"/>
    <m/>
    <x v="8"/>
    <n v="366.04999999999995"/>
    <n v="8.5299999999999727"/>
  </r>
  <r>
    <s v="ORD01016"/>
    <d v="2025-08-02T00:00:00"/>
    <s v="C7289"/>
    <x v="850"/>
    <d v="2025-08-04T00:00:00"/>
    <x v="9"/>
    <x v="0"/>
    <s v="Skincare"/>
    <x v="1"/>
    <s v="Los Angeles"/>
    <s v="Male"/>
    <n v="43"/>
    <n v="4.2"/>
    <n v="42.5"/>
    <s v="P764"/>
    <x v="2"/>
    <x v="1"/>
    <x v="3"/>
    <s v="Nivea"/>
    <n v="1"/>
    <n v="215.84"/>
    <n v="513.41"/>
    <n v="2"/>
    <s v="Q4"/>
    <m/>
    <x v="11"/>
    <n v="521.25360000000001"/>
    <n v="7.8436000000000377"/>
  </r>
  <r>
    <s v="ORD01017"/>
    <d v="2025-04-17T00:00:00"/>
    <s v="C6101"/>
    <x v="851"/>
    <d v="2025-04-23T00:00:00"/>
    <x v="9"/>
    <x v="0"/>
    <s v="Skincare"/>
    <x v="22"/>
    <s v="Naperville"/>
    <s v="Female"/>
    <n v="37"/>
    <n v="4.4000000000000004"/>
    <n v="47.5"/>
    <s v="P765"/>
    <x v="1"/>
    <x v="1"/>
    <x v="3"/>
    <s v="Britannia"/>
    <n v="1"/>
    <n v="516.5"/>
    <n v="1313.65"/>
    <n v="4"/>
    <s v="Q3"/>
    <m/>
    <x v="3"/>
    <n v="1193.1150000000002"/>
    <n v="-120.53499999999985"/>
  </r>
  <r>
    <s v="ORD01018"/>
    <d v="2025-07-27T00:00:00"/>
    <s v="C9054"/>
    <x v="852"/>
    <d v="2025-08-02T00:00:00"/>
    <x v="4"/>
    <x v="4"/>
    <s v="Mobile"/>
    <x v="18"/>
    <s v="Knoxville"/>
    <s v="Male"/>
    <n v="37"/>
    <n v="4.5999999999999996"/>
    <n v="52.5"/>
    <s v="P766"/>
    <x v="2"/>
    <x v="1"/>
    <x v="1"/>
    <s v="Philips"/>
    <n v="2"/>
    <n v="790.89"/>
    <n v="1990.33"/>
    <n v="4"/>
    <s v="Q3"/>
    <m/>
    <x v="4"/>
    <n v="1728.0946499999998"/>
    <n v="-262.235350000000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7311E-BF37-44E8-8FD9-5E268CCB60A5}" name="PivotTable2"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15" firstHeaderRow="1" firstDataRow="1" firstDataCol="1"/>
  <pivotFields count="28">
    <pivotField showAll="0"/>
    <pivotField numFmtId="14"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axis="axisRow" showAll="0">
      <items count="13">
        <item x="0"/>
        <item x="5"/>
        <item x="6"/>
        <item x="3"/>
        <item x="9"/>
        <item x="2"/>
        <item x="4"/>
        <item x="11"/>
        <item x="1"/>
        <item x="8"/>
        <item x="10"/>
        <item x="7"/>
        <item t="default"/>
      </items>
    </pivotField>
    <pivotField dataField="1" numFmtId="1" showAll="0"/>
    <pivotField numFmtId="1" showAll="0"/>
  </pivotFields>
  <rowFields count="1">
    <field x="25"/>
  </rowFields>
  <rowItems count="12">
    <i>
      <x/>
    </i>
    <i>
      <x v="1"/>
    </i>
    <i>
      <x v="2"/>
    </i>
    <i>
      <x v="3"/>
    </i>
    <i>
      <x v="4"/>
    </i>
    <i>
      <x v="5"/>
    </i>
    <i>
      <x v="6"/>
    </i>
    <i>
      <x v="7"/>
    </i>
    <i>
      <x v="8"/>
    </i>
    <i>
      <x v="9"/>
    </i>
    <i>
      <x v="10"/>
    </i>
    <i>
      <x v="11"/>
    </i>
  </rowItems>
  <colItems count="1">
    <i/>
  </colItems>
  <dataFields count="1">
    <dataField name="Sum of Sales" fld="26" baseField="0" baseItem="0" numFmtId="164"/>
  </dataFields>
  <formats count="1">
    <format dxfId="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318F5A-44D4-4EBA-B83A-9622FFB13ADE}" name="PivotTable1" cacheId="0"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8" firstHeaderRow="1" firstDataRow="1" firstDataCol="1"/>
  <pivotFields count="28">
    <pivotField dataField="1" showAll="0"/>
    <pivotField numFmtId="14" showAll="0"/>
    <pivotField dataField="1"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dataField="1" numFmtId="1" showAll="0"/>
  </pivotFields>
  <rowFields count="1">
    <field x="-2"/>
  </rowFields>
  <rowItems count="5">
    <i>
      <x/>
    </i>
    <i i="1">
      <x v="1"/>
    </i>
    <i i="2">
      <x v="2"/>
    </i>
    <i i="3">
      <x v="3"/>
    </i>
    <i i="4">
      <x v="4"/>
    </i>
  </rowItems>
  <colItems count="1">
    <i/>
  </colItems>
  <dataFields count="5">
    <dataField name="Count of Order id" fld="0" subtotal="count" baseField="0" baseItem="0"/>
    <dataField name="Sum of Sales" fld="26" baseField="0" baseItem="0" numFmtId="1"/>
    <dataField name="Sum of Profit" fld="27" baseField="0" baseItem="0" numFmtId="1"/>
    <dataField name="Count of Customer ID" fld="2" subtotal="count" baseField="0" baseItem="3"/>
    <dataField name="Average of  Ratings" fld="19"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84E358-C4D7-4E66-B84F-7BE5FD582051}" name="PivotTable10"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A17:B27" firstHeaderRow="1" firstDataRow="1" firstDataCol="1"/>
  <pivotFields count="28">
    <pivotField showAll="0"/>
    <pivotField numFmtId="14" showAll="0"/>
    <pivotField showAll="0"/>
    <pivotField showAll="0"/>
    <pivotField numFmtId="14" showAll="0"/>
    <pivotField axis="axisRow" showAll="0" sortType="descending">
      <items count="11">
        <item x="6"/>
        <item x="5"/>
        <item x="9"/>
        <item x="4"/>
        <item x="7"/>
        <item x="0"/>
        <item x="3"/>
        <item x="1"/>
        <item x="8"/>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5"/>
  </rowFields>
  <rowItems count="10">
    <i>
      <x/>
    </i>
    <i>
      <x v="9"/>
    </i>
    <i>
      <x v="2"/>
    </i>
    <i>
      <x v="7"/>
    </i>
    <i>
      <x v="1"/>
    </i>
    <i>
      <x v="6"/>
    </i>
    <i>
      <x v="3"/>
    </i>
    <i>
      <x v="8"/>
    </i>
    <i>
      <x v="4"/>
    </i>
    <i>
      <x v="5"/>
    </i>
  </rowItems>
  <colItems count="1">
    <i/>
  </colItems>
  <dataFields count="1">
    <dataField name="Sum of Sales" fld="26" baseField="0" baseItem="0" numFmtId="164"/>
  </dataFields>
  <formats count="1">
    <format dxfId="6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03E908-6DB0-4750-9E2D-D20DA98EEE95}" name="PivotTable14"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G29:H32" firstHeaderRow="1" firstDataRow="1" firstDataCol="1"/>
  <pivotFields count="28">
    <pivotField dataField="1" showAll="0"/>
    <pivotField numFmtId="14"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5"/>
  </rowFields>
  <rowItems count="3">
    <i>
      <x/>
    </i>
    <i>
      <x v="1"/>
    </i>
    <i>
      <x v="2"/>
    </i>
  </rowItems>
  <colItems count="1">
    <i/>
  </colItems>
  <dataFields count="1">
    <dataField name="Count of Order id" fld="0" subtotal="count" baseField="0" baseItem="0" numFmtId="1"/>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F01791-FE2C-49A5-8A5E-75F5BC289534}" name="PivotTable11"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17:E27" firstHeaderRow="1" firstDataRow="1" firstDataCol="1"/>
  <pivotFields count="28">
    <pivotField showAll="0"/>
    <pivotField numFmtId="14" showAll="0"/>
    <pivotField showAll="0"/>
    <pivotField axis="axisRow" showAll="0" measureFilter="1">
      <items count="2036">
        <item m="1" x="1177"/>
        <item m="1" x="1152"/>
        <item m="1" x="1141"/>
        <item m="1" x="1169"/>
        <item m="1" x="1185"/>
        <item m="1" x="1176"/>
        <item m="1" x="1145"/>
        <item m="1" x="1174"/>
        <item m="1" x="1143"/>
        <item m="1" x="1150"/>
        <item m="1" x="1161"/>
        <item m="1" x="1178"/>
        <item m="1" x="1148"/>
        <item m="1" x="1156"/>
        <item m="1" x="1139"/>
        <item m="1" x="1142"/>
        <item m="1" x="1981"/>
        <item m="1" x="1170"/>
        <item m="1" x="1164"/>
        <item m="1" x="1186"/>
        <item m="1" x="1166"/>
        <item m="1" x="1168"/>
        <item m="1" x="1149"/>
        <item m="1" x="1157"/>
        <item m="1" x="1147"/>
        <item m="1" x="1144"/>
        <item m="1" x="1155"/>
        <item m="1" x="1910"/>
        <item m="1" x="1171"/>
        <item m="1" x="1159"/>
        <item m="1" x="1182"/>
        <item m="1" x="1180"/>
        <item m="1" x="1160"/>
        <item m="1" x="1146"/>
        <item m="1" x="1173"/>
        <item m="1" x="1158"/>
        <item m="1" x="1175"/>
        <item m="1" x="1163"/>
        <item m="1" x="1138"/>
        <item m="1" x="1172"/>
        <item m="1" x="1154"/>
        <item m="1" x="1153"/>
        <item m="1" x="1925"/>
        <item m="1" x="1162"/>
        <item m="1" x="1165"/>
        <item m="1" x="1184"/>
        <item m="1" x="1140"/>
        <item m="1" x="1151"/>
        <item m="1" x="1167"/>
        <item m="1" x="1921"/>
        <item m="1" x="1922"/>
        <item m="1" x="1990"/>
        <item m="1" x="1975"/>
        <item m="1" x="2031"/>
        <item m="1" x="1984"/>
        <item m="1" x="1898"/>
        <item m="1" x="1976"/>
        <item m="1" x="1927"/>
        <item m="1" x="1936"/>
        <item m="1" x="2028"/>
        <item m="1" x="1986"/>
        <item m="1" x="1980"/>
        <item m="1" x="1934"/>
        <item m="1" x="1932"/>
        <item m="1" x="2009"/>
        <item m="1" x="1962"/>
        <item m="1" x="1912"/>
        <item m="1" x="1914"/>
        <item m="1" x="1949"/>
        <item m="1" x="2013"/>
        <item m="1" x="1957"/>
        <item m="1" x="2023"/>
        <item m="1" x="1985"/>
        <item m="1" x="2032"/>
        <item m="1" x="1979"/>
        <item m="1" x="1970"/>
        <item m="1" x="1892"/>
        <item m="1" x="1982"/>
        <item m="1" x="1899"/>
        <item m="1" x="1965"/>
        <item m="1" x="1959"/>
        <item m="1" x="2027"/>
        <item m="1" x="2030"/>
        <item m="1" x="1983"/>
        <item m="1" x="1882"/>
        <item m="1" x="1890"/>
        <item m="1" x="1943"/>
        <item m="1" x="1923"/>
        <item m="1" x="1916"/>
        <item m="1" x="1968"/>
        <item m="1" x="1999"/>
        <item m="1" x="1905"/>
        <item m="1" x="1901"/>
        <item m="1" x="1972"/>
        <item m="1" x="2029"/>
        <item m="1" x="1964"/>
        <item m="1" x="1893"/>
        <item m="1" x="2007"/>
        <item m="1" x="1324"/>
        <item m="1" x="1299"/>
        <item m="1" x="1288"/>
        <item m="1" x="1316"/>
        <item m="1" x="1332"/>
        <item m="1" x="1323"/>
        <item m="1" x="1292"/>
        <item m="1" x="1321"/>
        <item m="1" x="1290"/>
        <item m="1" x="1297"/>
        <item m="1" x="1308"/>
        <item m="1" x="1325"/>
        <item m="1" x="1295"/>
        <item m="1" x="1303"/>
        <item m="1" x="1286"/>
        <item m="1" x="1289"/>
        <item m="1" x="1938"/>
        <item m="1" x="1317"/>
        <item m="1" x="1311"/>
        <item m="1" x="1333"/>
        <item m="1" x="1313"/>
        <item m="1" x="1315"/>
        <item m="1" x="1296"/>
        <item m="1" x="1304"/>
        <item m="1" x="1294"/>
        <item m="1" x="1291"/>
        <item m="1" x="1302"/>
        <item m="1" x="2001"/>
        <item m="1" x="1318"/>
        <item m="1" x="1306"/>
        <item m="1" x="1329"/>
        <item m="1" x="1327"/>
        <item m="1" x="1307"/>
        <item m="1" x="1293"/>
        <item m="1" x="1320"/>
        <item m="1" x="1305"/>
        <item m="1" x="1322"/>
        <item m="1" x="1310"/>
        <item m="1" x="1285"/>
        <item m="1" x="1319"/>
        <item m="1" x="1301"/>
        <item m="1" x="1300"/>
        <item m="1" x="1913"/>
        <item m="1" x="1309"/>
        <item m="1" x="1312"/>
        <item m="1" x="1331"/>
        <item m="1" x="1287"/>
        <item m="1" x="1298"/>
        <item m="1" x="1314"/>
        <item m="1" x="1569"/>
        <item m="1" x="1544"/>
        <item m="1" x="1533"/>
        <item m="1" x="1561"/>
        <item m="1" x="1577"/>
        <item m="1" x="1568"/>
        <item m="1" x="1537"/>
        <item m="1" x="1566"/>
        <item m="1" x="1535"/>
        <item m="1" x="1542"/>
        <item m="1" x="1553"/>
        <item m="1" x="1570"/>
        <item m="1" x="1540"/>
        <item m="1" x="1548"/>
        <item m="1" x="1531"/>
        <item m="1" x="1534"/>
        <item m="1" x="2008"/>
        <item m="1" x="1562"/>
        <item m="1" x="1556"/>
        <item m="1" x="1578"/>
        <item m="1" x="1558"/>
        <item m="1" x="1560"/>
        <item m="1" x="1541"/>
        <item m="1" x="1549"/>
        <item m="1" x="1539"/>
        <item m="1" x="1536"/>
        <item m="1" x="1547"/>
        <item m="1" x="1919"/>
        <item m="1" x="1563"/>
        <item m="1" x="1551"/>
        <item m="1" x="1574"/>
        <item m="1" x="1572"/>
        <item m="1" x="1552"/>
        <item m="1" x="1538"/>
        <item m="1" x="1565"/>
        <item m="1" x="1550"/>
        <item m="1" x="1567"/>
        <item m="1" x="1555"/>
        <item m="1" x="1530"/>
        <item m="1" x="1564"/>
        <item m="1" x="1546"/>
        <item m="1" x="1545"/>
        <item m="1" x="1989"/>
        <item m="1" x="1554"/>
        <item m="1" x="1557"/>
        <item m="1" x="1576"/>
        <item m="1" x="1532"/>
        <item m="1" x="1543"/>
        <item m="1" x="1559"/>
        <item m="1" x="1471"/>
        <item m="1" x="1446"/>
        <item m="1" x="1435"/>
        <item m="1" x="1463"/>
        <item m="1" x="1479"/>
        <item m="1" x="1470"/>
        <item m="1" x="1439"/>
        <item m="1" x="1468"/>
        <item m="1" x="1437"/>
        <item m="1" x="1444"/>
        <item m="1" x="1455"/>
        <item m="1" x="1472"/>
        <item m="1" x="1442"/>
        <item m="1" x="1450"/>
        <item m="1" x="1433"/>
        <item m="1" x="1436"/>
        <item m="1" x="1933"/>
        <item m="1" x="1464"/>
        <item m="1" x="1458"/>
        <item m="1" x="1480"/>
        <item m="1" x="1460"/>
        <item m="1" x="1462"/>
        <item m="1" x="1443"/>
        <item m="1" x="1451"/>
        <item m="1" x="1441"/>
        <item m="1" x="1438"/>
        <item m="1" x="1449"/>
        <item m="1" x="1969"/>
        <item m="1" x="1465"/>
        <item m="1" x="1453"/>
        <item m="1" x="1476"/>
        <item m="1" x="1474"/>
        <item m="1" x="1454"/>
        <item m="1" x="1440"/>
        <item m="1" x="1467"/>
        <item m="1" x="1452"/>
        <item m="1" x="1469"/>
        <item m="1" x="1457"/>
        <item m="1" x="1432"/>
        <item m="1" x="1466"/>
        <item m="1" x="1448"/>
        <item m="1" x="1447"/>
        <item m="1" x="2000"/>
        <item m="1" x="1456"/>
        <item m="1" x="1459"/>
        <item m="1" x="1478"/>
        <item m="1" x="1434"/>
        <item m="1" x="1445"/>
        <item m="1" x="1461"/>
        <item m="1" x="1032"/>
        <item m="1" x="1007"/>
        <item m="1" x="996"/>
        <item m="1" x="1024"/>
        <item m="1" x="1040"/>
        <item m="1" x="1031"/>
        <item m="1" x="1000"/>
        <item m="1" x="1029"/>
        <item m="1" x="998"/>
        <item m="1" x="1005"/>
        <item m="1" x="1016"/>
        <item m="1" x="1033"/>
        <item m="1" x="1003"/>
        <item m="1" x="1011"/>
        <item m="1" x="994"/>
        <item m="1" x="997"/>
        <item m="1" x="1904"/>
        <item m="1" x="1025"/>
        <item m="1" x="1019"/>
        <item m="1" x="1041"/>
        <item m="1" x="1021"/>
        <item m="1" x="1023"/>
        <item m="1" x="1004"/>
        <item m="1" x="1012"/>
        <item m="1" x="1002"/>
        <item m="1" x="999"/>
        <item m="1" x="1010"/>
        <item x="279"/>
        <item m="1" x="1026"/>
        <item m="1" x="1014"/>
        <item m="1" x="1037"/>
        <item m="1" x="1035"/>
        <item m="1" x="1015"/>
        <item m="1" x="1001"/>
        <item m="1" x="1028"/>
        <item m="1" x="1013"/>
        <item m="1" x="1030"/>
        <item m="1" x="1018"/>
        <item m="1" x="993"/>
        <item m="1" x="1027"/>
        <item m="1" x="1009"/>
        <item m="1" x="1008"/>
        <item m="1" x="1974"/>
        <item m="1" x="1017"/>
        <item m="1" x="1020"/>
        <item m="1" x="1039"/>
        <item m="1" x="995"/>
        <item m="1" x="1006"/>
        <item m="1" x="1022"/>
        <item m="1" x="1809"/>
        <item m="1" x="1784"/>
        <item m="1" x="1773"/>
        <item m="1" x="1801"/>
        <item m="1" x="1817"/>
        <item m="1" x="1808"/>
        <item m="1" x="1777"/>
        <item m="1" x="1806"/>
        <item m="1" x="1775"/>
        <item m="1" x="1782"/>
        <item m="1" x="1793"/>
        <item m="1" x="1810"/>
        <item m="1" x="1780"/>
        <item m="1" x="1788"/>
        <item m="1" x="1771"/>
        <item m="1" x="1774"/>
        <item m="1" x="1940"/>
        <item m="1" x="1802"/>
        <item m="1" x="1796"/>
        <item m="1" x="1818"/>
        <item m="1" x="1798"/>
        <item m="1" x="1800"/>
        <item m="1" x="1781"/>
        <item m="1" x="1789"/>
        <item m="1" x="1779"/>
        <item m="1" x="1776"/>
        <item m="1" x="1787"/>
        <item m="1" x="2005"/>
        <item m="1" x="1803"/>
        <item m="1" x="1791"/>
        <item m="1" x="1814"/>
        <item m="1" x="1812"/>
        <item m="1" x="1792"/>
        <item m="1" x="1778"/>
        <item m="1" x="1805"/>
        <item m="1" x="1790"/>
        <item m="1" x="1807"/>
        <item m="1" x="1795"/>
        <item m="1" x="1770"/>
        <item m="1" x="1804"/>
        <item m="1" x="1786"/>
        <item m="1" x="1785"/>
        <item m="1" x="1918"/>
        <item m="1" x="1794"/>
        <item m="1" x="1797"/>
        <item m="1" x="1816"/>
        <item m="1" x="1772"/>
        <item m="1" x="1783"/>
        <item m="1" x="1799"/>
        <item m="1" x="1887"/>
        <item m="1" x="1888"/>
        <item m="1" x="1960"/>
        <item m="1" x="1944"/>
        <item x="463"/>
        <item m="1" x="1955"/>
        <item m="1" x="2018"/>
        <item m="1" x="1946"/>
        <item m="1" x="1894"/>
        <item m="1" x="1900"/>
        <item m="1" x="1992"/>
        <item m="1" x="1958"/>
        <item m="1" x="1950"/>
        <item m="1" x="1897"/>
        <item m="1" x="1895"/>
        <item m="1" x="1973"/>
        <item m="1" x="1924"/>
        <item m="1" x="2034"/>
        <item m="1" x="1884"/>
        <item m="1" x="1907"/>
        <item m="1" x="1978"/>
        <item m="1" x="1915"/>
        <item m="1" x="1988"/>
        <item m="1" x="1956"/>
        <item m="1" x="1997"/>
        <item m="1" x="1947"/>
        <item m="1" x="1941"/>
        <item m="1" x="2011"/>
        <item m="1" x="1953"/>
        <item m="1" x="2019"/>
        <item m="1" x="1930"/>
        <item m="1" x="1917"/>
        <item m="1" x="1991"/>
        <item m="1" x="1996"/>
        <item m="1" x="1954"/>
        <item m="1" x="2003"/>
        <item m="1" x="2010"/>
        <item m="1" x="1906"/>
        <item m="1" x="1889"/>
        <item m="1" x="1885"/>
        <item m="1" x="1937"/>
        <item m="1" x="1966"/>
        <item m="1" x="2025"/>
        <item m="1" x="2022"/>
        <item m="1" x="1942"/>
        <item m="1" x="1993"/>
        <item m="1" x="1928"/>
        <item m="1" x="2012"/>
        <item m="1" x="1971"/>
        <item m="1" x="1422"/>
        <item m="1" x="1397"/>
        <item m="1" x="1386"/>
        <item m="1" x="1414"/>
        <item m="1" x="1430"/>
        <item m="1" x="1421"/>
        <item m="1" x="1390"/>
        <item m="1" x="1419"/>
        <item m="1" x="1388"/>
        <item m="1" x="1395"/>
        <item m="1" x="1406"/>
        <item m="1" x="1423"/>
        <item m="1" x="1393"/>
        <item m="1" x="1401"/>
        <item m="1" x="1384"/>
        <item m="1" x="1387"/>
        <item m="1" x="1908"/>
        <item m="1" x="1415"/>
        <item m="1" x="1409"/>
        <item m="1" x="1431"/>
        <item m="1" x="1411"/>
        <item m="1" x="1413"/>
        <item m="1" x="1394"/>
        <item m="1" x="1402"/>
        <item m="1" x="1392"/>
        <item m="1" x="1389"/>
        <item m="1" x="1400"/>
        <item m="1" x="2021"/>
        <item m="1" x="1416"/>
        <item m="1" x="1404"/>
        <item m="1" x="1427"/>
        <item m="1" x="1425"/>
        <item m="1" x="1405"/>
        <item m="1" x="1391"/>
        <item m="1" x="1418"/>
        <item m="1" x="1403"/>
        <item m="1" x="1420"/>
        <item m="1" x="1408"/>
        <item m="1" x="1383"/>
        <item m="1" x="1417"/>
        <item m="1" x="1399"/>
        <item m="1" x="1398"/>
        <item m="1" x="1977"/>
        <item m="1" x="1407"/>
        <item m="1" x="1410"/>
        <item m="1" x="1429"/>
        <item m="1" x="1385"/>
        <item m="1" x="1396"/>
        <item m="1" x="1412"/>
        <item m="1" x="1081"/>
        <item m="1" x="1056"/>
        <item m="1" x="1045"/>
        <item m="1" x="1073"/>
        <item m="1" x="1089"/>
        <item m="1" x="1080"/>
        <item m="1" x="1049"/>
        <item m="1" x="1078"/>
        <item m="1" x="1047"/>
        <item m="1" x="1054"/>
        <item m="1" x="1065"/>
        <item m="1" x="1082"/>
        <item m="1" x="1052"/>
        <item m="1" x="1060"/>
        <item m="1" x="1043"/>
        <item m="1" x="1046"/>
        <item m="1" x="1896"/>
        <item m="1" x="1074"/>
        <item m="1" x="1068"/>
        <item m="1" x="1090"/>
        <item m="1" x="1070"/>
        <item m="1" x="1072"/>
        <item m="1" x="1053"/>
        <item m="1" x="1061"/>
        <item m="1" x="1051"/>
        <item m="1" x="1048"/>
        <item m="1" x="1059"/>
        <item m="1" x="1939"/>
        <item m="1" x="1075"/>
        <item m="1" x="1063"/>
        <item m="1" x="1086"/>
        <item m="1" x="1084"/>
        <item m="1" x="1064"/>
        <item m="1" x="1050"/>
        <item m="1" x="1077"/>
        <item m="1" x="1062"/>
        <item m="1" x="1079"/>
        <item m="1" x="1067"/>
        <item m="1" x="1042"/>
        <item m="1" x="1076"/>
        <item m="1" x="1058"/>
        <item m="1" x="1057"/>
        <item m="1" x="1967"/>
        <item m="1" x="1066"/>
        <item m="1" x="1069"/>
        <item m="1" x="1088"/>
        <item m="1" x="1044"/>
        <item m="1" x="1055"/>
        <item m="1" x="1071"/>
        <item m="1" x="1665"/>
        <item m="1" x="1640"/>
        <item m="1" x="1629"/>
        <item m="1" x="1657"/>
        <item m="1" x="1673"/>
        <item m="1" x="1664"/>
        <item m="1" x="1633"/>
        <item m="1" x="1662"/>
        <item m="1" x="1631"/>
        <item m="1" x="1638"/>
        <item m="1" x="1649"/>
        <item m="1" x="1666"/>
        <item m="1" x="1636"/>
        <item m="1" x="1644"/>
        <item m="1" x="1627"/>
        <item m="1" x="1630"/>
        <item m="1" x="1995"/>
        <item m="1" x="1658"/>
        <item m="1" x="1652"/>
        <item m="1" x="1674"/>
        <item m="1" x="1654"/>
        <item m="1" x="1656"/>
        <item m="1" x="1637"/>
        <item m="1" x="1645"/>
        <item m="1" x="1635"/>
        <item m="1" x="1632"/>
        <item m="1" x="1643"/>
        <item m="1" x="1929"/>
        <item m="1" x="1659"/>
        <item m="1" x="1647"/>
        <item m="1" x="1670"/>
        <item m="1" x="1668"/>
        <item m="1" x="1648"/>
        <item m="1" x="1634"/>
        <item m="1" x="1661"/>
        <item m="1" x="1646"/>
        <item m="1" x="1663"/>
        <item m="1" x="1651"/>
        <item m="1" x="1626"/>
        <item m="1" x="1660"/>
        <item m="1" x="1642"/>
        <item m="1" x="1641"/>
        <item m="1" x="1948"/>
        <item m="1" x="1650"/>
        <item m="1" x="1653"/>
        <item m="1" x="1672"/>
        <item m="1" x="1628"/>
        <item m="1" x="1639"/>
        <item m="1" x="1655"/>
        <item m="1" x="1520"/>
        <item m="1" x="1495"/>
        <item m="1" x="1484"/>
        <item m="1" x="1512"/>
        <item m="1" x="1528"/>
        <item m="1" x="1519"/>
        <item m="1" x="1488"/>
        <item m="1" x="1517"/>
        <item m="1" x="1486"/>
        <item m="1" x="1493"/>
        <item m="1" x="1504"/>
        <item m="1" x="1521"/>
        <item m="1" x="1491"/>
        <item m="1" x="1499"/>
        <item m="1" x="1482"/>
        <item m="1" x="1485"/>
        <item m="1" x="2006"/>
        <item m="1" x="1513"/>
        <item m="1" x="1507"/>
        <item m="1" x="1529"/>
        <item m="1" x="1509"/>
        <item m="1" x="1511"/>
        <item m="1" x="1492"/>
        <item m="1" x="1500"/>
        <item m="1" x="1490"/>
        <item m="1" x="1487"/>
        <item m="1" x="1498"/>
        <item m="1" x="2026"/>
        <item m="1" x="1514"/>
        <item m="1" x="1502"/>
        <item m="1" x="1525"/>
        <item m="1" x="1523"/>
        <item m="1" x="1503"/>
        <item m="1" x="1489"/>
        <item m="1" x="1516"/>
        <item m="1" x="1501"/>
        <item m="1" x="1518"/>
        <item m="1" x="1506"/>
        <item m="1" x="1481"/>
        <item m="1" x="1515"/>
        <item m="1" x="1497"/>
        <item m="1" x="1496"/>
        <item m="1" x="2014"/>
        <item m="1" x="1505"/>
        <item m="1" x="1508"/>
        <item m="1" x="1527"/>
        <item m="1" x="1483"/>
        <item m="1" x="1494"/>
        <item m="1" x="1510"/>
        <item m="1" x="1760"/>
        <item m="1" x="1735"/>
        <item m="1" x="1724"/>
        <item m="1" x="1752"/>
        <item m="1" x="1768"/>
        <item m="1" x="1759"/>
        <item m="1" x="1728"/>
        <item m="1" x="1757"/>
        <item m="1" x="1726"/>
        <item m="1" x="1733"/>
        <item m="1" x="1744"/>
        <item m="1" x="1761"/>
        <item m="1" x="1731"/>
        <item m="1" x="1739"/>
        <item m="1" x="1722"/>
        <item m="1" x="1725"/>
        <item m="1" x="1920"/>
        <item m="1" x="1753"/>
        <item m="1" x="1747"/>
        <item m="1" x="1769"/>
        <item m="1" x="1749"/>
        <item m="1" x="1751"/>
        <item m="1" x="1732"/>
        <item m="1" x="1740"/>
        <item m="1" x="1730"/>
        <item m="1" x="1727"/>
        <item m="1" x="1738"/>
        <item m="1" x="2002"/>
        <item m="1" x="1754"/>
        <item m="1" x="1742"/>
        <item m="1" x="1765"/>
        <item m="1" x="1763"/>
        <item m="1" x="1743"/>
        <item m="1" x="1729"/>
        <item m="1" x="1756"/>
        <item m="1" x="1741"/>
        <item m="1" x="1758"/>
        <item m="1" x="1746"/>
        <item m="1" x="1721"/>
        <item m="1" x="1755"/>
        <item m="1" x="1737"/>
        <item m="1" x="1736"/>
        <item m="1" x="1903"/>
        <item m="1" x="1745"/>
        <item m="1" x="1748"/>
        <item m="1" x="1767"/>
        <item m="1" x="1723"/>
        <item m="1" x="1734"/>
        <item m="1" x="1750"/>
        <item m="1" x="1876"/>
        <item m="1" x="1871"/>
        <item m="1" x="1872"/>
        <item m="1" x="1874"/>
        <item m="1" x="1880"/>
        <item m="1" x="1869"/>
        <item x="701"/>
        <item m="1" x="1881"/>
        <item m="1" x="1873"/>
        <item m="1" x="1879"/>
        <item m="1" x="1868"/>
        <item m="1" x="1878"/>
        <item m="1" x="1877"/>
        <item m="1" x="1870"/>
        <item m="1" x="1875"/>
        <item m="1" x="1128"/>
        <item m="1" x="1104"/>
        <item m="1" x="1094"/>
        <item m="1" x="1120"/>
        <item m="1" x="1136"/>
        <item m="1" x="1127"/>
        <item m="1" x="1098"/>
        <item m="1" x="1125"/>
        <item m="1" x="1096"/>
        <item m="1" x="1102"/>
        <item m="1" x="1112"/>
        <item m="1" x="1129"/>
        <item m="1" x="1101"/>
        <item m="1" x="1107"/>
        <item m="1" x="1092"/>
        <item m="1" x="1095"/>
        <item m="1" x="2033"/>
        <item m="1" x="1121"/>
        <item m="1" x="1115"/>
        <item m="1" x="1137"/>
        <item m="1" x="1117"/>
        <item m="1" x="1119"/>
        <item x="716"/>
        <item m="1" x="1108"/>
        <item m="1" x="1100"/>
        <item m="1" x="1097"/>
        <item x="717"/>
        <item m="1" x="1951"/>
        <item m="1" x="1122"/>
        <item m="1" x="1110"/>
        <item m="1" x="1133"/>
        <item m="1" x="1131"/>
        <item m="1" x="1111"/>
        <item m="1" x="1099"/>
        <item m="1" x="1124"/>
        <item m="1" x="1109"/>
        <item m="1" x="1126"/>
        <item m="1" x="1114"/>
        <item m="1" x="1091"/>
        <item m="1" x="1123"/>
        <item m="1" x="1106"/>
        <item m="1" x="1105"/>
        <item m="1" x="2015"/>
        <item m="1" x="1113"/>
        <item m="1" x="1116"/>
        <item m="1" x="1135"/>
        <item m="1" x="1093"/>
        <item m="1" x="1103"/>
        <item m="1" x="1118"/>
        <item m="1" x="1858"/>
        <item m="1" x="1833"/>
        <item m="1" x="1822"/>
        <item m="1" x="1850"/>
        <item m="1" x="1866"/>
        <item m="1" x="1857"/>
        <item m="1" x="1826"/>
        <item m="1" x="1855"/>
        <item m="1" x="1824"/>
        <item m="1" x="1831"/>
        <item m="1" x="1842"/>
        <item m="1" x="1859"/>
        <item m="1" x="1829"/>
        <item m="1" x="1837"/>
        <item m="1" x="1820"/>
        <item m="1" x="1823"/>
        <item m="1" x="1998"/>
        <item m="1" x="1851"/>
        <item m="1" x="1845"/>
        <item m="1" x="1867"/>
        <item m="1" x="1847"/>
        <item m="1" x="1849"/>
        <item m="1" x="1830"/>
        <item m="1" x="1838"/>
        <item m="1" x="1828"/>
        <item m="1" x="1825"/>
        <item m="1" x="1836"/>
        <item m="1" x="1886"/>
        <item m="1" x="1852"/>
        <item m="1" x="1840"/>
        <item m="1" x="1863"/>
        <item m="1" x="1861"/>
        <item m="1" x="1841"/>
        <item m="1" x="1827"/>
        <item m="1" x="1854"/>
        <item m="1" x="1839"/>
        <item m="1" x="1856"/>
        <item m="1" x="1844"/>
        <item m="1" x="1819"/>
        <item m="1" x="1853"/>
        <item m="1" x="1835"/>
        <item m="1" x="1834"/>
        <item m="1" x="1911"/>
        <item m="1" x="1843"/>
        <item m="1" x="1846"/>
        <item m="1" x="1865"/>
        <item m="1" x="1821"/>
        <item m="1" x="1832"/>
        <item m="1" x="1848"/>
        <item m="1" x="1226"/>
        <item m="1" x="1201"/>
        <item m="1" x="1190"/>
        <item m="1" x="1218"/>
        <item m="1" x="1234"/>
        <item m="1" x="1225"/>
        <item m="1" x="1194"/>
        <item m="1" x="1223"/>
        <item m="1" x="1192"/>
        <item m="1" x="1199"/>
        <item m="1" x="1210"/>
        <item m="1" x="1227"/>
        <item m="1" x="1197"/>
        <item m="1" x="1205"/>
        <item m="1" x="1188"/>
        <item m="1" x="1191"/>
        <item m="1" x="2016"/>
        <item m="1" x="1219"/>
        <item m="1" x="1213"/>
        <item m="1" x="1235"/>
        <item m="1" x="1215"/>
        <item m="1" x="1217"/>
        <item m="1" x="1198"/>
        <item m="1" x="1206"/>
        <item m="1" x="1196"/>
        <item m="1" x="1193"/>
        <item m="1" x="1204"/>
        <item m="1" x="1952"/>
        <item m="1" x="1220"/>
        <item m="1" x="1208"/>
        <item m="1" x="1231"/>
        <item m="1" x="1229"/>
        <item m="1" x="1209"/>
        <item m="1" x="1195"/>
        <item m="1" x="1222"/>
        <item m="1" x="1207"/>
        <item m="1" x="1224"/>
        <item m="1" x="1212"/>
        <item m="1" x="1187"/>
        <item m="1" x="1221"/>
        <item m="1" x="1203"/>
        <item m="1" x="1202"/>
        <item m="1" x="1963"/>
        <item m="1" x="1211"/>
        <item m="1" x="1214"/>
        <item m="1" x="1233"/>
        <item m="1" x="1189"/>
        <item m="1" x="1200"/>
        <item m="1" x="1216"/>
        <item m="1" x="1275"/>
        <item m="1" x="1250"/>
        <item m="1" x="1239"/>
        <item m="1" x="1267"/>
        <item m="1" x="1283"/>
        <item m="1" x="1274"/>
        <item m="1" x="1243"/>
        <item m="1" x="1272"/>
        <item m="1" x="1241"/>
        <item m="1" x="1248"/>
        <item m="1" x="1259"/>
        <item m="1" x="1276"/>
        <item m="1" x="1246"/>
        <item m="1" x="1254"/>
        <item m="1" x="1237"/>
        <item m="1" x="1240"/>
        <item m="1" x="1994"/>
        <item m="1" x="1268"/>
        <item m="1" x="1262"/>
        <item m="1" x="1284"/>
        <item m="1" x="1264"/>
        <item m="1" x="1266"/>
        <item m="1" x="1247"/>
        <item m="1" x="1255"/>
        <item m="1" x="1245"/>
        <item m="1" x="1242"/>
        <item m="1" x="1253"/>
        <item m="1" x="1926"/>
        <item m="1" x="1269"/>
        <item m="1" x="1257"/>
        <item m="1" x="1280"/>
        <item m="1" x="1278"/>
        <item m="1" x="1258"/>
        <item m="1" x="1244"/>
        <item m="1" x="1271"/>
        <item m="1" x="1256"/>
        <item m="1" x="1273"/>
        <item m="1" x="1261"/>
        <item m="1" x="1236"/>
        <item m="1" x="1270"/>
        <item m="1" x="1252"/>
        <item m="1" x="1251"/>
        <item m="1" x="1945"/>
        <item m="1" x="1260"/>
        <item m="1" x="1263"/>
        <item m="1" x="1282"/>
        <item m="1" x="1238"/>
        <item m="1" x="1249"/>
        <item m="1" x="1265"/>
        <item m="1" x="1616"/>
        <item m="1" x="1591"/>
        <item x="846"/>
        <item m="1" x="1608"/>
        <item m="1" x="1624"/>
        <item m="1" x="1615"/>
        <item m="1" x="1584"/>
        <item m="1" x="1613"/>
        <item m="1" x="1582"/>
        <item m="1" x="1589"/>
        <item m="1" x="1600"/>
        <item m="1" x="1617"/>
        <item m="1" x="1587"/>
        <item m="1" x="1595"/>
        <item m="1" x="1580"/>
        <item x="848"/>
        <item m="1" x="1902"/>
        <item m="1" x="1609"/>
        <item m="1" x="1603"/>
        <item m="1" x="1625"/>
        <item m="1" x="1605"/>
        <item m="1" x="1607"/>
        <item m="1" x="1588"/>
        <item m="1" x="1596"/>
        <item m="1" x="1586"/>
        <item m="1" x="1583"/>
        <item m="1" x="1594"/>
        <item m="1" x="1987"/>
        <item m="1" x="1610"/>
        <item m="1" x="1598"/>
        <item m="1" x="1621"/>
        <item m="1" x="1619"/>
        <item m="1" x="1599"/>
        <item m="1" x="1585"/>
        <item m="1" x="1612"/>
        <item m="1" x="1597"/>
        <item m="1" x="1614"/>
        <item m="1" x="1602"/>
        <item m="1" x="1579"/>
        <item m="1" x="1611"/>
        <item m="1" x="1593"/>
        <item m="1" x="1592"/>
        <item m="1" x="2004"/>
        <item m="1" x="1601"/>
        <item m="1" x="1604"/>
        <item m="1" x="1623"/>
        <item m="1" x="1581"/>
        <item m="1" x="1590"/>
        <item m="1" x="1606"/>
        <item m="1" x="1711"/>
        <item m="1" x="1687"/>
        <item m="1" x="1678"/>
        <item x="892"/>
        <item m="1" x="1719"/>
        <item m="1" x="1710"/>
        <item m="1" x="1681"/>
        <item m="1" x="1708"/>
        <item m="1" x="1679"/>
        <item m="1" x="1685"/>
        <item m="1" x="1696"/>
        <item m="1" x="1712"/>
        <item m="1" x="1683"/>
        <item m="1" x="1691"/>
        <item m="1" x="1676"/>
        <item x="896"/>
        <item m="1" x="2020"/>
        <item m="1" x="1704"/>
        <item m="1" x="1699"/>
        <item m="1" x="1720"/>
        <item m="1" x="1701"/>
        <item m="1" x="1703"/>
        <item m="1" x="1684"/>
        <item m="1" x="1692"/>
        <item m="1" x="1682"/>
        <item m="1" x="1680"/>
        <item m="1" x="1690"/>
        <item m="1" x="1935"/>
        <item m="1" x="1705"/>
        <item m="1" x="1694"/>
        <item m="1" x="1716"/>
        <item m="1" x="1714"/>
        <item m="1" x="1695"/>
        <item x="899"/>
        <item m="1" x="1707"/>
        <item m="1" x="1693"/>
        <item m="1" x="1709"/>
        <item m="1" x="1698"/>
        <item m="1" x="1675"/>
        <item m="1" x="1706"/>
        <item m="1" x="1689"/>
        <item m="1" x="1688"/>
        <item m="1" x="1909"/>
        <item m="1" x="1697"/>
        <item m="1" x="1700"/>
        <item m="1" x="1718"/>
        <item m="1" x="1677"/>
        <item m="1" x="1686"/>
        <item m="1" x="1702"/>
        <item m="1" x="1373"/>
        <item m="1" x="1348"/>
        <item m="1" x="1337"/>
        <item m="1" x="1365"/>
        <item m="1" x="1381"/>
        <item m="1" x="1372"/>
        <item m="1" x="1341"/>
        <item m="1" x="1370"/>
        <item m="1" x="1339"/>
        <item m="1" x="1346"/>
        <item m="1" x="1357"/>
        <item m="1" x="1374"/>
        <item m="1" x="1344"/>
        <item m="1" x="1352"/>
        <item m="1" x="1335"/>
        <item m="1" x="1338"/>
        <item m="1" x="2017"/>
        <item m="1" x="1366"/>
        <item m="1" x="1360"/>
        <item m="1" x="1382"/>
        <item m="1" x="1362"/>
        <item m="1" x="1364"/>
        <item m="1" x="1345"/>
        <item m="1" x="1353"/>
        <item m="1" x="1343"/>
        <item m="1" x="1340"/>
        <item m="1" x="1351"/>
        <item m="1" x="1883"/>
        <item m="1" x="1367"/>
        <item m="1" x="1355"/>
        <item m="1" x="1378"/>
        <item m="1" x="1376"/>
        <item m="1" x="1356"/>
        <item m="1" x="1342"/>
        <item m="1" x="1369"/>
        <item m="1" x="1354"/>
        <item m="1" x="1371"/>
        <item m="1" x="1359"/>
        <item m="1" x="1334"/>
        <item m="1" x="1368"/>
        <item m="1" x="1350"/>
        <item m="1" x="1349"/>
        <item m="1" x="2024"/>
        <item m="1" x="1358"/>
        <item m="1" x="1361"/>
        <item m="1" x="1380"/>
        <item m="1" x="1336"/>
        <item m="1" x="1347"/>
        <item m="1" x="1363"/>
        <item m="1" x="946"/>
        <item m="1" x="947"/>
        <item m="1" x="948"/>
        <item m="1" x="949"/>
        <item m="1" x="950"/>
        <item m="1" x="951"/>
        <item m="1" x="952"/>
        <item m="1" x="953"/>
        <item m="1" x="954"/>
        <item m="1" x="955"/>
        <item m="1" x="956"/>
        <item x="443"/>
        <item m="1" x="957"/>
        <item m="1" x="958"/>
        <item m="1" x="959"/>
        <item m="1" x="960"/>
        <item m="1" x="961"/>
        <item m="1" x="962"/>
        <item m="1" x="963"/>
        <item m="1" x="964"/>
        <item m="1" x="965"/>
        <item x="444"/>
        <item m="1" x="966"/>
        <item m="1" x="967"/>
        <item m="1" x="968"/>
        <item m="1" x="969"/>
        <item m="1" x="970"/>
        <item m="1" x="971"/>
        <item m="1" x="972"/>
        <item m="1" x="973"/>
        <item m="1" x="974"/>
        <item m="1" x="975"/>
        <item m="1" x="976"/>
        <item m="1" x="977"/>
        <item m="1" x="978"/>
        <item m="1" x="979"/>
        <item m="1" x="980"/>
        <item m="1" x="981"/>
        <item m="1" x="982"/>
        <item m="1" x="983"/>
        <item m="1" x="984"/>
        <item m="1" x="1891"/>
        <item m="1" x="986"/>
        <item m="1" x="1931"/>
        <item m="1" x="988"/>
        <item m="1" x="1961"/>
        <item m="1" x="990"/>
        <item m="1" x="991"/>
        <item m="1" x="992"/>
        <item m="1" x="987"/>
        <item m="1" x="1036"/>
        <item m="1" x="1085"/>
        <item m="1" x="1132"/>
        <item m="1" x="1181"/>
        <item m="1" x="1230"/>
        <item m="1" x="1279"/>
        <item m="1" x="1328"/>
        <item m="1" x="1377"/>
        <item m="1" x="1426"/>
        <item m="1" x="1475"/>
        <item m="1" x="1524"/>
        <item m="1" x="1573"/>
        <item m="1" x="1620"/>
        <item m="1" x="1669"/>
        <item m="1" x="1715"/>
        <item m="1" x="1764"/>
        <item m="1" x="1813"/>
        <item m="1" x="1862"/>
        <item m="1" x="985"/>
        <item m="1" x="989"/>
        <item m="1" x="1034"/>
        <item m="1" x="1038"/>
        <item m="1" x="1083"/>
        <item m="1" x="1087"/>
        <item m="1" x="1130"/>
        <item m="1" x="1134"/>
        <item m="1" x="1179"/>
        <item m="1" x="1183"/>
        <item m="1" x="1228"/>
        <item m="1" x="1232"/>
        <item m="1" x="1277"/>
        <item m="1" x="1281"/>
        <item m="1" x="1326"/>
        <item m="1" x="1330"/>
        <item m="1" x="1375"/>
        <item m="1" x="1379"/>
        <item m="1" x="1424"/>
        <item m="1" x="1428"/>
        <item m="1" x="1473"/>
        <item m="1" x="1477"/>
        <item m="1" x="1522"/>
        <item m="1" x="1526"/>
        <item m="1" x="1571"/>
        <item m="1" x="1575"/>
        <item m="1" x="1618"/>
        <item m="1" x="1622"/>
        <item m="1" x="1667"/>
        <item m="1" x="1671"/>
        <item m="1" x="1713"/>
        <item m="1" x="1717"/>
        <item m="1" x="1762"/>
        <item m="1" x="1766"/>
        <item m="1" x="1811"/>
        <item m="1" x="1815"/>
        <item m="1" x="1860"/>
        <item m="1" x="18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5"/>
        <item x="446"/>
        <item x="447"/>
        <item x="448"/>
        <item x="449"/>
        <item x="450"/>
        <item x="451"/>
        <item x="452"/>
        <item x="453"/>
        <item x="454"/>
        <item x="455"/>
        <item x="456"/>
        <item x="457"/>
        <item x="458"/>
        <item x="459"/>
        <item x="460"/>
        <item x="461"/>
        <item x="462"/>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2"/>
        <item x="703"/>
        <item x="704"/>
        <item x="705"/>
        <item x="706"/>
        <item x="707"/>
        <item x="708"/>
        <item x="709"/>
        <item x="710"/>
        <item x="711"/>
        <item x="712"/>
        <item x="713"/>
        <item x="714"/>
        <item x="715"/>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7"/>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3"/>
        <item x="894"/>
        <item x="895"/>
        <item x="897"/>
        <item x="898"/>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t="default"/>
      </items>
    </pivotField>
    <pivotField numFmtId="14"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3"/>
  </rowFields>
  <rowItems count="10">
    <i>
      <x v="863"/>
    </i>
    <i>
      <x v="1883"/>
    </i>
    <i>
      <x v="1906"/>
    </i>
    <i>
      <x v="1928"/>
    </i>
    <i>
      <x v="1931"/>
    </i>
    <i>
      <x v="1933"/>
    </i>
    <i>
      <x v="1962"/>
    </i>
    <i>
      <x v="1966"/>
    </i>
    <i>
      <x v="2014"/>
    </i>
    <i>
      <x v="2016"/>
    </i>
  </rowItems>
  <colItems count="1">
    <i/>
  </colItems>
  <dataFields count="1">
    <dataField name="Sum of Sales" fld="26" baseField="0" baseItem="0" numFmtId="165"/>
  </dataFields>
  <formats count="1">
    <format dxfId="66">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64707DD-5F13-4EEE-B018-69183605C1DA}" name="PivotTable7"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M3:N28" firstHeaderRow="1" firstDataRow="1" firstDataCol="1"/>
  <pivotFields count="28">
    <pivotField showAll="0"/>
    <pivotField numFmtId="14" showAll="0"/>
    <pivotField showAll="0"/>
    <pivotField showAll="0"/>
    <pivotField numFmtId="14" showAll="0"/>
    <pivotField showAll="0"/>
    <pivotField showAll="0"/>
    <pivotField showAll="0"/>
    <pivotField axis="axisRow" showAll="0">
      <items count="26">
        <item x="9"/>
        <item x="4"/>
        <item x="1"/>
        <item x="15"/>
        <item x="8"/>
        <item x="13"/>
        <item x="22"/>
        <item x="5"/>
        <item x="19"/>
        <item x="0"/>
        <item x="12"/>
        <item x="23"/>
        <item x="14"/>
        <item x="11"/>
        <item x="7"/>
        <item x="6"/>
        <item x="2"/>
        <item x="24"/>
        <item x="17"/>
        <item x="21"/>
        <item x="18"/>
        <item x="3"/>
        <item x="20"/>
        <item x="16"/>
        <item x="10"/>
        <item t="default"/>
      </items>
    </pivotField>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Sum of Sales" fld="26" baseField="0" baseItem="0" numFmtId="164"/>
  </dataFields>
  <formats count="1">
    <format dxfId="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D3EA50-EC44-4E31-BAF8-FE64AE6F43E8}" name="PivotTable6"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J3:K9" firstHeaderRow="1" firstDataRow="1" firstDataCol="1"/>
  <pivotFields count="28">
    <pivotField showAll="0"/>
    <pivotField numFmtId="14" showAll="0"/>
    <pivotField showAll="0"/>
    <pivotField showAll="0"/>
    <pivotField numFmtId="14" showAll="0"/>
    <pivotField showAll="0"/>
    <pivotField axis="axisRow" showAll="0">
      <items count="7">
        <item x="0"/>
        <item x="4"/>
        <item x="1"/>
        <item x="5"/>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dataField="1" numFmtId="1" showAll="0"/>
    <pivotField numFmtId="1" showAll="0"/>
  </pivotFields>
  <rowFields count="1">
    <field x="6"/>
  </rowFields>
  <rowItems count="6">
    <i>
      <x/>
    </i>
    <i>
      <x v="1"/>
    </i>
    <i>
      <x v="2"/>
    </i>
    <i>
      <x v="3"/>
    </i>
    <i>
      <x v="4"/>
    </i>
    <i>
      <x v="5"/>
    </i>
  </rowItems>
  <colItems count="1">
    <i/>
  </colItems>
  <dataFields count="1">
    <dataField name="Sum of Sales" fld="26" baseField="0" baseItem="0" numFmtId="164"/>
  </dataFields>
  <formats count="1">
    <format dxfId="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7DFCCC-7115-46B8-B70D-9756154422AB}" name="PivotTable13"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D29:E33" firstHeaderRow="1" firstDataRow="1" firstDataCol="1"/>
  <pivotFields count="28">
    <pivotField dataField="1" showAll="0"/>
    <pivotField numFmtId="14"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1"/>
        <item x="2"/>
        <item x="3"/>
        <item x="0"/>
        <item t="default"/>
      </items>
    </pivotField>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7"/>
  </rowFields>
  <rowItems count="4">
    <i>
      <x/>
    </i>
    <i>
      <x v="1"/>
    </i>
    <i>
      <x v="2"/>
    </i>
    <i>
      <x v="3"/>
    </i>
  </rowItems>
  <colItems count="1">
    <i/>
  </colItems>
  <dataFields count="1">
    <dataField name="Count of Order id" fld="0" subtotal="count" baseField="0" baseItem="0" numFmtId="1"/>
  </dataFields>
  <formats count="1">
    <format dxfId="69">
      <pivotArea outline="0" collapsedLevelsAreSubtotals="1" fieldPosition="0"/>
    </format>
  </format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7" count="1" selected="0">
            <x v="0"/>
          </reference>
        </references>
      </pivotArea>
    </chartFormat>
    <chartFormat chart="3" format="8">
      <pivotArea type="data" outline="0" fieldPosition="0">
        <references count="2">
          <reference field="4294967294" count="1" selected="0">
            <x v="0"/>
          </reference>
          <reference field="17" count="1" selected="0">
            <x v="1"/>
          </reference>
        </references>
      </pivotArea>
    </chartFormat>
    <chartFormat chart="3" format="9">
      <pivotArea type="data" outline="0" fieldPosition="0">
        <references count="2">
          <reference field="4294967294" count="1" selected="0">
            <x v="0"/>
          </reference>
          <reference field="17" count="1" selected="0">
            <x v="2"/>
          </reference>
        </references>
      </pivotArea>
    </chartFormat>
    <chartFormat chart="3" format="10">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0F5A262-2092-4BAC-8CE5-52DBCA26D9E0}" name="PivotTable12" cacheId="0" dataOnRows="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A29:B34" firstHeaderRow="1" firstDataRow="1" firstDataCol="1"/>
  <pivotFields count="28">
    <pivotField dataField="1" showAll="0"/>
    <pivotField numFmtId="14"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1"/>
        <item x="2"/>
        <item x="4"/>
        <item x="3"/>
        <item t="default"/>
      </items>
    </pivotField>
    <pivotField showAll="0"/>
    <pivotField showAll="0"/>
    <pivotField showAll="0"/>
    <pivotField numFmtId="1" showAll="0"/>
    <pivotField numFmtId="1" showAll="0"/>
    <pivotField showAll="0"/>
    <pivotField showAll="0"/>
    <pivotField showAll="0"/>
    <pivotField showAll="0">
      <items count="13">
        <item x="0"/>
        <item x="5"/>
        <item x="6"/>
        <item x="3"/>
        <item x="9"/>
        <item x="2"/>
        <item x="4"/>
        <item x="11"/>
        <item x="1"/>
        <item x="8"/>
        <item x="10"/>
        <item x="7"/>
        <item t="default"/>
      </items>
    </pivotField>
    <pivotField numFmtId="1" showAll="0"/>
    <pivotField numFmtId="1" showAll="0"/>
  </pivotFields>
  <rowFields count="1">
    <field x="16"/>
  </rowFields>
  <rowItems count="5">
    <i>
      <x/>
    </i>
    <i>
      <x v="1"/>
    </i>
    <i>
      <x v="2"/>
    </i>
    <i>
      <x v="3"/>
    </i>
    <i>
      <x v="4"/>
    </i>
  </rowItems>
  <colItems count="1">
    <i/>
  </colItems>
  <dataFields count="1">
    <dataField name="Count of Order id" fld="0" subtotal="count" baseField="0" baseItem="0" numFmtId="1"/>
  </dataFields>
  <formats count="1">
    <format dxfId="70">
      <pivotArea outline="0" collapsedLevelsAreSubtotals="1" fieldPosition="0"/>
    </format>
  </formats>
  <chartFormats count="6">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6" count="1" selected="0">
            <x v="0"/>
          </reference>
        </references>
      </pivotArea>
    </chartFormat>
    <chartFormat chart="3" format="9">
      <pivotArea type="data" outline="0" fieldPosition="0">
        <references count="2">
          <reference field="4294967294" count="1" selected="0">
            <x v="0"/>
          </reference>
          <reference field="16" count="1" selected="0">
            <x v="1"/>
          </reference>
        </references>
      </pivotArea>
    </chartFormat>
    <chartFormat chart="3" format="10">
      <pivotArea type="data" outline="0" fieldPosition="0">
        <references count="2">
          <reference field="4294967294" count="1" selected="0">
            <x v="0"/>
          </reference>
          <reference field="16" count="1" selected="0">
            <x v="2"/>
          </reference>
        </references>
      </pivotArea>
    </chartFormat>
    <chartFormat chart="3" format="11">
      <pivotArea type="data" outline="0" fieldPosition="0">
        <references count="2">
          <reference field="4294967294" count="1" selected="0">
            <x v="0"/>
          </reference>
          <reference field="16" count="1" selected="0">
            <x v="3"/>
          </reference>
        </references>
      </pivotArea>
    </chartFormat>
    <chartFormat chart="3" format="12">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74A4551-2349-4F87-A9F2-211F1A489C1F}" sourceName="Month">
  <pivotTables>
    <pivotTable tabId="2" name="PivotTable2"/>
    <pivotTable tabId="2" name="PivotTable1"/>
    <pivotTable tabId="2" name="PivotTable10"/>
    <pivotTable tabId="2" name="PivotTable11"/>
    <pivotTable tabId="2" name="PivotTable12"/>
    <pivotTable tabId="2" name="PivotTable13"/>
    <pivotTable tabId="2" name="PivotTable14"/>
    <pivotTable tabId="2" name="PivotTable6"/>
    <pivotTable tabId="2" name="PivotTable7"/>
  </pivotTables>
  <data>
    <tabular pivotCacheId="1574411931">
      <items count="12">
        <i x="0" s="1"/>
        <i x="5" s="1"/>
        <i x="6" s="1"/>
        <i x="3" s="1"/>
        <i x="9" s="1"/>
        <i x="2" s="1"/>
        <i x="4" s="1"/>
        <i x="11" s="1"/>
        <i x="1" s="1"/>
        <i x="8" s="1"/>
        <i x="10"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BCE65D4-6869-4FEE-8BA9-1AA98BDFD75A}" cache="Slicer_Month" caption="Month" style="Slicer Style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BF2694-28FD-4F9B-BFF0-5688CB273571}" name="Table1" displayName="Table1" ref="A1:AB1019" totalsRowShown="0">
  <autoFilter ref="A1:AB1019" xr:uid="{1ABF2694-28FD-4F9B-BFF0-5688CB273571}"/>
  <tableColumns count="28">
    <tableColumn id="1" xr3:uid="{E0626606-4DAF-48F6-8489-784BDB1A2A70}" name="Order id"/>
    <tableColumn id="2" xr3:uid="{114A4BC0-BEEC-451F-B937-EC0F8E2FA170}" name="Order Date" dataDxfId="62"/>
    <tableColumn id="3" xr3:uid="{FD9C75B3-ACF2-4B1E-8ABE-49A6C4EC5FE6}" name="Customer ID"/>
    <tableColumn id="4" xr3:uid="{E230962E-EE51-4073-B720-E64FD5AE1125}" name="Customer Name"/>
    <tableColumn id="5" xr3:uid="{A6248D4F-1469-477A-A1CE-532AB354017A}" name="Ship Date" dataDxfId="61"/>
    <tableColumn id="6" xr3:uid="{29E87476-21A2-4E84-B4D3-13D47C5BDB08}" name="Product Name"/>
    <tableColumn id="7" xr3:uid="{698169F9-F9AC-427B-B1D3-41BD0CB5F4FB}" name="Category"/>
    <tableColumn id="8" xr3:uid="{EA894D29-9C08-4DD9-B64C-A8E9E09C5891}" name="Sub Category"/>
    <tableColumn id="9" xr3:uid="{7E803716-D653-4147-9154-43CEFE56CE8B}" name="State"/>
    <tableColumn id="10" xr3:uid="{1AE2D494-4086-4AD4-A140-08E44C0C0E53}" name="City"/>
    <tableColumn id="11" xr3:uid="{BEF1D51B-AAEA-4B41-87C3-E01D5455C4DE}" name="Gender"/>
    <tableColumn id="12" xr3:uid="{9A411275-B1F7-4AAB-8960-60C607E39FFB}" name="Age"/>
    <tableColumn id="13" xr3:uid="{8A3B25F8-6294-45E6-A3B0-E4A89D2E4885}" name="Quantity"/>
    <tableColumn id="14" xr3:uid="{6BF7B12A-F759-483F-9BBB-F5957D7817BF}" name="Discount %"/>
    <tableColumn id="15" xr3:uid="{FBE5874D-668F-47CA-BC6B-46D5E352AD38}" name="Product ID"/>
    <tableColumn id="16" xr3:uid="{DE39FFF7-3D18-4CAF-B5C1-6C63BE6F8FA3}" name="Shipping Mode"/>
    <tableColumn id="17" xr3:uid="{F6B21F42-BBF2-4D5C-929E-5492C90C1962}" name="Payment Mode"/>
    <tableColumn id="18" xr3:uid="{ED8F40E7-FE6B-42A3-AD74-8079BB809580}" name="Order Status"/>
    <tableColumn id="19" xr3:uid="{4789984B-4E9D-4A0D-B3B6-F107F254BBB6}" name="Brand"/>
    <tableColumn id="20" xr3:uid="{27525A49-3497-421A-8BD0-832AB13125F4}" name=" Ratings"/>
    <tableColumn id="21" xr3:uid="{CBD97A16-184C-4132-A4F8-6D6DA3E71EF6}" name="Unit Price" dataDxfId="60"/>
    <tableColumn id="22" xr3:uid="{DF30981F-F3DA-4469-9D51-B109D1502DBF}" name="Cost" dataDxfId="59"/>
    <tableColumn id="23" xr3:uid="{F2465C4D-739F-4425-BDBF-1DD7AC3EBEEF}" name="Delivery Days"/>
    <tableColumn id="24" xr3:uid="{64815BF1-0F12-4CB8-83CC-68D479078EBC}" name="Quarter"/>
    <tableColumn id="25" xr3:uid="{99957B53-779C-483A-92ED-0610FC866FB3}" name="Year"/>
    <tableColumn id="28" xr3:uid="{0BB58201-29B6-409E-A5D5-D3A94D369F2A}" name="Month" dataDxfId="58">
      <calculatedColumnFormula>TEXT(Table1[[#This Row],[Order Date]],"MMM")</calculatedColumnFormula>
    </tableColumn>
    <tableColumn id="26" xr3:uid="{A9626842-2A1B-4EE1-B04E-4B8B4AAAA2C3}" name="Sales" dataDxfId="57">
      <calculatedColumnFormula>Table1[[#This Row],[Unit Price]]*Table1[[#This Row],[Quantity]]*(1-Table1[[#This Row],[Discount %]]/100)</calculatedColumnFormula>
    </tableColumn>
    <tableColumn id="29" xr3:uid="{A7E7722A-5106-4FB7-80BA-C5B8711AC57C}" name="Profit" dataDxfId="56">
      <calculatedColumnFormula>Table1[[#This Row],[Sales]]-Table1[[#This Row],[Cost]]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Midnight Blue">
      <a:dk1>
        <a:srgbClr val="0F1F3D"/>
      </a:dk1>
      <a:lt1>
        <a:srgbClr val="FFFFFF"/>
      </a:lt1>
      <a:dk2>
        <a:srgbClr val="1E3A8A"/>
      </a:dk2>
      <a:lt2>
        <a:srgbClr val="EDF2F9"/>
      </a:lt2>
      <a:accent1>
        <a:srgbClr val="2563EB"/>
      </a:accent1>
      <a:accent2>
        <a:srgbClr val="0D9488"/>
      </a:accent2>
      <a:accent3>
        <a:srgbClr val="D97706"/>
      </a:accent3>
      <a:accent4>
        <a:srgbClr val="F43F5E"/>
      </a:accent4>
      <a:accent5>
        <a:srgbClr val="8B5CF6"/>
      </a:accent5>
      <a:accent6>
        <a:srgbClr val="64748B"/>
      </a:accent6>
      <a:hlink>
        <a:srgbClr val="2563EB"/>
      </a:hlink>
      <a:folHlink>
        <a:srgbClr val="8B5CF6"/>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a:no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771E0-C2D2-4E83-A97F-6383F84B41FC}">
  <sheetPr codeName="Sheet1">
    <tabColor rgb="FF2563EB"/>
  </sheetPr>
  <dimension ref="A1:U40"/>
  <sheetViews>
    <sheetView showGridLines="0" zoomScale="66" zoomScaleNormal="66" workbookViewId="0">
      <selection activeCell="Z24" sqref="Z24"/>
    </sheetView>
  </sheetViews>
  <sheetFormatPr defaultRowHeight="14.4" x14ac:dyDescent="0.3"/>
  <cols>
    <col min="2" max="2" width="11.109375" customWidth="1"/>
    <col min="10" max="10" width="9.109375" customWidth="1"/>
  </cols>
  <sheetData>
    <row r="1" spans="1:21" x14ac:dyDescent="0.3">
      <c r="A1" s="27"/>
      <c r="B1" s="27"/>
      <c r="C1" s="19"/>
      <c r="D1" s="19"/>
      <c r="E1" s="19"/>
      <c r="F1" s="19"/>
      <c r="G1" s="19"/>
      <c r="H1" s="19"/>
      <c r="I1" s="19"/>
      <c r="J1" s="19"/>
      <c r="K1" s="19"/>
      <c r="L1" s="19"/>
      <c r="M1" s="19"/>
      <c r="N1" s="19"/>
      <c r="O1" s="19"/>
      <c r="P1" s="19"/>
      <c r="Q1" s="19"/>
      <c r="R1" s="19"/>
      <c r="S1" s="19"/>
      <c r="T1" s="19"/>
      <c r="U1" s="19"/>
    </row>
    <row r="2" spans="1:21" x14ac:dyDescent="0.3">
      <c r="A2" s="27"/>
      <c r="B2" s="27"/>
      <c r="C2" s="19"/>
      <c r="D2" s="19"/>
      <c r="E2" s="19"/>
      <c r="F2" s="19"/>
      <c r="G2" s="19"/>
      <c r="H2" s="19"/>
      <c r="I2" s="19"/>
      <c r="J2" s="19"/>
      <c r="K2" s="19"/>
      <c r="L2" s="19"/>
      <c r="M2" s="19"/>
      <c r="N2" s="19"/>
      <c r="O2" s="19"/>
      <c r="P2" s="19"/>
      <c r="Q2" s="19"/>
      <c r="R2" s="19"/>
      <c r="S2" s="19"/>
      <c r="T2" s="19"/>
      <c r="U2" s="19"/>
    </row>
    <row r="3" spans="1:21" x14ac:dyDescent="0.3">
      <c r="A3" s="27"/>
      <c r="B3" s="27"/>
      <c r="C3" s="19"/>
      <c r="D3" s="19"/>
      <c r="E3" s="19"/>
      <c r="F3" s="19"/>
      <c r="G3" s="19"/>
      <c r="H3" s="19"/>
      <c r="I3" s="19"/>
      <c r="J3" s="19"/>
      <c r="K3" s="19"/>
      <c r="L3" s="19"/>
      <c r="M3" s="19"/>
      <c r="N3" s="19"/>
      <c r="O3" s="19"/>
      <c r="P3" s="19"/>
      <c r="Q3" s="19"/>
      <c r="R3" s="19"/>
      <c r="S3" s="19"/>
      <c r="T3" s="19"/>
      <c r="U3" s="19"/>
    </row>
    <row r="4" spans="1:21" x14ac:dyDescent="0.3">
      <c r="A4" s="27"/>
      <c r="B4" s="27"/>
      <c r="C4" s="19"/>
      <c r="D4" s="19"/>
      <c r="E4" s="19"/>
      <c r="F4" s="19"/>
      <c r="G4" s="19"/>
      <c r="H4" s="19"/>
      <c r="I4" s="19"/>
      <c r="J4" s="19"/>
      <c r="K4" s="19"/>
      <c r="L4" s="19"/>
      <c r="M4" s="19"/>
      <c r="N4" s="19"/>
      <c r="O4" s="19"/>
      <c r="P4" s="19"/>
      <c r="Q4" s="19"/>
      <c r="R4" s="19"/>
      <c r="S4" s="19"/>
      <c r="T4" s="19"/>
      <c r="U4" s="19"/>
    </row>
    <row r="5" spans="1:21" x14ac:dyDescent="0.3">
      <c r="A5" s="27"/>
      <c r="B5" s="27"/>
      <c r="C5" s="19"/>
      <c r="D5" s="19"/>
      <c r="E5" s="19"/>
      <c r="F5" s="19"/>
      <c r="G5" s="19"/>
      <c r="H5" s="19"/>
      <c r="I5" s="19"/>
      <c r="J5" s="19"/>
      <c r="K5" s="19"/>
      <c r="L5" s="19"/>
      <c r="M5" s="19"/>
      <c r="N5" s="19"/>
      <c r="O5" s="19"/>
      <c r="P5" s="19"/>
      <c r="Q5" s="19"/>
      <c r="R5" s="19"/>
      <c r="S5" s="19"/>
      <c r="T5" s="19"/>
      <c r="U5" s="19"/>
    </row>
    <row r="6" spans="1:21" x14ac:dyDescent="0.3">
      <c r="A6" s="27"/>
      <c r="B6" s="27"/>
      <c r="C6" s="19"/>
      <c r="D6" s="19"/>
      <c r="E6" s="19"/>
      <c r="F6" s="19"/>
      <c r="G6" s="19"/>
      <c r="H6" s="19"/>
      <c r="I6" s="19"/>
      <c r="J6" s="19"/>
      <c r="K6" s="19"/>
      <c r="L6" s="19"/>
      <c r="M6" s="19"/>
      <c r="N6" s="19"/>
      <c r="O6" s="19"/>
      <c r="P6" s="19"/>
      <c r="Q6" s="19"/>
      <c r="R6" s="19"/>
      <c r="S6" s="19"/>
      <c r="T6" s="19"/>
      <c r="U6" s="19"/>
    </row>
    <row r="7" spans="1:21" x14ac:dyDescent="0.3">
      <c r="A7" s="27"/>
      <c r="B7" s="27"/>
      <c r="C7" s="19"/>
      <c r="D7" s="19"/>
      <c r="E7" s="19"/>
      <c r="F7" s="19"/>
      <c r="G7" s="19"/>
      <c r="H7" s="19"/>
      <c r="I7" s="19"/>
      <c r="J7" s="19"/>
      <c r="K7" s="19"/>
      <c r="L7" s="19"/>
      <c r="M7" s="19"/>
      <c r="N7" s="19"/>
      <c r="O7" s="19"/>
      <c r="P7" s="19"/>
      <c r="Q7" s="19"/>
      <c r="R7" s="19"/>
      <c r="S7" s="19"/>
      <c r="T7" s="19"/>
      <c r="U7" s="19"/>
    </row>
    <row r="8" spans="1:21" x14ac:dyDescent="0.3">
      <c r="A8" s="27"/>
      <c r="B8" s="27"/>
      <c r="C8" s="19"/>
      <c r="D8" s="19"/>
      <c r="E8" s="19"/>
      <c r="F8" s="19"/>
      <c r="G8" s="19"/>
      <c r="H8" s="19"/>
      <c r="I8" s="19"/>
      <c r="J8" s="19"/>
      <c r="K8" s="19"/>
      <c r="L8" s="19"/>
      <c r="M8" s="19"/>
      <c r="N8" s="19"/>
      <c r="O8" s="19"/>
      <c r="P8" s="19"/>
      <c r="Q8" s="19"/>
      <c r="R8" s="19"/>
      <c r="S8" s="19"/>
      <c r="T8" s="19"/>
      <c r="U8" s="19"/>
    </row>
    <row r="9" spans="1:21" x14ac:dyDescent="0.3">
      <c r="A9" s="27"/>
      <c r="B9" s="27"/>
      <c r="C9" s="19"/>
      <c r="D9" s="19"/>
      <c r="E9" s="19"/>
      <c r="F9" s="19"/>
      <c r="G9" s="19"/>
      <c r="H9" s="19"/>
      <c r="I9" s="19"/>
      <c r="J9" s="19"/>
      <c r="K9" s="19"/>
      <c r="L9" s="19"/>
      <c r="M9" s="19"/>
      <c r="N9" s="19"/>
      <c r="O9" s="19"/>
      <c r="P9" s="19"/>
      <c r="Q9" s="19"/>
      <c r="R9" s="19"/>
      <c r="S9" s="19"/>
      <c r="T9" s="19"/>
      <c r="U9" s="19"/>
    </row>
    <row r="10" spans="1:21" x14ac:dyDescent="0.3">
      <c r="A10" s="27"/>
      <c r="B10" s="27"/>
      <c r="C10" s="19"/>
      <c r="D10" s="19"/>
      <c r="E10" s="19"/>
      <c r="F10" s="19"/>
      <c r="G10" s="19"/>
      <c r="H10" s="19"/>
      <c r="I10" s="19"/>
      <c r="J10" s="19"/>
      <c r="K10" s="19"/>
      <c r="L10" s="19"/>
      <c r="M10" s="19"/>
      <c r="N10" s="19"/>
      <c r="O10" s="19"/>
      <c r="P10" s="19"/>
      <c r="Q10" s="19"/>
      <c r="R10" s="19"/>
      <c r="S10" s="19"/>
      <c r="T10" s="19"/>
      <c r="U10" s="19"/>
    </row>
    <row r="11" spans="1:21" x14ac:dyDescent="0.3">
      <c r="A11" s="27"/>
      <c r="B11" s="27"/>
      <c r="C11" s="19"/>
      <c r="D11" s="19"/>
      <c r="E11" s="19"/>
      <c r="F11" s="19"/>
      <c r="G11" s="19"/>
      <c r="H11" s="19"/>
      <c r="I11" s="19"/>
      <c r="J11" s="19"/>
      <c r="K11" s="19"/>
      <c r="L11" s="19"/>
      <c r="M11" s="19"/>
      <c r="N11" s="19"/>
      <c r="O11" s="19"/>
      <c r="P11" s="19"/>
      <c r="Q11" s="19"/>
      <c r="R11" s="19"/>
      <c r="S11" s="19"/>
      <c r="T11" s="19"/>
      <c r="U11" s="19"/>
    </row>
    <row r="12" spans="1:21" x14ac:dyDescent="0.3">
      <c r="A12" s="27"/>
      <c r="B12" s="27"/>
      <c r="C12" s="19"/>
      <c r="D12" s="19"/>
      <c r="E12" s="19"/>
      <c r="F12" s="19"/>
      <c r="G12" s="19"/>
      <c r="H12" s="19"/>
      <c r="I12" s="19"/>
      <c r="J12" s="19"/>
      <c r="K12" s="19"/>
      <c r="L12" s="19"/>
      <c r="M12" s="19"/>
      <c r="N12" s="19"/>
      <c r="O12" s="19"/>
      <c r="P12" s="19"/>
      <c r="Q12" s="19"/>
      <c r="R12" s="19"/>
      <c r="S12" s="19"/>
      <c r="T12" s="19"/>
      <c r="U12" s="19"/>
    </row>
    <row r="13" spans="1:21" x14ac:dyDescent="0.3">
      <c r="A13" s="27"/>
      <c r="B13" s="27"/>
      <c r="C13" s="19"/>
      <c r="D13" s="19"/>
      <c r="E13" s="19"/>
      <c r="F13" s="19"/>
      <c r="G13" s="19"/>
      <c r="H13" s="19"/>
      <c r="I13" s="19"/>
      <c r="J13" s="19"/>
      <c r="K13" s="19"/>
      <c r="L13" s="19"/>
      <c r="M13" s="19"/>
      <c r="N13" s="19"/>
      <c r="O13" s="19"/>
      <c r="P13" s="19"/>
      <c r="Q13" s="19"/>
      <c r="R13" s="19"/>
      <c r="S13" s="19"/>
      <c r="T13" s="19"/>
      <c r="U13" s="19"/>
    </row>
    <row r="14" spans="1:21" x14ac:dyDescent="0.3">
      <c r="A14" s="27"/>
      <c r="B14" s="27"/>
      <c r="C14" s="19"/>
      <c r="D14" s="19"/>
      <c r="E14" s="19"/>
      <c r="F14" s="19"/>
      <c r="G14" s="19"/>
      <c r="H14" s="19"/>
      <c r="I14" s="19"/>
      <c r="J14" s="19"/>
      <c r="K14" s="19"/>
      <c r="L14" s="19"/>
      <c r="M14" s="19"/>
      <c r="N14" s="19"/>
      <c r="O14" s="19"/>
      <c r="P14" s="19"/>
      <c r="Q14" s="19"/>
      <c r="R14" s="19"/>
      <c r="S14" s="19"/>
      <c r="T14" s="19"/>
      <c r="U14" s="19"/>
    </row>
    <row r="15" spans="1:21" x14ac:dyDescent="0.3">
      <c r="A15" s="27"/>
      <c r="B15" s="27"/>
      <c r="C15" s="19"/>
      <c r="D15" s="19"/>
      <c r="E15" s="19"/>
      <c r="F15" s="19"/>
      <c r="G15" s="19"/>
      <c r="H15" s="19"/>
      <c r="I15" s="19"/>
      <c r="J15" s="19"/>
      <c r="K15" s="19"/>
      <c r="L15" s="19"/>
      <c r="M15" s="19"/>
      <c r="N15" s="19"/>
      <c r="O15" s="19"/>
      <c r="P15" s="19"/>
      <c r="Q15" s="19"/>
      <c r="R15" s="19"/>
      <c r="S15" s="19"/>
      <c r="T15" s="19"/>
      <c r="U15" s="19"/>
    </row>
    <row r="16" spans="1:21" x14ac:dyDescent="0.3">
      <c r="A16" s="27"/>
      <c r="B16" s="27"/>
      <c r="C16" s="19"/>
      <c r="D16" s="19"/>
      <c r="E16" s="19"/>
      <c r="F16" s="19"/>
      <c r="G16" s="19"/>
      <c r="H16" s="19"/>
      <c r="I16" s="19"/>
      <c r="J16" s="19"/>
      <c r="K16" s="19"/>
      <c r="L16" s="19"/>
      <c r="M16" s="19"/>
      <c r="N16" s="19"/>
      <c r="O16" s="19"/>
      <c r="P16" s="19"/>
      <c r="Q16" s="19"/>
      <c r="R16" s="19"/>
      <c r="S16" s="19"/>
      <c r="T16" s="19"/>
      <c r="U16" s="19"/>
    </row>
    <row r="17" spans="1:21" x14ac:dyDescent="0.3">
      <c r="A17" s="27"/>
      <c r="B17" s="27"/>
      <c r="C17" s="19"/>
      <c r="D17" s="19"/>
      <c r="E17" s="19"/>
      <c r="F17" s="19"/>
      <c r="G17" s="19"/>
      <c r="H17" s="19"/>
      <c r="I17" s="19"/>
      <c r="J17" s="19"/>
      <c r="K17" s="19"/>
      <c r="L17" s="19"/>
      <c r="M17" s="19"/>
      <c r="N17" s="19"/>
      <c r="O17" s="19"/>
      <c r="P17" s="19"/>
      <c r="Q17" s="19"/>
      <c r="R17" s="19"/>
      <c r="S17" s="19"/>
      <c r="T17" s="19"/>
      <c r="U17" s="19"/>
    </row>
    <row r="18" spans="1:21" x14ac:dyDescent="0.3">
      <c r="A18" s="27"/>
      <c r="B18" s="27"/>
      <c r="C18" s="19"/>
      <c r="D18" s="19"/>
      <c r="E18" s="19"/>
      <c r="F18" s="19"/>
      <c r="G18" s="19"/>
      <c r="H18" s="19"/>
      <c r="I18" s="19"/>
      <c r="J18" s="19"/>
      <c r="K18" s="19"/>
      <c r="L18" s="19"/>
      <c r="M18" s="19"/>
      <c r="N18" s="19"/>
      <c r="O18" s="19"/>
      <c r="P18" s="19"/>
      <c r="Q18" s="19"/>
      <c r="R18" s="19"/>
      <c r="S18" s="19"/>
      <c r="T18" s="19"/>
      <c r="U18" s="19"/>
    </row>
    <row r="19" spans="1:21" x14ac:dyDescent="0.3">
      <c r="A19" s="27"/>
      <c r="B19" s="27"/>
      <c r="C19" s="19"/>
      <c r="D19" s="19"/>
      <c r="E19" s="19"/>
      <c r="F19" s="19"/>
      <c r="G19" s="19"/>
      <c r="H19" s="19"/>
      <c r="I19" s="19"/>
      <c r="J19" s="19"/>
      <c r="K19" s="19"/>
      <c r="L19" s="19"/>
      <c r="M19" s="19"/>
      <c r="N19" s="19"/>
      <c r="O19" s="19"/>
      <c r="P19" s="19"/>
      <c r="Q19" s="19"/>
      <c r="R19" s="19"/>
      <c r="S19" s="19"/>
      <c r="T19" s="19"/>
      <c r="U19" s="19"/>
    </row>
    <row r="20" spans="1:21" x14ac:dyDescent="0.3">
      <c r="A20" s="27"/>
      <c r="B20" s="27"/>
      <c r="C20" s="19"/>
      <c r="D20" s="19"/>
      <c r="E20" s="19"/>
      <c r="F20" s="19"/>
      <c r="G20" s="19"/>
      <c r="H20" s="19"/>
      <c r="I20" s="19"/>
      <c r="J20" s="19"/>
      <c r="K20" s="19"/>
      <c r="L20" s="19"/>
      <c r="M20" s="19"/>
      <c r="N20" s="19"/>
      <c r="O20" s="19"/>
      <c r="P20" s="19"/>
      <c r="Q20" s="19"/>
      <c r="R20" s="19"/>
      <c r="S20" s="19"/>
      <c r="T20" s="19"/>
      <c r="U20" s="19"/>
    </row>
    <row r="21" spans="1:21" x14ac:dyDescent="0.3">
      <c r="A21" s="27"/>
      <c r="B21" s="27"/>
      <c r="C21" s="19"/>
      <c r="D21" s="19"/>
      <c r="E21" s="19"/>
      <c r="F21" s="19"/>
      <c r="G21" s="19"/>
      <c r="H21" s="19"/>
      <c r="I21" s="19"/>
      <c r="J21" s="19"/>
      <c r="K21" s="19"/>
      <c r="L21" s="19"/>
      <c r="M21" s="19"/>
      <c r="N21" s="19"/>
      <c r="O21" s="19"/>
      <c r="P21" s="19"/>
      <c r="Q21" s="19"/>
      <c r="R21" s="19"/>
      <c r="S21" s="19"/>
      <c r="T21" s="19"/>
      <c r="U21" s="19"/>
    </row>
    <row r="22" spans="1:21" x14ac:dyDescent="0.3">
      <c r="A22" s="27"/>
      <c r="B22" s="27"/>
      <c r="C22" s="19"/>
      <c r="D22" s="19"/>
      <c r="E22" s="19"/>
      <c r="F22" s="19"/>
      <c r="G22" s="19"/>
      <c r="H22" s="19"/>
      <c r="I22" s="19"/>
      <c r="J22" s="19"/>
      <c r="K22" s="19"/>
      <c r="L22" s="19"/>
      <c r="M22" s="19"/>
      <c r="N22" s="19"/>
      <c r="O22" s="19"/>
      <c r="P22" s="19"/>
      <c r="Q22" s="19"/>
      <c r="R22" s="19"/>
      <c r="S22" s="19"/>
      <c r="T22" s="19"/>
      <c r="U22" s="19"/>
    </row>
    <row r="23" spans="1:21" x14ac:dyDescent="0.3">
      <c r="A23" s="27"/>
      <c r="B23" s="27"/>
      <c r="C23" s="19"/>
      <c r="D23" s="19"/>
      <c r="E23" s="19"/>
      <c r="F23" s="19"/>
      <c r="G23" s="19"/>
      <c r="H23" s="19"/>
      <c r="I23" s="19"/>
      <c r="J23" s="19"/>
      <c r="K23" s="19"/>
      <c r="L23" s="19"/>
      <c r="M23" s="19"/>
      <c r="N23" s="19"/>
      <c r="O23" s="19"/>
      <c r="P23" s="19"/>
      <c r="Q23" s="19"/>
      <c r="R23" s="19"/>
      <c r="S23" s="19"/>
      <c r="T23" s="19"/>
      <c r="U23" s="19"/>
    </row>
    <row r="24" spans="1:21" x14ac:dyDescent="0.3">
      <c r="A24" s="27"/>
      <c r="B24" s="27"/>
      <c r="C24" s="19"/>
      <c r="D24" s="19"/>
      <c r="E24" s="19"/>
      <c r="F24" s="19"/>
      <c r="G24" s="19"/>
      <c r="H24" s="19"/>
      <c r="I24" s="19"/>
      <c r="J24" s="19"/>
      <c r="K24" s="19"/>
      <c r="L24" s="19"/>
      <c r="M24" s="19"/>
      <c r="N24" s="19"/>
      <c r="O24" s="19"/>
      <c r="P24" s="19"/>
      <c r="Q24" s="19"/>
      <c r="R24" s="19"/>
      <c r="S24" s="19"/>
      <c r="T24" s="19"/>
      <c r="U24" s="19"/>
    </row>
    <row r="25" spans="1:21" ht="15.6" x14ac:dyDescent="0.3">
      <c r="A25" s="27"/>
      <c r="B25" s="27"/>
      <c r="C25" s="21"/>
      <c r="D25" s="21"/>
      <c r="E25" s="21"/>
      <c r="F25" s="21"/>
      <c r="G25" s="21"/>
      <c r="H25" s="21"/>
      <c r="I25" s="19"/>
      <c r="J25" s="19"/>
      <c r="K25" s="19"/>
      <c r="L25" s="19"/>
      <c r="M25" s="19"/>
      <c r="N25" s="19"/>
      <c r="O25" s="19"/>
      <c r="P25" s="19"/>
      <c r="Q25" s="19"/>
      <c r="R25" s="19"/>
      <c r="S25" s="19"/>
      <c r="T25" s="19"/>
      <c r="U25" s="19"/>
    </row>
    <row r="26" spans="1:21" x14ac:dyDescent="0.3">
      <c r="A26" s="27"/>
      <c r="B26" s="27"/>
      <c r="C26" s="19"/>
      <c r="D26" s="19"/>
      <c r="E26" s="19"/>
      <c r="F26" s="19"/>
      <c r="G26" s="19"/>
      <c r="H26" s="19"/>
      <c r="I26" s="19"/>
      <c r="J26" s="19"/>
      <c r="K26" s="19"/>
      <c r="L26" s="19"/>
      <c r="M26" s="19"/>
      <c r="N26" s="19"/>
      <c r="O26" s="19"/>
      <c r="P26" s="19"/>
      <c r="Q26" s="19"/>
      <c r="R26" s="19"/>
      <c r="S26" s="19"/>
      <c r="T26" s="19"/>
      <c r="U26" s="19"/>
    </row>
    <row r="27" spans="1:21" x14ac:dyDescent="0.3">
      <c r="A27" s="27"/>
      <c r="B27" s="27"/>
      <c r="C27" s="19"/>
      <c r="D27" s="31" t="s">
        <v>2778</v>
      </c>
      <c r="E27" s="32" t="s">
        <v>2779</v>
      </c>
      <c r="F27" s="33"/>
      <c r="G27" s="31" t="s">
        <v>2750</v>
      </c>
      <c r="H27" s="28"/>
      <c r="I27" s="29" t="s">
        <v>2778</v>
      </c>
      <c r="J27" s="35" t="s">
        <v>2780</v>
      </c>
      <c r="K27" s="35"/>
      <c r="L27" s="30" t="s">
        <v>2750</v>
      </c>
      <c r="M27" s="19"/>
      <c r="N27" s="19"/>
      <c r="O27" s="19"/>
      <c r="P27" s="19"/>
      <c r="Q27" s="19"/>
      <c r="R27" s="19"/>
      <c r="S27" s="19"/>
      <c r="T27" s="19"/>
      <c r="U27" s="19"/>
    </row>
    <row r="28" spans="1:21" x14ac:dyDescent="0.3">
      <c r="A28" s="27"/>
      <c r="B28" s="27"/>
      <c r="C28" s="19"/>
      <c r="D28" s="22">
        <v>1</v>
      </c>
      <c r="E28" s="19" t="str">
        <f>Pivot!A18</f>
        <v>Biscuits</v>
      </c>
      <c r="F28" s="19"/>
      <c r="G28" s="34">
        <f>GETPIVOTDATA("Sales",Pivot!$A$17,"Product Name",E28)</f>
        <v>209989.55800000005</v>
      </c>
      <c r="H28" s="34"/>
      <c r="I28" s="24">
        <v>1</v>
      </c>
      <c r="J28" s="36" t="str">
        <f>Pivot!D18</f>
        <v>Sofia Jones</v>
      </c>
      <c r="K28" s="36"/>
      <c r="L28" s="25">
        <f>GETPIVOTDATA("Sales",Pivot!$D$17,"Customer Name",J28)</f>
        <v>6603.7314999999999</v>
      </c>
      <c r="M28" s="19"/>
      <c r="N28" s="19"/>
      <c r="O28" s="19"/>
      <c r="P28" s="19"/>
      <c r="Q28" s="19"/>
      <c r="R28" s="19"/>
      <c r="S28" s="19"/>
      <c r="T28" s="19"/>
      <c r="U28" s="19"/>
    </row>
    <row r="29" spans="1:21" x14ac:dyDescent="0.3">
      <c r="A29" s="27"/>
      <c r="B29" s="27"/>
      <c r="C29" s="19"/>
      <c r="D29" s="22">
        <v>2</v>
      </c>
      <c r="E29" s="19" t="str">
        <f>Pivot!A19</f>
        <v>Yoga Mat</v>
      </c>
      <c r="F29" s="19"/>
      <c r="G29" s="34">
        <f>GETPIVOTDATA("Sales",Pivot!$A$17,"Product Name",E29)</f>
        <v>186504.02199999997</v>
      </c>
      <c r="H29" s="34"/>
      <c r="I29" s="19">
        <v>2</v>
      </c>
      <c r="J29" s="36" t="str">
        <f>Pivot!D19</f>
        <v>Ruby Castillo</v>
      </c>
      <c r="K29" s="36"/>
      <c r="L29" s="25">
        <f>GETPIVOTDATA("Sales",Pivot!$D$17,"Customer Name",J29)</f>
        <v>4892.6000000000004</v>
      </c>
      <c r="M29" s="19"/>
      <c r="N29" s="19"/>
      <c r="O29" s="19"/>
      <c r="P29" s="19"/>
      <c r="Q29" s="19"/>
      <c r="R29" s="19"/>
      <c r="S29" s="19"/>
      <c r="T29" s="19"/>
      <c r="U29" s="19"/>
    </row>
    <row r="30" spans="1:21" x14ac:dyDescent="0.3">
      <c r="A30" s="27"/>
      <c r="B30" s="27"/>
      <c r="C30" s="19"/>
      <c r="D30" s="22">
        <v>3</v>
      </c>
      <c r="E30" s="19" t="str">
        <f>Pivot!A20</f>
        <v>Face Wash</v>
      </c>
      <c r="F30" s="19"/>
      <c r="G30" s="34">
        <f>GETPIVOTDATA("Sales",Pivot!$A$17,"Product Name",E30)</f>
        <v>164043.35010000001</v>
      </c>
      <c r="H30" s="34"/>
      <c r="I30" s="24">
        <v>3</v>
      </c>
      <c r="J30" s="36" t="str">
        <f>Pivot!D20</f>
        <v>Samuel Vasquez</v>
      </c>
      <c r="K30" s="36"/>
      <c r="L30" s="25">
        <f>GETPIVOTDATA("Sales",Pivot!$D$17,"Customer Name",J30)</f>
        <v>4865.3500000000004</v>
      </c>
      <c r="M30" s="19"/>
      <c r="N30" s="19"/>
      <c r="O30" s="19"/>
      <c r="P30" s="19"/>
      <c r="Q30" s="19"/>
      <c r="R30" s="19"/>
      <c r="S30" s="19"/>
      <c r="T30" s="19"/>
      <c r="U30" s="19"/>
    </row>
    <row r="31" spans="1:21" x14ac:dyDescent="0.3">
      <c r="A31" s="27"/>
      <c r="B31" s="27"/>
      <c r="C31" s="19"/>
      <c r="D31" s="22">
        <v>4</v>
      </c>
      <c r="E31" s="19" t="str">
        <f>Pivot!A21</f>
        <v>Polo</v>
      </c>
      <c r="F31" s="19"/>
      <c r="G31" s="34">
        <f>GETPIVOTDATA("Sales",Pivot!$A$17,"Product Name",E31)</f>
        <v>135584.47050000005</v>
      </c>
      <c r="H31" s="34"/>
      <c r="I31" s="19">
        <v>4</v>
      </c>
      <c r="J31" s="36" t="str">
        <f>Pivot!D21</f>
        <v>Savannah Walker</v>
      </c>
      <c r="K31" s="36"/>
      <c r="L31" s="25">
        <f>GETPIVOTDATA("Sales",Pivot!$D$17,"Customer Name",J31)</f>
        <v>6476.3220000000001</v>
      </c>
      <c r="M31" s="19"/>
      <c r="N31" s="19"/>
      <c r="O31" s="19"/>
      <c r="P31" s="19"/>
      <c r="Q31" s="19"/>
      <c r="R31" s="19"/>
      <c r="S31" s="19"/>
      <c r="T31" s="19"/>
      <c r="U31" s="19"/>
    </row>
    <row r="32" spans="1:21" x14ac:dyDescent="0.3">
      <c r="A32" s="27"/>
      <c r="B32" s="27"/>
      <c r="C32" s="19"/>
      <c r="D32" s="22">
        <v>5</v>
      </c>
      <c r="E32" s="19" t="str">
        <f>Pivot!A22</f>
        <v>Chair</v>
      </c>
      <c r="F32" s="19"/>
      <c r="G32" s="34">
        <f>GETPIVOTDATA("Sales",Pivot!$A$17,"Product Name",E32)</f>
        <v>125213.19349999999</v>
      </c>
      <c r="H32" s="34"/>
      <c r="I32" s="24">
        <v>5</v>
      </c>
      <c r="J32" s="36" t="str">
        <f>Pivot!D22</f>
        <v>Scarlett Sanchez</v>
      </c>
      <c r="K32" s="36"/>
      <c r="L32" s="25">
        <f>GETPIVOTDATA("Sales",Pivot!$D$17,"Customer Name",J32)</f>
        <v>4795.6129999999994</v>
      </c>
      <c r="M32" s="19"/>
      <c r="N32" s="19"/>
      <c r="O32" s="19"/>
      <c r="P32" s="19"/>
      <c r="Q32" s="19"/>
      <c r="R32" s="19"/>
      <c r="S32" s="19"/>
      <c r="T32" s="19"/>
      <c r="U32" s="19"/>
    </row>
    <row r="33" spans="1:21" x14ac:dyDescent="0.3">
      <c r="A33" s="27"/>
      <c r="B33" s="27"/>
      <c r="C33" s="19"/>
      <c r="D33" s="22">
        <v>6</v>
      </c>
      <c r="E33" s="19" t="str">
        <f>Pivot!A23</f>
        <v>Mixer</v>
      </c>
      <c r="F33" s="19"/>
      <c r="G33" s="34">
        <f>GETPIVOTDATA("Sales",Pivot!$A$17,"Product Name",E33)</f>
        <v>116010.71300000002</v>
      </c>
      <c r="H33" s="34"/>
      <c r="I33" s="19">
        <v>6</v>
      </c>
      <c r="J33" s="36" t="str">
        <f>Pivot!D23</f>
        <v>Scott Jordan</v>
      </c>
      <c r="K33" s="36"/>
      <c r="L33" s="25">
        <f>GETPIVOTDATA("Sales",Pivot!$D$17,"Customer Name",J33)</f>
        <v>4982.4850000000006</v>
      </c>
      <c r="M33" s="19"/>
      <c r="N33" s="19"/>
      <c r="O33" s="19"/>
      <c r="P33" s="19"/>
      <c r="Q33" s="19"/>
      <c r="R33" s="19"/>
      <c r="S33" s="19"/>
      <c r="T33" s="19"/>
      <c r="U33" s="19"/>
    </row>
    <row r="34" spans="1:21" x14ac:dyDescent="0.3">
      <c r="A34" s="27"/>
      <c r="B34" s="27"/>
      <c r="C34" s="19"/>
      <c r="D34" s="22">
        <v>7</v>
      </c>
      <c r="E34" s="19" t="str">
        <f>Pivot!A24</f>
        <v>Galaxy A55</v>
      </c>
      <c r="F34" s="19"/>
      <c r="G34" s="34">
        <f>GETPIVOTDATA("Sales",Pivot!$A$17,"Product Name",E34)</f>
        <v>108649.45365000002</v>
      </c>
      <c r="H34" s="34"/>
      <c r="I34" s="24">
        <v>7</v>
      </c>
      <c r="J34" s="36" t="str">
        <f>Pivot!D24</f>
        <v>Steven Morgan</v>
      </c>
      <c r="K34" s="36"/>
      <c r="L34" s="25">
        <f>GETPIVOTDATA("Sales",Pivot!$D$17,"Customer Name",J34)</f>
        <v>5212.1240000000007</v>
      </c>
      <c r="M34" s="19"/>
      <c r="N34" s="19"/>
      <c r="O34" s="19"/>
      <c r="P34" s="19"/>
      <c r="Q34" s="19"/>
      <c r="R34" s="19"/>
      <c r="S34" s="19"/>
      <c r="T34" s="19"/>
      <c r="U34" s="19"/>
    </row>
    <row r="35" spans="1:21" x14ac:dyDescent="0.3">
      <c r="A35" s="27"/>
      <c r="B35" s="27"/>
      <c r="C35" s="19"/>
      <c r="D35" s="22">
        <v>8</v>
      </c>
      <c r="E35" s="19" t="str">
        <f>Pivot!A25</f>
        <v>Runner</v>
      </c>
      <c r="F35" s="19"/>
      <c r="G35" s="34">
        <f>GETPIVOTDATA("Sales",Pivot!$A$17,"Product Name",E35)</f>
        <v>106005.77399999999</v>
      </c>
      <c r="H35" s="34"/>
      <c r="I35" s="19">
        <v>8</v>
      </c>
      <c r="J35" s="36" t="str">
        <f>Pivot!D25</f>
        <v>Thomas Chambers</v>
      </c>
      <c r="K35" s="36"/>
      <c r="L35" s="25">
        <f>GETPIVOTDATA("Sales",Pivot!$D$17,"Customer Name",J35)</f>
        <v>5622.4250000000002</v>
      </c>
      <c r="M35" s="19"/>
      <c r="N35" s="19"/>
      <c r="O35" s="19"/>
      <c r="P35" s="19"/>
      <c r="Q35" s="19"/>
      <c r="R35" s="19"/>
      <c r="S35" s="19"/>
      <c r="T35" s="19"/>
      <c r="U35" s="19"/>
    </row>
    <row r="36" spans="1:21" x14ac:dyDescent="0.3">
      <c r="A36" s="27"/>
      <c r="B36" s="27"/>
      <c r="C36" s="19"/>
      <c r="D36" s="22">
        <v>9</v>
      </c>
      <c r="E36" s="19" t="str">
        <f>Pivot!A26</f>
        <v>Inspiron</v>
      </c>
      <c r="F36" s="19"/>
      <c r="G36" s="34">
        <f>GETPIVOTDATA("Sales",Pivot!$A$17,"Product Name",E36)</f>
        <v>90690.228499999968</v>
      </c>
      <c r="H36" s="34"/>
      <c r="I36" s="24">
        <v>9</v>
      </c>
      <c r="J36" s="36" t="str">
        <f>Pivot!D26</f>
        <v>Willow Sullivan</v>
      </c>
      <c r="K36" s="36"/>
      <c r="L36" s="25">
        <f>GETPIVOTDATA("Sales",Pivot!$D$17,"Customer Name",J36)</f>
        <v>4951.3469999999998</v>
      </c>
      <c r="M36" s="19"/>
      <c r="N36" s="19"/>
      <c r="O36" s="19"/>
      <c r="P36" s="19"/>
      <c r="Q36" s="19"/>
      <c r="R36" s="19"/>
      <c r="S36" s="19"/>
      <c r="T36" s="19"/>
      <c r="U36" s="19"/>
    </row>
    <row r="37" spans="1:21" x14ac:dyDescent="0.3">
      <c r="A37" s="27"/>
      <c r="B37" s="27"/>
      <c r="C37" s="19"/>
      <c r="D37" s="22">
        <v>10</v>
      </c>
      <c r="E37" s="19" t="str">
        <f>Pivot!A27</f>
        <v>Kurtha</v>
      </c>
      <c r="F37" s="19"/>
      <c r="G37" s="34">
        <f>GETPIVOTDATA("Sales",Pivot!$A$17,"Product Name",E37)</f>
        <v>58536.037499999984</v>
      </c>
      <c r="H37" s="34"/>
      <c r="I37" s="19">
        <v>10</v>
      </c>
      <c r="J37" s="36" t="str">
        <f>Pivot!D27</f>
        <v>Zachary Burns</v>
      </c>
      <c r="K37" s="36"/>
      <c r="L37" s="25">
        <f>GETPIVOTDATA("Sales",Pivot!$D$17,"Customer Name",J37)</f>
        <v>5000.5889999999999</v>
      </c>
      <c r="M37" s="19"/>
      <c r="N37" s="19"/>
      <c r="O37" s="19"/>
      <c r="P37" s="19"/>
      <c r="Q37" s="19"/>
      <c r="R37" s="19"/>
      <c r="S37" s="19"/>
      <c r="T37" s="19"/>
      <c r="U37" s="19"/>
    </row>
    <row r="38" spans="1:21" x14ac:dyDescent="0.3">
      <c r="A38" s="27"/>
      <c r="B38" s="27"/>
      <c r="C38" s="19"/>
      <c r="D38" s="19"/>
      <c r="E38" s="19"/>
      <c r="F38" s="19"/>
      <c r="G38" s="19"/>
      <c r="H38" s="19"/>
      <c r="I38" s="19"/>
      <c r="J38" s="19"/>
      <c r="K38" s="19"/>
      <c r="L38" s="19"/>
      <c r="M38" s="19"/>
      <c r="N38" s="19"/>
      <c r="O38" s="19"/>
      <c r="P38" s="19"/>
      <c r="Q38" s="19"/>
      <c r="R38" s="19"/>
      <c r="S38" s="19"/>
      <c r="T38" s="19"/>
      <c r="U38" s="19"/>
    </row>
    <row r="39" spans="1:21" x14ac:dyDescent="0.3">
      <c r="A39" s="27"/>
      <c r="B39" s="27"/>
      <c r="C39" s="19"/>
      <c r="D39" s="19"/>
      <c r="E39" s="19"/>
      <c r="F39" s="19"/>
      <c r="G39" s="19"/>
      <c r="H39" s="19"/>
      <c r="I39" s="19"/>
      <c r="J39" s="19"/>
      <c r="K39" s="19"/>
      <c r="L39" s="19"/>
      <c r="M39" s="19"/>
      <c r="N39" s="19"/>
      <c r="O39" s="19"/>
      <c r="P39" s="19"/>
      <c r="Q39" s="19"/>
      <c r="R39" s="19"/>
      <c r="S39" s="19"/>
      <c r="T39" s="19"/>
      <c r="U39" s="19"/>
    </row>
    <row r="40" spans="1:21" x14ac:dyDescent="0.3">
      <c r="A40" s="27"/>
      <c r="B40" s="27"/>
      <c r="C40" s="19"/>
      <c r="D40" s="19"/>
      <c r="E40" s="19"/>
      <c r="F40" s="19"/>
      <c r="G40" s="19"/>
      <c r="H40" s="19"/>
      <c r="I40" s="19"/>
      <c r="J40" s="19"/>
      <c r="K40" s="19"/>
      <c r="L40" s="19"/>
      <c r="M40" s="19"/>
      <c r="N40" s="19"/>
      <c r="O40" s="19"/>
      <c r="P40" s="19"/>
      <c r="Q40" s="19"/>
      <c r="R40" s="19"/>
      <c r="S40" s="19"/>
      <c r="T40" s="19"/>
      <c r="U40" s="19"/>
    </row>
  </sheetData>
  <mergeCells count="21">
    <mergeCell ref="J33:K33"/>
    <mergeCell ref="J34:K34"/>
    <mergeCell ref="J35:K35"/>
    <mergeCell ref="J36:K36"/>
    <mergeCell ref="J37:K37"/>
    <mergeCell ref="G35:H35"/>
    <mergeCell ref="G36:H36"/>
    <mergeCell ref="G37:H37"/>
    <mergeCell ref="J27:K27"/>
    <mergeCell ref="J28:K28"/>
    <mergeCell ref="J29:K29"/>
    <mergeCell ref="J30:K30"/>
    <mergeCell ref="J31:K31"/>
    <mergeCell ref="J32:K32"/>
    <mergeCell ref="G28:H28"/>
    <mergeCell ref="G29:H29"/>
    <mergeCell ref="G30:H30"/>
    <mergeCell ref="G31:H31"/>
    <mergeCell ref="G32:H32"/>
    <mergeCell ref="G33:H33"/>
    <mergeCell ref="G34:H34"/>
  </mergeCells>
  <conditionalFormatting sqref="G28:G37">
    <cfRule type="dataBar" priority="2">
      <dataBar>
        <cfvo type="min"/>
        <cfvo type="max"/>
        <color rgb="FF3B82F6"/>
      </dataBar>
      <extLst>
        <ext xmlns:x14="http://schemas.microsoft.com/office/spreadsheetml/2009/9/main" uri="{B025F937-C7B1-47D3-B67F-A62EFF666E3E}">
          <x14:id>{A624D303-2B8B-4FCC-9FA3-75341820FD0A}</x14:id>
        </ext>
      </extLst>
    </cfRule>
  </conditionalFormatting>
  <conditionalFormatting sqref="G28:H28 G29:G37">
    <cfRule type="colorScale" priority="1">
      <colorScale>
        <cfvo type="min"/>
        <cfvo type="percentile" val="50"/>
        <cfvo type="max"/>
        <color rgb="FFF8FAFD"/>
        <color rgb="FFEEF4FE"/>
        <color rgb="FFDCE9FD"/>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A624D303-2B8B-4FCC-9FA3-75341820FD0A}">
            <x14:dataBar minLength="0" maxLength="100" border="1" gradient="0" negativeBarBorderColorSameAsPositive="0">
              <x14:cfvo type="autoMin"/>
              <x14:cfvo type="autoMax"/>
              <x14:borderColor rgb="FF3B82F6"/>
              <x14:negativeFillColor rgb="FFF43F5E"/>
              <x14:negativeBorderColor rgb="FFF43F5E"/>
              <x14:axisColor rgb="FF000000"/>
            </x14:dataBar>
          </x14:cfRule>
          <xm:sqref>G28:G37</xm:sqref>
        </x14:conditionalFormatting>
      </x14:conditionalFormatting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D6009-270A-48BB-BC86-891A83E4B3B3}">
  <sheetPr codeName="Sheet2"/>
  <dimension ref="A2:P34"/>
  <sheetViews>
    <sheetView tabSelected="1" zoomScale="69" workbookViewId="0">
      <selection activeCell="F18" sqref="F18"/>
    </sheetView>
  </sheetViews>
  <sheetFormatPr defaultRowHeight="14.4" x14ac:dyDescent="0.3"/>
  <cols>
    <col min="1" max="1" width="20.109375" bestFit="1" customWidth="1"/>
    <col min="2" max="2" width="21.5546875" customWidth="1"/>
    <col min="3" max="3" width="3.6640625" customWidth="1"/>
    <col min="4" max="4" width="16.33203125" customWidth="1"/>
    <col min="5" max="5" width="20" customWidth="1"/>
    <col min="7" max="7" width="10.33203125" customWidth="1"/>
    <col min="8" max="8" width="23.109375" customWidth="1"/>
    <col min="9" max="9" width="7.44140625" customWidth="1"/>
    <col min="11" max="11" width="13.44140625" customWidth="1"/>
    <col min="13" max="13" width="11.44140625" customWidth="1"/>
    <col min="15" max="15" width="14.44140625" customWidth="1"/>
  </cols>
  <sheetData>
    <row r="2" spans="1:16" ht="18" x14ac:dyDescent="0.35">
      <c r="A2" s="18" t="s">
        <v>2765</v>
      </c>
      <c r="B2" s="17"/>
      <c r="O2" s="38" t="s">
        <v>2781</v>
      </c>
      <c r="P2" s="38"/>
    </row>
    <row r="3" spans="1:16" x14ac:dyDescent="0.3">
      <c r="A3" s="10" t="s">
        <v>2758</v>
      </c>
      <c r="D3" s="10" t="s">
        <v>2752</v>
      </c>
      <c r="E3" t="s">
        <v>2754</v>
      </c>
      <c r="F3" s="37" t="s">
        <v>2781</v>
      </c>
      <c r="G3" s="37"/>
      <c r="H3" s="37"/>
      <c r="J3" s="10" t="s">
        <v>2752</v>
      </c>
      <c r="K3" t="s">
        <v>2754</v>
      </c>
      <c r="M3" s="10" t="s">
        <v>2752</v>
      </c>
      <c r="N3" t="s">
        <v>2754</v>
      </c>
    </row>
    <row r="4" spans="1:16" x14ac:dyDescent="0.3">
      <c r="A4" s="11" t="s">
        <v>2753</v>
      </c>
      <c r="B4" s="26">
        <v>1018</v>
      </c>
      <c r="D4" s="11" t="s">
        <v>2766</v>
      </c>
      <c r="E4" s="20">
        <v>134014.38249999998</v>
      </c>
      <c r="F4" s="13" t="str">
        <f>D4</f>
        <v>Jan</v>
      </c>
      <c r="G4" s="14">
        <f>GETPIVOTDATA("Sales",$D$3,"Month",F4)</f>
        <v>134014.38249999998</v>
      </c>
      <c r="H4" s="14">
        <f>GETPIVOTDATA("Sales",$D$3,"Month",F4)</f>
        <v>134014.38249999998</v>
      </c>
      <c r="J4" s="11" t="s">
        <v>27</v>
      </c>
      <c r="K4" s="20">
        <v>222579.38759999993</v>
      </c>
      <c r="M4" s="11" t="s">
        <v>2633</v>
      </c>
      <c r="N4" s="20">
        <v>35176.906999999999</v>
      </c>
      <c r="O4" t="str">
        <f>M4</f>
        <v>Alabama</v>
      </c>
      <c r="P4" s="20">
        <f>GETPIVOTDATA("Sales",$M$3,"State",O4)</f>
        <v>35176.906999999999</v>
      </c>
    </row>
    <row r="5" spans="1:16" x14ac:dyDescent="0.3">
      <c r="A5" s="11" t="s">
        <v>2754</v>
      </c>
      <c r="B5" s="5">
        <v>1301226.8007500018</v>
      </c>
      <c r="D5" s="11" t="s">
        <v>2767</v>
      </c>
      <c r="E5" s="20">
        <v>106604.307</v>
      </c>
      <c r="F5" s="13" t="str">
        <f t="shared" ref="F5:F15" si="0">D5</f>
        <v>Feb</v>
      </c>
      <c r="G5" s="14">
        <f t="shared" ref="G5:G15" si="1">GETPIVOTDATA("Sales",$D$3,"Month",F5)</f>
        <v>106604.307</v>
      </c>
      <c r="H5" s="14">
        <f t="shared" ref="H5:H15" si="2">GETPIVOTDATA("Sales",$D$3,"Month",F5)</f>
        <v>106604.307</v>
      </c>
      <c r="J5" s="11" t="s">
        <v>98</v>
      </c>
      <c r="K5" s="20">
        <v>199339.68215000004</v>
      </c>
      <c r="M5" s="11" t="s">
        <v>2628</v>
      </c>
      <c r="N5" s="20">
        <v>33987.650500000003</v>
      </c>
      <c r="O5" t="str">
        <f t="shared" ref="O5:O28" si="3">M5</f>
        <v>Arizona</v>
      </c>
      <c r="P5" s="20">
        <f t="shared" ref="P5:P28" si="4">GETPIVOTDATA("Sales",$M$3,"State",O5)</f>
        <v>33987.650500000003</v>
      </c>
    </row>
    <row r="6" spans="1:16" x14ac:dyDescent="0.3">
      <c r="A6" s="11" t="s">
        <v>2756</v>
      </c>
      <c r="B6" s="5">
        <v>419243.69075000042</v>
      </c>
      <c r="D6" s="11" t="s">
        <v>2768</v>
      </c>
      <c r="E6" s="20">
        <v>119074.43199999997</v>
      </c>
      <c r="F6" s="13" t="str">
        <f t="shared" si="0"/>
        <v>Mar</v>
      </c>
      <c r="G6" s="14">
        <f t="shared" si="1"/>
        <v>119074.43199999997</v>
      </c>
      <c r="H6" s="14">
        <f t="shared" si="2"/>
        <v>119074.43199999997</v>
      </c>
      <c r="J6" s="11" t="s">
        <v>38</v>
      </c>
      <c r="K6" s="20">
        <v>241590.24449999991</v>
      </c>
      <c r="M6" s="11" t="s">
        <v>2619</v>
      </c>
      <c r="N6" s="20">
        <v>129856.42209999998</v>
      </c>
      <c r="O6" t="str">
        <f t="shared" si="3"/>
        <v>California</v>
      </c>
      <c r="P6" s="20">
        <f t="shared" si="4"/>
        <v>129856.42209999998</v>
      </c>
    </row>
    <row r="7" spans="1:16" x14ac:dyDescent="0.3">
      <c r="A7" s="11" t="s">
        <v>2755</v>
      </c>
      <c r="B7" s="26">
        <v>1018</v>
      </c>
      <c r="D7" s="11" t="s">
        <v>2769</v>
      </c>
      <c r="E7" s="20">
        <v>157694.57299999997</v>
      </c>
      <c r="F7" s="13" t="str">
        <f t="shared" si="0"/>
        <v>Apr</v>
      </c>
      <c r="G7" s="14">
        <f t="shared" si="1"/>
        <v>157694.57299999997</v>
      </c>
      <c r="H7" s="14">
        <f t="shared" si="2"/>
        <v>157694.57299999997</v>
      </c>
      <c r="J7" s="11" t="s">
        <v>120</v>
      </c>
      <c r="K7" s="20">
        <v>209989.55800000005</v>
      </c>
      <c r="M7" s="11" t="s">
        <v>2668</v>
      </c>
      <c r="N7" s="20">
        <v>40271.673999999999</v>
      </c>
      <c r="O7" t="str">
        <f t="shared" si="3"/>
        <v>Colorado</v>
      </c>
      <c r="P7" s="20">
        <f t="shared" si="4"/>
        <v>40271.673999999999</v>
      </c>
    </row>
    <row r="8" spans="1:16" x14ac:dyDescent="0.3">
      <c r="A8" s="11" t="s">
        <v>2757</v>
      </c>
      <c r="B8" s="26">
        <v>3.0618860510805499</v>
      </c>
      <c r="D8" s="11" t="s">
        <v>2770</v>
      </c>
      <c r="E8" s="20">
        <v>121124.09850000002</v>
      </c>
      <c r="F8" s="13" t="str">
        <f t="shared" si="0"/>
        <v>May</v>
      </c>
      <c r="G8" s="14">
        <f t="shared" si="1"/>
        <v>121124.09850000002</v>
      </c>
      <c r="H8" s="14">
        <f t="shared" si="2"/>
        <v>121124.09850000002</v>
      </c>
      <c r="J8" s="11" t="s">
        <v>66</v>
      </c>
      <c r="K8" s="20">
        <v>241223.90649999995</v>
      </c>
      <c r="M8" s="11" t="s">
        <v>2625</v>
      </c>
      <c r="N8" s="20">
        <v>76143.512000000002</v>
      </c>
      <c r="O8" t="str">
        <f t="shared" si="3"/>
        <v>Florida</v>
      </c>
      <c r="P8" s="20">
        <f t="shared" si="4"/>
        <v>76143.512000000002</v>
      </c>
    </row>
    <row r="9" spans="1:16" x14ac:dyDescent="0.3">
      <c r="D9" s="11" t="s">
        <v>2771</v>
      </c>
      <c r="E9" s="20">
        <v>99764.748000000007</v>
      </c>
      <c r="F9" s="13" t="str">
        <f t="shared" si="0"/>
        <v>Jun</v>
      </c>
      <c r="G9" s="14">
        <f t="shared" si="1"/>
        <v>99764.748000000007</v>
      </c>
      <c r="H9" s="14">
        <f t="shared" si="2"/>
        <v>99764.748000000007</v>
      </c>
      <c r="J9" s="11" t="s">
        <v>54</v>
      </c>
      <c r="K9" s="20">
        <v>186504.02199999997</v>
      </c>
      <c r="M9" s="11" t="s">
        <v>2629</v>
      </c>
      <c r="N9" s="20">
        <v>48230.078000000001</v>
      </c>
      <c r="O9" t="str">
        <f t="shared" si="3"/>
        <v>Georgia</v>
      </c>
      <c r="P9" s="20">
        <f t="shared" si="4"/>
        <v>48230.078000000001</v>
      </c>
    </row>
    <row r="10" spans="1:16" x14ac:dyDescent="0.3">
      <c r="A10" s="12" t="s">
        <v>2759</v>
      </c>
      <c r="B10" s="13">
        <f>GETPIVOTDATA("Count of Order id",$A$3)</f>
        <v>1018</v>
      </c>
      <c r="D10" s="11" t="s">
        <v>2772</v>
      </c>
      <c r="E10" s="20">
        <v>110318.98115000001</v>
      </c>
      <c r="F10" s="13" t="str">
        <f t="shared" si="0"/>
        <v>Jul</v>
      </c>
      <c r="G10" s="14">
        <f t="shared" si="1"/>
        <v>110318.98115000001</v>
      </c>
      <c r="H10" s="14">
        <f t="shared" si="2"/>
        <v>110318.98115000001</v>
      </c>
      <c r="J10" s="37" t="s">
        <v>2781</v>
      </c>
      <c r="K10" s="37"/>
      <c r="M10" s="11" t="s">
        <v>2627</v>
      </c>
      <c r="N10" s="20">
        <v>77454.902500000011</v>
      </c>
      <c r="O10" t="str">
        <f t="shared" si="3"/>
        <v>Illinois</v>
      </c>
      <c r="P10" s="20">
        <f t="shared" si="4"/>
        <v>77454.902500000011</v>
      </c>
    </row>
    <row r="11" spans="1:16" x14ac:dyDescent="0.3">
      <c r="A11" s="12" t="s">
        <v>2760</v>
      </c>
      <c r="B11" s="14">
        <f>GETPIVOTDATA("Sum of Sales",$A$3)</f>
        <v>1301226.8007500018</v>
      </c>
      <c r="D11" s="11" t="s">
        <v>2773</v>
      </c>
      <c r="E11" s="20">
        <v>105231.72409999993</v>
      </c>
      <c r="F11" s="13" t="str">
        <f t="shared" si="0"/>
        <v>Aug</v>
      </c>
      <c r="G11" s="14">
        <f t="shared" si="1"/>
        <v>105231.72409999993</v>
      </c>
      <c r="H11" s="14">
        <f t="shared" si="2"/>
        <v>105231.72409999993</v>
      </c>
      <c r="J11" s="13" t="str">
        <f>J4</f>
        <v>Beauty</v>
      </c>
      <c r="K11" s="14">
        <f>GETPIVOTDATA("Sales",$J$3,"Category",J11)</f>
        <v>222579.38759999993</v>
      </c>
      <c r="L11" s="20"/>
      <c r="M11" s="11" t="s">
        <v>2637</v>
      </c>
      <c r="N11" s="20">
        <v>30477.788</v>
      </c>
      <c r="O11" t="str">
        <f t="shared" si="3"/>
        <v>Indiana</v>
      </c>
      <c r="P11" s="20">
        <f t="shared" si="4"/>
        <v>30477.788</v>
      </c>
    </row>
    <row r="12" spans="1:16" x14ac:dyDescent="0.3">
      <c r="A12" s="12" t="s">
        <v>2761</v>
      </c>
      <c r="B12" s="14">
        <f>GETPIVOTDATA("Sum of Profit",$A$3)</f>
        <v>419243.69075000042</v>
      </c>
      <c r="D12" s="11" t="s">
        <v>2774</v>
      </c>
      <c r="E12" s="20">
        <v>101183.44100000001</v>
      </c>
      <c r="F12" s="13" t="str">
        <f t="shared" si="0"/>
        <v>Sep</v>
      </c>
      <c r="G12" s="14">
        <f t="shared" si="1"/>
        <v>101183.44100000001</v>
      </c>
      <c r="H12" s="14">
        <f t="shared" si="2"/>
        <v>101183.44100000001</v>
      </c>
      <c r="J12" s="13" t="str">
        <f t="shared" ref="J12:J16" si="5">J5</f>
        <v>Electronics</v>
      </c>
      <c r="K12" s="14">
        <f t="shared" ref="K12:K16" si="6">GETPIVOTDATA("Sales",$J$3,"Category",J12)</f>
        <v>199339.68215000004</v>
      </c>
      <c r="L12" s="20"/>
      <c r="M12" s="11" t="s">
        <v>2655</v>
      </c>
      <c r="N12" s="20">
        <v>23253.811999999998</v>
      </c>
      <c r="O12" t="str">
        <f t="shared" si="3"/>
        <v>Maryland</v>
      </c>
      <c r="P12" s="20">
        <f t="shared" si="4"/>
        <v>23253.811999999998</v>
      </c>
    </row>
    <row r="13" spans="1:16" x14ac:dyDescent="0.3">
      <c r="A13" s="12" t="s">
        <v>2762</v>
      </c>
      <c r="B13" s="13">
        <f>GETPIVOTDATA("Count of Customer ID",$A$3)</f>
        <v>1018</v>
      </c>
      <c r="D13" s="11" t="s">
        <v>2775</v>
      </c>
      <c r="E13" s="20">
        <v>67484.858500000002</v>
      </c>
      <c r="F13" s="13" t="str">
        <f t="shared" si="0"/>
        <v>Oct</v>
      </c>
      <c r="G13" s="14">
        <f t="shared" si="1"/>
        <v>67484.858500000002</v>
      </c>
      <c r="H13" s="14">
        <f t="shared" si="2"/>
        <v>67484.858500000002</v>
      </c>
      <c r="J13" s="13" t="str">
        <f t="shared" si="5"/>
        <v>Fashion</v>
      </c>
      <c r="K13" s="14">
        <f t="shared" si="6"/>
        <v>241590.24449999991</v>
      </c>
      <c r="L13" s="20"/>
      <c r="M13" s="11" t="s">
        <v>2657</v>
      </c>
      <c r="N13" s="20">
        <v>36341.459999999992</v>
      </c>
      <c r="O13" t="str">
        <f t="shared" si="3"/>
        <v>Massachusetts</v>
      </c>
      <c r="P13" s="20">
        <f t="shared" si="4"/>
        <v>36341.459999999992</v>
      </c>
    </row>
    <row r="14" spans="1:16" x14ac:dyDescent="0.3">
      <c r="A14" s="12" t="s">
        <v>2763</v>
      </c>
      <c r="B14" s="15">
        <f>B11/B10</f>
        <v>1278.2188612475459</v>
      </c>
      <c r="D14" s="11" t="s">
        <v>2776</v>
      </c>
      <c r="E14" s="20">
        <v>100922.50649999997</v>
      </c>
      <c r="F14" s="13" t="str">
        <f t="shared" si="0"/>
        <v>Nov</v>
      </c>
      <c r="G14" s="14">
        <f t="shared" si="1"/>
        <v>100922.50649999997</v>
      </c>
      <c r="H14" s="14">
        <f t="shared" si="2"/>
        <v>100922.50649999997</v>
      </c>
      <c r="J14" s="13" t="str">
        <f t="shared" si="5"/>
        <v>Grocery</v>
      </c>
      <c r="K14" s="14">
        <f t="shared" si="6"/>
        <v>209989.55800000005</v>
      </c>
      <c r="L14" s="20"/>
      <c r="M14" s="11" t="s">
        <v>2675</v>
      </c>
      <c r="N14" s="20">
        <v>56227.030500000001</v>
      </c>
      <c r="O14" t="str">
        <f t="shared" si="3"/>
        <v>Michigan</v>
      </c>
      <c r="P14" s="20">
        <f t="shared" si="4"/>
        <v>56227.030500000001</v>
      </c>
    </row>
    <row r="15" spans="1:16" x14ac:dyDescent="0.3">
      <c r="A15" s="12" t="s">
        <v>2764</v>
      </c>
      <c r="B15" s="16">
        <f>GETPIVOTDATA("Average of  Ratings",$A$3)</f>
        <v>3.0618860510805499</v>
      </c>
      <c r="D15" s="11" t="s">
        <v>2777</v>
      </c>
      <c r="E15" s="20">
        <v>77808.748499999987</v>
      </c>
      <c r="F15" s="13" t="str">
        <f t="shared" si="0"/>
        <v>Dec</v>
      </c>
      <c r="G15" s="14">
        <f t="shared" si="1"/>
        <v>77808.748499999987</v>
      </c>
      <c r="H15" s="14">
        <f t="shared" si="2"/>
        <v>77808.748499999987</v>
      </c>
      <c r="J15" s="13" t="str">
        <f t="shared" si="5"/>
        <v>Home</v>
      </c>
      <c r="K15" s="14">
        <f t="shared" si="6"/>
        <v>241223.90649999995</v>
      </c>
      <c r="L15" s="20"/>
      <c r="M15" s="11" t="s">
        <v>2635</v>
      </c>
      <c r="N15" s="20">
        <v>20411.3675</v>
      </c>
      <c r="O15" t="str">
        <f t="shared" si="3"/>
        <v>Minnesota</v>
      </c>
      <c r="P15" s="20">
        <f t="shared" si="4"/>
        <v>20411.3675</v>
      </c>
    </row>
    <row r="16" spans="1:16" x14ac:dyDescent="0.3">
      <c r="J16" s="13" t="str">
        <f t="shared" si="5"/>
        <v>Sports</v>
      </c>
      <c r="K16" s="14">
        <f t="shared" si="6"/>
        <v>186504.02199999997</v>
      </c>
      <c r="L16" s="20"/>
      <c r="M16" s="11" t="s">
        <v>2659</v>
      </c>
      <c r="N16" s="20">
        <v>50631.915499999996</v>
      </c>
      <c r="O16" t="str">
        <f t="shared" si="3"/>
        <v>Missouri</v>
      </c>
      <c r="P16" s="20">
        <f t="shared" si="4"/>
        <v>50631.915499999996</v>
      </c>
    </row>
    <row r="17" spans="1:16" x14ac:dyDescent="0.3">
      <c r="A17" s="10" t="s">
        <v>2752</v>
      </c>
      <c r="B17" t="s">
        <v>2754</v>
      </c>
      <c r="D17" s="10" t="s">
        <v>2752</v>
      </c>
      <c r="E17" t="s">
        <v>2754</v>
      </c>
      <c r="M17" s="11" t="s">
        <v>2648</v>
      </c>
      <c r="N17" s="20">
        <v>48520.915000000008</v>
      </c>
      <c r="O17" t="str">
        <f t="shared" si="3"/>
        <v>New Jersey</v>
      </c>
      <c r="P17" s="20">
        <f t="shared" si="4"/>
        <v>48520.915000000008</v>
      </c>
    </row>
    <row r="18" spans="1:16" x14ac:dyDescent="0.3">
      <c r="A18" s="11" t="s">
        <v>122</v>
      </c>
      <c r="B18" s="20">
        <v>209989.55800000005</v>
      </c>
      <c r="D18" s="11" t="s">
        <v>2722</v>
      </c>
      <c r="E18" s="23">
        <v>6603.7314999999999</v>
      </c>
      <c r="M18" s="11" t="s">
        <v>2618</v>
      </c>
      <c r="N18" s="20">
        <v>84912.825000000012</v>
      </c>
      <c r="O18" t="str">
        <f t="shared" si="3"/>
        <v>New York</v>
      </c>
      <c r="P18" s="20">
        <f t="shared" si="4"/>
        <v>84912.825000000012</v>
      </c>
    </row>
    <row r="19" spans="1:16" x14ac:dyDescent="0.3">
      <c r="A19" s="11" t="s">
        <v>56</v>
      </c>
      <c r="B19" s="20">
        <v>186504.02199999997</v>
      </c>
      <c r="D19" s="11" t="s">
        <v>3568</v>
      </c>
      <c r="E19" s="23">
        <v>4892.6000000000004</v>
      </c>
      <c r="M19" s="11" t="s">
        <v>2650</v>
      </c>
      <c r="N19" s="20">
        <v>57469.467000000011</v>
      </c>
      <c r="O19" t="str">
        <f t="shared" si="3"/>
        <v>North Carolina</v>
      </c>
      <c r="P19" s="20">
        <f t="shared" si="4"/>
        <v>57469.467000000011</v>
      </c>
    </row>
    <row r="20" spans="1:16" x14ac:dyDescent="0.3">
      <c r="A20" s="11" t="s">
        <v>29</v>
      </c>
      <c r="B20" s="20">
        <v>164043.35010000001</v>
      </c>
      <c r="D20" s="11" t="s">
        <v>3591</v>
      </c>
      <c r="E20" s="23">
        <v>4865.3500000000004</v>
      </c>
      <c r="M20" s="11" t="s">
        <v>2630</v>
      </c>
      <c r="N20" s="20">
        <v>62022.358500000002</v>
      </c>
      <c r="O20" t="str">
        <f t="shared" si="3"/>
        <v>Ohio</v>
      </c>
      <c r="P20" s="20">
        <f t="shared" si="4"/>
        <v>62022.358500000002</v>
      </c>
    </row>
    <row r="21" spans="1:16" x14ac:dyDescent="0.3">
      <c r="A21" s="11" t="s">
        <v>40</v>
      </c>
      <c r="B21" s="20">
        <v>135584.47050000005</v>
      </c>
      <c r="D21" s="11" t="s">
        <v>3613</v>
      </c>
      <c r="E21" s="23">
        <v>6476.3220000000001</v>
      </c>
      <c r="M21" s="11" t="s">
        <v>2652</v>
      </c>
      <c r="N21" s="20">
        <v>26342.206499999993</v>
      </c>
      <c r="O21" t="str">
        <f t="shared" si="3"/>
        <v>Oregon</v>
      </c>
      <c r="P21" s="20">
        <f t="shared" si="4"/>
        <v>26342.206499999993</v>
      </c>
    </row>
    <row r="22" spans="1:16" x14ac:dyDescent="0.3">
      <c r="A22" s="11" t="s">
        <v>115</v>
      </c>
      <c r="B22" s="20">
        <v>125213.19349999999</v>
      </c>
      <c r="D22" s="11" t="s">
        <v>3616</v>
      </c>
      <c r="E22" s="23">
        <v>4795.6129999999994</v>
      </c>
      <c r="M22" s="11" t="s">
        <v>2664</v>
      </c>
      <c r="N22" s="20">
        <v>68852.176500000001</v>
      </c>
      <c r="O22" t="str">
        <f t="shared" si="3"/>
        <v>Pennsylvania</v>
      </c>
      <c r="P22" s="20">
        <f t="shared" si="4"/>
        <v>68852.176500000001</v>
      </c>
    </row>
    <row r="23" spans="1:16" x14ac:dyDescent="0.3">
      <c r="A23" s="11" t="s">
        <v>68</v>
      </c>
      <c r="B23" s="20">
        <v>116010.71300000002</v>
      </c>
      <c r="D23" s="11" t="s">
        <v>3618</v>
      </c>
      <c r="E23" s="23">
        <v>4982.4850000000006</v>
      </c>
      <c r="M23" s="11" t="s">
        <v>2671</v>
      </c>
      <c r="N23" s="20">
        <v>27753.219499999999</v>
      </c>
      <c r="O23" t="str">
        <f t="shared" si="3"/>
        <v>South Carolina</v>
      </c>
      <c r="P23" s="20">
        <f t="shared" si="4"/>
        <v>27753.219499999999</v>
      </c>
    </row>
    <row r="24" spans="1:16" x14ac:dyDescent="0.3">
      <c r="A24" s="11" t="s">
        <v>100</v>
      </c>
      <c r="B24" s="20">
        <v>108649.45365000002</v>
      </c>
      <c r="D24" s="11" t="s">
        <v>3647</v>
      </c>
      <c r="E24" s="23">
        <v>5212.1240000000007</v>
      </c>
      <c r="M24" s="11" t="s">
        <v>2661</v>
      </c>
      <c r="N24" s="20">
        <v>46179.088149999996</v>
      </c>
      <c r="O24" t="str">
        <f t="shared" si="3"/>
        <v>Tennessee</v>
      </c>
      <c r="P24" s="20">
        <f t="shared" si="4"/>
        <v>46179.088149999996</v>
      </c>
    </row>
    <row r="25" spans="1:16" x14ac:dyDescent="0.3">
      <c r="A25" s="11" t="s">
        <v>140</v>
      </c>
      <c r="B25" s="20">
        <v>106005.77399999999</v>
      </c>
      <c r="D25" s="11" t="s">
        <v>3651</v>
      </c>
      <c r="E25" s="23">
        <v>5622.4250000000002</v>
      </c>
      <c r="M25" s="11" t="s">
        <v>2621</v>
      </c>
      <c r="N25" s="20">
        <v>138342.27699999991</v>
      </c>
      <c r="O25" t="str">
        <f t="shared" si="3"/>
        <v>Texas</v>
      </c>
      <c r="P25" s="20">
        <f t="shared" si="4"/>
        <v>138342.27699999991</v>
      </c>
    </row>
    <row r="26" spans="1:16" x14ac:dyDescent="0.3">
      <c r="A26" s="11" t="s">
        <v>128</v>
      </c>
      <c r="B26" s="20">
        <v>90690.228499999968</v>
      </c>
      <c r="D26" s="11" t="s">
        <v>3699</v>
      </c>
      <c r="E26" s="23">
        <v>4951.3469999999998</v>
      </c>
      <c r="M26" s="11" t="s">
        <v>2631</v>
      </c>
      <c r="N26" s="20">
        <v>36594.513499999986</v>
      </c>
      <c r="O26" t="str">
        <f t="shared" si="3"/>
        <v>Virginia</v>
      </c>
      <c r="P26" s="20">
        <f t="shared" si="4"/>
        <v>36594.513499999986</v>
      </c>
    </row>
    <row r="27" spans="1:16" x14ac:dyDescent="0.3">
      <c r="A27" s="11" t="s">
        <v>2617</v>
      </c>
      <c r="B27" s="20">
        <v>58536.037499999984</v>
      </c>
      <c r="D27" s="11" t="s">
        <v>3701</v>
      </c>
      <c r="E27" s="23">
        <v>5000.5889999999999</v>
      </c>
      <c r="M27" s="11" t="s">
        <v>2623</v>
      </c>
      <c r="N27" s="20">
        <v>30829.046999999999</v>
      </c>
      <c r="O27" t="str">
        <f t="shared" si="3"/>
        <v>Washington</v>
      </c>
      <c r="P27" s="20">
        <f t="shared" si="4"/>
        <v>30829.046999999999</v>
      </c>
    </row>
    <row r="28" spans="1:16" x14ac:dyDescent="0.3">
      <c r="M28" s="11" t="s">
        <v>2643</v>
      </c>
      <c r="N28" s="20">
        <v>14944.187499999998</v>
      </c>
      <c r="O28" t="str">
        <f t="shared" si="3"/>
        <v>Wisconsin</v>
      </c>
      <c r="P28" s="20">
        <f t="shared" si="4"/>
        <v>14944.187499999998</v>
      </c>
    </row>
    <row r="29" spans="1:16" x14ac:dyDescent="0.3">
      <c r="A29" s="10" t="s">
        <v>2752</v>
      </c>
      <c r="B29" t="s">
        <v>2753</v>
      </c>
      <c r="D29" s="10" t="s">
        <v>2752</v>
      </c>
      <c r="E29" t="s">
        <v>2753</v>
      </c>
      <c r="G29" s="10" t="s">
        <v>2752</v>
      </c>
      <c r="H29" t="s">
        <v>2753</v>
      </c>
    </row>
    <row r="30" spans="1:16" x14ac:dyDescent="0.3">
      <c r="A30" s="11" t="s">
        <v>31</v>
      </c>
      <c r="B30" s="5">
        <v>213</v>
      </c>
      <c r="D30" s="11" t="s">
        <v>43</v>
      </c>
      <c r="E30" s="5">
        <v>242</v>
      </c>
      <c r="G30" s="11" t="s">
        <v>44</v>
      </c>
      <c r="H30" s="5">
        <v>347</v>
      </c>
    </row>
    <row r="31" spans="1:16" x14ac:dyDescent="0.3">
      <c r="A31" s="11" t="s">
        <v>42</v>
      </c>
      <c r="B31" s="5">
        <v>204</v>
      </c>
      <c r="D31" s="11" t="s">
        <v>62</v>
      </c>
      <c r="E31" s="5">
        <v>271</v>
      </c>
      <c r="G31" s="11" t="s">
        <v>75</v>
      </c>
      <c r="H31" s="5">
        <v>329</v>
      </c>
    </row>
    <row r="32" spans="1:16" x14ac:dyDescent="0.3">
      <c r="A32" s="11" t="s">
        <v>58</v>
      </c>
      <c r="B32" s="5">
        <v>204</v>
      </c>
      <c r="D32" s="11" t="s">
        <v>71</v>
      </c>
      <c r="E32" s="5">
        <v>262</v>
      </c>
      <c r="G32" s="11" t="s">
        <v>33</v>
      </c>
      <c r="H32" s="5">
        <v>342</v>
      </c>
    </row>
    <row r="33" spans="1:5" x14ac:dyDescent="0.3">
      <c r="A33" s="11" t="s">
        <v>117</v>
      </c>
      <c r="B33" s="5">
        <v>179</v>
      </c>
      <c r="D33" s="11" t="s">
        <v>32</v>
      </c>
      <c r="E33" s="5">
        <v>243</v>
      </c>
    </row>
    <row r="34" spans="1:5" x14ac:dyDescent="0.3">
      <c r="A34" s="11" t="s">
        <v>70</v>
      </c>
      <c r="B34" s="5">
        <v>218</v>
      </c>
    </row>
  </sheetData>
  <mergeCells count="3">
    <mergeCell ref="F3:H3"/>
    <mergeCell ref="O2:P2"/>
    <mergeCell ref="J10:K10"/>
  </mergeCells>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D1019"/>
  <sheetViews>
    <sheetView workbookViewId="0">
      <selection activeCell="G7" sqref="G7"/>
    </sheetView>
  </sheetViews>
  <sheetFormatPr defaultRowHeight="14.4" x14ac:dyDescent="0.3"/>
  <cols>
    <col min="1" max="1" width="10.44140625" customWidth="1"/>
    <col min="2" max="2" width="12.88671875" style="1" customWidth="1"/>
    <col min="3" max="3" width="14" customWidth="1"/>
    <col min="4" max="4" width="20.44140625" bestFit="1" customWidth="1"/>
    <col min="5" max="5" width="15.6640625" customWidth="1"/>
    <col min="6" max="6" width="11" customWidth="1"/>
    <col min="7" max="7" width="14.6640625" customWidth="1"/>
    <col min="8" max="8" width="12.88671875" bestFit="1" customWidth="1"/>
    <col min="9" max="9" width="14.6640625" bestFit="1" customWidth="1"/>
    <col min="10" max="10" width="9.88671875" customWidth="1"/>
    <col min="11" max="11" width="6.5546875" customWidth="1"/>
    <col min="12" max="12" width="10.88671875" customWidth="1"/>
    <col min="13" max="13" width="12.88671875" customWidth="1"/>
    <col min="14" max="14" width="12.33203125" customWidth="1"/>
    <col min="15" max="15" width="16.5546875" customWidth="1"/>
    <col min="16" max="16" width="16.6640625" customWidth="1"/>
    <col min="17" max="17" width="14.109375" customWidth="1"/>
    <col min="18" max="18" width="9.33203125" bestFit="1" customWidth="1"/>
    <col min="19" max="19" width="10" customWidth="1"/>
    <col min="20" max="20" width="11.88671875" style="5" customWidth="1"/>
    <col min="21" max="21" width="7.88671875" style="5" bestFit="1" customWidth="1"/>
    <col min="22" max="22" width="15.109375" customWidth="1"/>
    <col min="23" max="23" width="10" customWidth="1"/>
    <col min="24" max="25" width="7.109375" customWidth="1"/>
    <col min="26" max="26" width="9.109375" style="5"/>
    <col min="27" max="27" width="8.33203125" style="5" bestFit="1" customWidth="1"/>
    <col min="28" max="29" width="6.88671875" bestFit="1" customWidth="1"/>
  </cols>
  <sheetData>
    <row r="1" spans="1:28" x14ac:dyDescent="0.3">
      <c r="A1" t="s">
        <v>2616</v>
      </c>
      <c r="B1" t="s">
        <v>0</v>
      </c>
      <c r="C1" t="s">
        <v>2</v>
      </c>
      <c r="D1" t="s">
        <v>3</v>
      </c>
      <c r="E1" t="s">
        <v>1</v>
      </c>
      <c r="F1" t="s">
        <v>11</v>
      </c>
      <c r="G1" t="s">
        <v>9</v>
      </c>
      <c r="H1" t="s">
        <v>10</v>
      </c>
      <c r="I1" t="s">
        <v>7</v>
      </c>
      <c r="J1" t="s">
        <v>6</v>
      </c>
      <c r="K1" t="s">
        <v>4</v>
      </c>
      <c r="L1" t="s">
        <v>5</v>
      </c>
      <c r="M1" t="s">
        <v>13</v>
      </c>
      <c r="N1" t="s">
        <v>15</v>
      </c>
      <c r="O1" t="s">
        <v>8</v>
      </c>
      <c r="P1" t="s">
        <v>19</v>
      </c>
      <c r="Q1" t="s">
        <v>17</v>
      </c>
      <c r="R1" t="s">
        <v>18</v>
      </c>
      <c r="S1" t="s">
        <v>12</v>
      </c>
      <c r="T1" t="s">
        <v>2615</v>
      </c>
      <c r="U1" s="5" t="s">
        <v>14</v>
      </c>
      <c r="V1" s="5" t="s">
        <v>16</v>
      </c>
      <c r="W1" t="s">
        <v>20</v>
      </c>
      <c r="X1" t="s">
        <v>21</v>
      </c>
      <c r="Y1" t="s">
        <v>22</v>
      </c>
      <c r="Z1" s="8" t="s">
        <v>2749</v>
      </c>
      <c r="AA1" s="9" t="s">
        <v>2750</v>
      </c>
      <c r="AB1" s="9" t="s">
        <v>2751</v>
      </c>
    </row>
    <row r="2" spans="1:28" x14ac:dyDescent="0.3">
      <c r="A2" t="s">
        <v>23</v>
      </c>
      <c r="B2" s="1">
        <v>45304</v>
      </c>
      <c r="C2" t="s">
        <v>24</v>
      </c>
      <c r="D2" t="s">
        <v>2784</v>
      </c>
      <c r="E2" s="1">
        <v>45305</v>
      </c>
      <c r="F2" t="s">
        <v>2617</v>
      </c>
      <c r="G2" t="s">
        <v>27</v>
      </c>
      <c r="H2" t="s">
        <v>28</v>
      </c>
      <c r="I2" t="s">
        <v>2657</v>
      </c>
      <c r="J2" t="s">
        <v>2696</v>
      </c>
      <c r="K2" t="s">
        <v>25</v>
      </c>
      <c r="L2">
        <v>52</v>
      </c>
      <c r="M2">
        <v>4</v>
      </c>
      <c r="N2">
        <v>0</v>
      </c>
      <c r="O2" t="s">
        <v>26</v>
      </c>
      <c r="P2" t="s">
        <v>33</v>
      </c>
      <c r="Q2" t="s">
        <v>31</v>
      </c>
      <c r="R2" t="s">
        <v>32</v>
      </c>
      <c r="S2" t="s">
        <v>30</v>
      </c>
      <c r="T2">
        <v>3</v>
      </c>
      <c r="U2" s="5">
        <v>147.79</v>
      </c>
      <c r="V2" s="5">
        <v>401.74</v>
      </c>
      <c r="W2">
        <v>1</v>
      </c>
      <c r="X2" t="s">
        <v>34</v>
      </c>
      <c r="Y2">
        <v>2024</v>
      </c>
      <c r="Z2" t="str">
        <f>TEXT(Table1[[#This Row],[Order Date]],"MMM")</f>
        <v>Jan</v>
      </c>
      <c r="AA2" s="5">
        <f>Table1[[#This Row],[Unit Price]]*Table1[[#This Row],[Quantity]]*(1-Table1[[#This Row],[Discount %]]/100)</f>
        <v>591.16</v>
      </c>
      <c r="AB2" s="5">
        <f>Table1[[#This Row],[Sales]]-Table1[[#This Row],[Cost]]</f>
        <v>189.41999999999996</v>
      </c>
    </row>
    <row r="3" spans="1:28" x14ac:dyDescent="0.3">
      <c r="A3" t="s">
        <v>35</v>
      </c>
      <c r="B3" s="1">
        <v>45538</v>
      </c>
      <c r="C3" t="s">
        <v>36</v>
      </c>
      <c r="D3" t="s">
        <v>2785</v>
      </c>
      <c r="E3" s="1">
        <v>45540</v>
      </c>
      <c r="F3" t="s">
        <v>40</v>
      </c>
      <c r="G3" t="s">
        <v>38</v>
      </c>
      <c r="H3" t="s">
        <v>39</v>
      </c>
      <c r="I3" t="s">
        <v>2619</v>
      </c>
      <c r="J3" t="s">
        <v>2697</v>
      </c>
      <c r="K3" t="s">
        <v>25</v>
      </c>
      <c r="L3">
        <v>26</v>
      </c>
      <c r="M3">
        <v>4</v>
      </c>
      <c r="N3">
        <v>30</v>
      </c>
      <c r="O3" t="s">
        <v>37</v>
      </c>
      <c r="P3" t="s">
        <v>44</v>
      </c>
      <c r="Q3" t="s">
        <v>42</v>
      </c>
      <c r="R3" t="s">
        <v>43</v>
      </c>
      <c r="S3" t="s">
        <v>41</v>
      </c>
      <c r="T3">
        <v>1</v>
      </c>
      <c r="U3" s="5">
        <v>154.13999999999999</v>
      </c>
      <c r="V3" s="5">
        <v>309.97000000000003</v>
      </c>
      <c r="W3">
        <v>2</v>
      </c>
      <c r="X3" t="s">
        <v>45</v>
      </c>
      <c r="Y3">
        <v>2024</v>
      </c>
      <c r="Z3" t="str">
        <f>TEXT(Table1[[#This Row],[Order Date]],"MMM")</f>
        <v>Sep</v>
      </c>
      <c r="AA3" s="5">
        <f>Table1[[#This Row],[Unit Price]]*Table1[[#This Row],[Quantity]]*(1-Table1[[#This Row],[Discount %]]/100)</f>
        <v>431.59199999999993</v>
      </c>
      <c r="AB3" s="5">
        <f>Table1[[#This Row],[Sales]]-Table1[[#This Row],[Cost]]</f>
        <v>121.6219999999999</v>
      </c>
    </row>
    <row r="4" spans="1:28" x14ac:dyDescent="0.3">
      <c r="A4" t="s">
        <v>46</v>
      </c>
      <c r="B4" s="1">
        <v>45462</v>
      </c>
      <c r="C4" t="s">
        <v>47</v>
      </c>
      <c r="D4" t="s">
        <v>2786</v>
      </c>
      <c r="E4" s="1">
        <v>45468</v>
      </c>
      <c r="F4" t="s">
        <v>40</v>
      </c>
      <c r="G4" t="s">
        <v>38</v>
      </c>
      <c r="H4" t="s">
        <v>39</v>
      </c>
      <c r="I4" t="s">
        <v>2630</v>
      </c>
      <c r="J4" t="s">
        <v>2646</v>
      </c>
      <c r="K4" t="s">
        <v>25</v>
      </c>
      <c r="L4">
        <v>53</v>
      </c>
      <c r="M4">
        <v>2</v>
      </c>
      <c r="N4">
        <v>30</v>
      </c>
      <c r="O4" t="s">
        <v>48</v>
      </c>
      <c r="P4" t="s">
        <v>33</v>
      </c>
      <c r="Q4" t="s">
        <v>31</v>
      </c>
      <c r="R4" t="s">
        <v>43</v>
      </c>
      <c r="S4" t="s">
        <v>41</v>
      </c>
      <c r="T4">
        <v>1</v>
      </c>
      <c r="U4" s="5">
        <v>994.37</v>
      </c>
      <c r="V4" s="5">
        <v>729.45</v>
      </c>
      <c r="W4">
        <v>6</v>
      </c>
      <c r="X4" t="s">
        <v>49</v>
      </c>
      <c r="Y4">
        <v>2024</v>
      </c>
      <c r="Z4" t="str">
        <f>TEXT(Table1[[#This Row],[Order Date]],"MMM")</f>
        <v>Jun</v>
      </c>
      <c r="AA4" s="5">
        <f>Table1[[#This Row],[Unit Price]]*Table1[[#This Row],[Quantity]]*(1-Table1[[#This Row],[Discount %]]/100)</f>
        <v>1392.1179999999999</v>
      </c>
      <c r="AB4" s="5">
        <f>Table1[[#This Row],[Sales]]-Table1[[#This Row],[Cost]]</f>
        <v>662.66799999999989</v>
      </c>
    </row>
    <row r="5" spans="1:28" x14ac:dyDescent="0.3">
      <c r="A5" t="s">
        <v>50</v>
      </c>
      <c r="B5" s="1">
        <v>46118</v>
      </c>
      <c r="C5" t="s">
        <v>51</v>
      </c>
      <c r="D5" t="s">
        <v>2787</v>
      </c>
      <c r="E5" s="1">
        <v>46120</v>
      </c>
      <c r="F5" t="s">
        <v>56</v>
      </c>
      <c r="G5" t="s">
        <v>54</v>
      </c>
      <c r="H5" t="s">
        <v>55</v>
      </c>
      <c r="I5" t="s">
        <v>2621</v>
      </c>
      <c r="J5" t="s">
        <v>2663</v>
      </c>
      <c r="K5" t="s">
        <v>52</v>
      </c>
      <c r="L5">
        <v>65</v>
      </c>
      <c r="M5">
        <v>2</v>
      </c>
      <c r="N5">
        <v>0</v>
      </c>
      <c r="O5" t="s">
        <v>53</v>
      </c>
      <c r="P5" t="s">
        <v>44</v>
      </c>
      <c r="Q5" t="s">
        <v>58</v>
      </c>
      <c r="R5" t="s">
        <v>32</v>
      </c>
      <c r="S5" t="s">
        <v>57</v>
      </c>
      <c r="T5">
        <v>5</v>
      </c>
      <c r="U5" s="5">
        <v>679.98</v>
      </c>
      <c r="V5" s="5">
        <v>969.66</v>
      </c>
      <c r="W5">
        <v>2</v>
      </c>
      <c r="X5" t="s">
        <v>49</v>
      </c>
      <c r="Y5">
        <v>2026</v>
      </c>
      <c r="Z5" t="str">
        <f>TEXT(Table1[[#This Row],[Order Date]],"MMM")</f>
        <v>Apr</v>
      </c>
      <c r="AA5" s="5">
        <f>Table1[[#This Row],[Unit Price]]*Table1[[#This Row],[Quantity]]*(1-Table1[[#This Row],[Discount %]]/100)</f>
        <v>1359.96</v>
      </c>
      <c r="AB5" s="5">
        <f>Table1[[#This Row],[Sales]]-Table1[[#This Row],[Cost]]</f>
        <v>390.30000000000007</v>
      </c>
    </row>
    <row r="6" spans="1:28" x14ac:dyDescent="0.3">
      <c r="A6" t="s">
        <v>59</v>
      </c>
      <c r="B6" s="1">
        <v>45869</v>
      </c>
      <c r="C6" t="s">
        <v>60</v>
      </c>
      <c r="D6" t="s">
        <v>2788</v>
      </c>
      <c r="E6" s="1">
        <v>45871</v>
      </c>
      <c r="F6" t="s">
        <v>2617</v>
      </c>
      <c r="G6" t="s">
        <v>27</v>
      </c>
      <c r="H6" t="s">
        <v>28</v>
      </c>
      <c r="I6" t="s">
        <v>2630</v>
      </c>
      <c r="J6" t="s">
        <v>2640</v>
      </c>
      <c r="K6" t="s">
        <v>25</v>
      </c>
      <c r="L6">
        <v>19</v>
      </c>
      <c r="M6">
        <v>2</v>
      </c>
      <c r="N6">
        <v>20</v>
      </c>
      <c r="O6" t="s">
        <v>61</v>
      </c>
      <c r="P6" t="s">
        <v>33</v>
      </c>
      <c r="Q6" t="s">
        <v>31</v>
      </c>
      <c r="R6" t="s">
        <v>62</v>
      </c>
      <c r="S6" t="s">
        <v>30</v>
      </c>
      <c r="T6">
        <v>4</v>
      </c>
      <c r="U6" s="5">
        <v>724.19</v>
      </c>
      <c r="V6" s="5">
        <v>837.69</v>
      </c>
      <c r="W6">
        <v>2</v>
      </c>
      <c r="X6" t="s">
        <v>45</v>
      </c>
      <c r="Y6">
        <v>2025</v>
      </c>
      <c r="Z6" t="str">
        <f>TEXT(Table1[[#This Row],[Order Date]],"MMM")</f>
        <v>Jul</v>
      </c>
      <c r="AA6" s="5">
        <f>Table1[[#This Row],[Unit Price]]*Table1[[#This Row],[Quantity]]*(1-Table1[[#This Row],[Discount %]]/100)</f>
        <v>1158.7040000000002</v>
      </c>
      <c r="AB6" s="5">
        <f>Table1[[#This Row],[Sales]]-Table1[[#This Row],[Cost]]</f>
        <v>321.01400000000012</v>
      </c>
    </row>
    <row r="7" spans="1:28" x14ac:dyDescent="0.3">
      <c r="A7" t="s">
        <v>63</v>
      </c>
      <c r="B7" s="1">
        <v>46073</v>
      </c>
      <c r="C7" t="s">
        <v>64</v>
      </c>
      <c r="D7" t="s">
        <v>2789</v>
      </c>
      <c r="E7" s="1">
        <v>46079</v>
      </c>
      <c r="F7" t="s">
        <v>68</v>
      </c>
      <c r="G7" t="s">
        <v>66</v>
      </c>
      <c r="H7" t="s">
        <v>67</v>
      </c>
      <c r="I7" t="s">
        <v>2628</v>
      </c>
      <c r="J7" t="s">
        <v>2641</v>
      </c>
      <c r="K7" t="s">
        <v>25</v>
      </c>
      <c r="L7">
        <v>51</v>
      </c>
      <c r="M7">
        <v>3</v>
      </c>
      <c r="N7">
        <v>30</v>
      </c>
      <c r="O7" t="s">
        <v>65</v>
      </c>
      <c r="P7" t="s">
        <v>33</v>
      </c>
      <c r="Q7" t="s">
        <v>70</v>
      </c>
      <c r="R7" t="s">
        <v>71</v>
      </c>
      <c r="S7" t="s">
        <v>69</v>
      </c>
      <c r="T7">
        <v>4</v>
      </c>
      <c r="U7" s="5">
        <v>910.15</v>
      </c>
      <c r="V7" s="5">
        <v>967.22</v>
      </c>
      <c r="W7">
        <v>6</v>
      </c>
      <c r="X7" t="s">
        <v>34</v>
      </c>
      <c r="Y7">
        <v>2026</v>
      </c>
      <c r="Z7" t="str">
        <f>TEXT(Table1[[#This Row],[Order Date]],"MMM")</f>
        <v>Feb</v>
      </c>
      <c r="AA7" s="5">
        <f>Table1[[#This Row],[Unit Price]]*Table1[[#This Row],[Quantity]]*(1-Table1[[#This Row],[Discount %]]/100)</f>
        <v>1911.3149999999998</v>
      </c>
      <c r="AB7" s="5">
        <f>Table1[[#This Row],[Sales]]-Table1[[#This Row],[Cost]]</f>
        <v>944.0949999999998</v>
      </c>
    </row>
    <row r="8" spans="1:28" x14ac:dyDescent="0.3">
      <c r="A8" t="s">
        <v>72</v>
      </c>
      <c r="B8" s="1">
        <v>45397</v>
      </c>
      <c r="C8" t="s">
        <v>73</v>
      </c>
      <c r="D8" t="s">
        <v>2790</v>
      </c>
      <c r="E8" s="1">
        <v>45403</v>
      </c>
      <c r="F8" t="s">
        <v>2617</v>
      </c>
      <c r="G8" t="s">
        <v>27</v>
      </c>
      <c r="H8" t="s">
        <v>28</v>
      </c>
      <c r="I8" t="s">
        <v>2637</v>
      </c>
      <c r="J8" t="s">
        <v>2688</v>
      </c>
      <c r="K8" t="s">
        <v>25</v>
      </c>
      <c r="L8">
        <v>57</v>
      </c>
      <c r="M8">
        <v>3</v>
      </c>
      <c r="N8">
        <v>10</v>
      </c>
      <c r="O8" t="s">
        <v>74</v>
      </c>
      <c r="P8" t="s">
        <v>75</v>
      </c>
      <c r="Q8" t="s">
        <v>42</v>
      </c>
      <c r="R8" t="s">
        <v>71</v>
      </c>
      <c r="S8" t="s">
        <v>30</v>
      </c>
      <c r="T8">
        <v>5</v>
      </c>
      <c r="U8" s="5">
        <v>142.16999999999999</v>
      </c>
      <c r="V8" s="5">
        <v>197.5</v>
      </c>
      <c r="W8">
        <v>6</v>
      </c>
      <c r="X8" t="s">
        <v>49</v>
      </c>
      <c r="Y8">
        <v>2024</v>
      </c>
      <c r="Z8" t="str">
        <f>TEXT(Table1[[#This Row],[Order Date]],"MMM")</f>
        <v>Apr</v>
      </c>
      <c r="AA8" s="5">
        <f>Table1[[#This Row],[Unit Price]]*Table1[[#This Row],[Quantity]]*(1-Table1[[#This Row],[Discount %]]/100)</f>
        <v>383.85899999999998</v>
      </c>
      <c r="AB8" s="5">
        <f>Table1[[#This Row],[Sales]]-Table1[[#This Row],[Cost]]</f>
        <v>186.35899999999998</v>
      </c>
    </row>
    <row r="9" spans="1:28" x14ac:dyDescent="0.3">
      <c r="A9" t="s">
        <v>76</v>
      </c>
      <c r="B9" s="1">
        <v>45694</v>
      </c>
      <c r="C9" t="s">
        <v>77</v>
      </c>
      <c r="D9" t="s">
        <v>2791</v>
      </c>
      <c r="E9" s="1">
        <v>45698</v>
      </c>
      <c r="F9" t="s">
        <v>56</v>
      </c>
      <c r="G9" t="s">
        <v>54</v>
      </c>
      <c r="H9" t="s">
        <v>55</v>
      </c>
      <c r="I9" t="s">
        <v>2650</v>
      </c>
      <c r="J9" t="s">
        <v>2698</v>
      </c>
      <c r="K9" t="s">
        <v>25</v>
      </c>
      <c r="L9">
        <v>58</v>
      </c>
      <c r="M9">
        <v>4</v>
      </c>
      <c r="N9">
        <v>30</v>
      </c>
      <c r="O9" t="s">
        <v>78</v>
      </c>
      <c r="P9" t="s">
        <v>75</v>
      </c>
      <c r="Q9" t="s">
        <v>42</v>
      </c>
      <c r="R9" t="s">
        <v>71</v>
      </c>
      <c r="S9" t="s">
        <v>57</v>
      </c>
      <c r="T9">
        <v>2</v>
      </c>
      <c r="U9" s="5">
        <v>641.74</v>
      </c>
      <c r="V9" s="5">
        <v>1161.71</v>
      </c>
      <c r="W9">
        <v>4</v>
      </c>
      <c r="X9" t="s">
        <v>34</v>
      </c>
      <c r="Y9">
        <v>2025</v>
      </c>
      <c r="Z9" t="str">
        <f>TEXT(Table1[[#This Row],[Order Date]],"MMM")</f>
        <v>Feb</v>
      </c>
      <c r="AA9" s="5">
        <f>Table1[[#This Row],[Unit Price]]*Table1[[#This Row],[Quantity]]*(1-Table1[[#This Row],[Discount %]]/100)</f>
        <v>1796.8719999999998</v>
      </c>
      <c r="AB9" s="5">
        <f>Table1[[#This Row],[Sales]]-Table1[[#This Row],[Cost]]</f>
        <v>635.16199999999981</v>
      </c>
    </row>
    <row r="10" spans="1:28" x14ac:dyDescent="0.3">
      <c r="A10" t="s">
        <v>79</v>
      </c>
      <c r="B10" s="1">
        <v>45401</v>
      </c>
      <c r="C10" t="s">
        <v>80</v>
      </c>
      <c r="D10" t="s">
        <v>2792</v>
      </c>
      <c r="E10" s="1">
        <v>45408</v>
      </c>
      <c r="F10" t="s">
        <v>56</v>
      </c>
      <c r="G10" t="s">
        <v>54</v>
      </c>
      <c r="H10" t="s">
        <v>55</v>
      </c>
      <c r="I10" t="s">
        <v>2628</v>
      </c>
      <c r="J10" t="s">
        <v>2642</v>
      </c>
      <c r="K10" t="s">
        <v>52</v>
      </c>
      <c r="L10">
        <v>49</v>
      </c>
      <c r="M10">
        <v>1</v>
      </c>
      <c r="N10">
        <v>20</v>
      </c>
      <c r="O10" t="s">
        <v>81</v>
      </c>
      <c r="P10" t="s">
        <v>33</v>
      </c>
      <c r="Q10" t="s">
        <v>70</v>
      </c>
      <c r="R10" t="s">
        <v>62</v>
      </c>
      <c r="S10" t="s">
        <v>57</v>
      </c>
      <c r="T10">
        <v>4</v>
      </c>
      <c r="U10" s="5">
        <v>165.15</v>
      </c>
      <c r="V10" s="5">
        <v>104.84</v>
      </c>
      <c r="W10">
        <v>7</v>
      </c>
      <c r="X10" t="s">
        <v>49</v>
      </c>
      <c r="Y10">
        <v>2024</v>
      </c>
      <c r="Z10" t="str">
        <f>TEXT(Table1[[#This Row],[Order Date]],"MMM")</f>
        <v>Apr</v>
      </c>
      <c r="AA10" s="5">
        <f>Table1[[#This Row],[Unit Price]]*Table1[[#This Row],[Quantity]]*(1-Table1[[#This Row],[Discount %]]/100)</f>
        <v>132.12</v>
      </c>
      <c r="AB10" s="5">
        <f>Table1[[#This Row],[Sales]]-Table1[[#This Row],[Cost]]</f>
        <v>27.28</v>
      </c>
    </row>
    <row r="11" spans="1:28" x14ac:dyDescent="0.3">
      <c r="A11" t="s">
        <v>82</v>
      </c>
      <c r="B11" s="1">
        <v>45724</v>
      </c>
      <c r="C11" t="s">
        <v>83</v>
      </c>
      <c r="D11" t="s">
        <v>2793</v>
      </c>
      <c r="E11" s="1">
        <v>45727</v>
      </c>
      <c r="F11" t="s">
        <v>40</v>
      </c>
      <c r="G11" t="s">
        <v>38</v>
      </c>
      <c r="H11" t="s">
        <v>39</v>
      </c>
      <c r="I11" t="s">
        <v>2621</v>
      </c>
      <c r="J11" t="s">
        <v>2699</v>
      </c>
      <c r="K11" t="s">
        <v>52</v>
      </c>
      <c r="L11">
        <v>43</v>
      </c>
      <c r="M11">
        <v>2</v>
      </c>
      <c r="N11">
        <v>20</v>
      </c>
      <c r="O11" t="s">
        <v>84</v>
      </c>
      <c r="P11" t="s">
        <v>44</v>
      </c>
      <c r="Q11" t="s">
        <v>42</v>
      </c>
      <c r="R11" t="s">
        <v>43</v>
      </c>
      <c r="S11" t="s">
        <v>41</v>
      </c>
      <c r="T11">
        <v>2</v>
      </c>
      <c r="U11" s="5">
        <v>567.08000000000004</v>
      </c>
      <c r="V11" s="5">
        <v>726.07</v>
      </c>
      <c r="W11">
        <v>3</v>
      </c>
      <c r="X11" t="s">
        <v>34</v>
      </c>
      <c r="Y11">
        <v>2025</v>
      </c>
      <c r="Z11" t="str">
        <f>TEXT(Table1[[#This Row],[Order Date]],"MMM")</f>
        <v>Mar</v>
      </c>
      <c r="AA11" s="5">
        <f>Table1[[#This Row],[Unit Price]]*Table1[[#This Row],[Quantity]]*(1-Table1[[#This Row],[Discount %]]/100)</f>
        <v>907.32800000000009</v>
      </c>
      <c r="AB11" s="5">
        <f>Table1[[#This Row],[Sales]]-Table1[[#This Row],[Cost]]</f>
        <v>181.25800000000004</v>
      </c>
    </row>
    <row r="12" spans="1:28" x14ac:dyDescent="0.3">
      <c r="A12" t="s">
        <v>85</v>
      </c>
      <c r="B12" s="1">
        <v>45376</v>
      </c>
      <c r="C12" t="s">
        <v>86</v>
      </c>
      <c r="D12" t="s">
        <v>2794</v>
      </c>
      <c r="E12" s="1">
        <v>45383</v>
      </c>
      <c r="F12" t="s">
        <v>2617</v>
      </c>
      <c r="G12" t="s">
        <v>27</v>
      </c>
      <c r="H12" t="s">
        <v>28</v>
      </c>
      <c r="I12" t="s">
        <v>2618</v>
      </c>
      <c r="J12" t="s">
        <v>2700</v>
      </c>
      <c r="K12" t="s">
        <v>52</v>
      </c>
      <c r="L12">
        <v>18</v>
      </c>
      <c r="M12">
        <v>3</v>
      </c>
      <c r="N12">
        <v>15</v>
      </c>
      <c r="O12" t="s">
        <v>87</v>
      </c>
      <c r="P12" t="s">
        <v>33</v>
      </c>
      <c r="Q12" t="s">
        <v>58</v>
      </c>
      <c r="R12" t="s">
        <v>71</v>
      </c>
      <c r="S12" t="s">
        <v>30</v>
      </c>
      <c r="T12">
        <v>4</v>
      </c>
      <c r="U12" s="5">
        <v>774.08</v>
      </c>
      <c r="V12" s="5">
        <v>1359.3</v>
      </c>
      <c r="W12">
        <v>7</v>
      </c>
      <c r="X12" t="s">
        <v>34</v>
      </c>
      <c r="Y12">
        <v>2024</v>
      </c>
      <c r="Z12" t="str">
        <f>TEXT(Table1[[#This Row],[Order Date]],"MMM")</f>
        <v>Mar</v>
      </c>
      <c r="AA12" s="5">
        <f>Table1[[#This Row],[Unit Price]]*Table1[[#This Row],[Quantity]]*(1-Table1[[#This Row],[Discount %]]/100)</f>
        <v>1973.9040000000002</v>
      </c>
      <c r="AB12" s="5">
        <f>Table1[[#This Row],[Sales]]-Table1[[#This Row],[Cost]]</f>
        <v>614.60400000000027</v>
      </c>
    </row>
    <row r="13" spans="1:28" x14ac:dyDescent="0.3">
      <c r="A13" t="s">
        <v>88</v>
      </c>
      <c r="B13" s="1">
        <v>45854</v>
      </c>
      <c r="C13" t="s">
        <v>89</v>
      </c>
      <c r="D13" t="s">
        <v>2795</v>
      </c>
      <c r="E13" s="1">
        <v>45855</v>
      </c>
      <c r="F13" t="s">
        <v>68</v>
      </c>
      <c r="G13" t="s">
        <v>66</v>
      </c>
      <c r="H13" t="s">
        <v>67</v>
      </c>
      <c r="I13" t="s">
        <v>2625</v>
      </c>
      <c r="J13" t="s">
        <v>2626</v>
      </c>
      <c r="K13" t="s">
        <v>52</v>
      </c>
      <c r="L13">
        <v>29</v>
      </c>
      <c r="M13">
        <v>4</v>
      </c>
      <c r="N13">
        <v>25</v>
      </c>
      <c r="O13" t="s">
        <v>90</v>
      </c>
      <c r="P13" t="s">
        <v>33</v>
      </c>
      <c r="Q13" t="s">
        <v>31</v>
      </c>
      <c r="R13" t="s">
        <v>32</v>
      </c>
      <c r="S13" t="s">
        <v>69</v>
      </c>
      <c r="T13">
        <v>3</v>
      </c>
      <c r="U13" s="5">
        <v>551.89</v>
      </c>
      <c r="V13" s="5">
        <v>939.41</v>
      </c>
      <c r="W13">
        <v>1</v>
      </c>
      <c r="X13" t="s">
        <v>45</v>
      </c>
      <c r="Y13">
        <v>2025</v>
      </c>
      <c r="Z13" t="str">
        <f>TEXT(Table1[[#This Row],[Order Date]],"MMM")</f>
        <v>Jul</v>
      </c>
      <c r="AA13" s="5">
        <f>Table1[[#This Row],[Unit Price]]*Table1[[#This Row],[Quantity]]*(1-Table1[[#This Row],[Discount %]]/100)</f>
        <v>1655.67</v>
      </c>
      <c r="AB13" s="5">
        <f>Table1[[#This Row],[Sales]]-Table1[[#This Row],[Cost]]</f>
        <v>716.2600000000001</v>
      </c>
    </row>
    <row r="14" spans="1:28" x14ac:dyDescent="0.3">
      <c r="A14" t="s">
        <v>91</v>
      </c>
      <c r="B14" s="1">
        <v>45639</v>
      </c>
      <c r="C14" t="s">
        <v>92</v>
      </c>
      <c r="D14" t="s">
        <v>2796</v>
      </c>
      <c r="E14" s="1">
        <v>45644</v>
      </c>
      <c r="F14" t="s">
        <v>40</v>
      </c>
      <c r="G14" t="s">
        <v>38</v>
      </c>
      <c r="H14" t="s">
        <v>39</v>
      </c>
      <c r="I14" t="s">
        <v>2633</v>
      </c>
      <c r="J14" t="s">
        <v>2645</v>
      </c>
      <c r="K14" t="s">
        <v>52</v>
      </c>
      <c r="L14">
        <v>62</v>
      </c>
      <c r="M14">
        <v>5</v>
      </c>
      <c r="N14">
        <v>25</v>
      </c>
      <c r="O14" t="s">
        <v>93</v>
      </c>
      <c r="P14" t="s">
        <v>75</v>
      </c>
      <c r="Q14" t="s">
        <v>70</v>
      </c>
      <c r="R14" t="s">
        <v>62</v>
      </c>
      <c r="S14" t="s">
        <v>41</v>
      </c>
      <c r="T14">
        <v>4</v>
      </c>
      <c r="U14" s="5">
        <v>346.75</v>
      </c>
      <c r="V14" s="5">
        <v>1102.6400000000001</v>
      </c>
      <c r="W14">
        <v>5</v>
      </c>
      <c r="X14" t="s">
        <v>94</v>
      </c>
      <c r="Y14">
        <v>2024</v>
      </c>
      <c r="Z14" t="str">
        <f>TEXT(Table1[[#This Row],[Order Date]],"MMM")</f>
        <v>Dec</v>
      </c>
      <c r="AA14" s="5">
        <f>Table1[[#This Row],[Unit Price]]*Table1[[#This Row],[Quantity]]*(1-Table1[[#This Row],[Discount %]]/100)</f>
        <v>1300.3125</v>
      </c>
      <c r="AB14" s="5">
        <f>Table1[[#This Row],[Sales]]-Table1[[#This Row],[Cost]]</f>
        <v>197.6724999999999</v>
      </c>
    </row>
    <row r="15" spans="1:28" x14ac:dyDescent="0.3">
      <c r="A15" t="s">
        <v>95</v>
      </c>
      <c r="B15" s="1">
        <v>45955</v>
      </c>
      <c r="C15" t="s">
        <v>96</v>
      </c>
      <c r="D15" t="s">
        <v>2797</v>
      </c>
      <c r="E15" s="1">
        <v>45956</v>
      </c>
      <c r="F15" t="s">
        <v>100</v>
      </c>
      <c r="G15" t="s">
        <v>98</v>
      </c>
      <c r="H15" t="s">
        <v>99</v>
      </c>
      <c r="I15" t="s">
        <v>2619</v>
      </c>
      <c r="J15" t="s">
        <v>2687</v>
      </c>
      <c r="K15" t="s">
        <v>25</v>
      </c>
      <c r="L15">
        <v>38</v>
      </c>
      <c r="M15">
        <v>3</v>
      </c>
      <c r="N15">
        <v>10</v>
      </c>
      <c r="O15" t="s">
        <v>97</v>
      </c>
      <c r="P15" t="s">
        <v>44</v>
      </c>
      <c r="Q15" t="s">
        <v>31</v>
      </c>
      <c r="R15" t="s">
        <v>32</v>
      </c>
      <c r="S15" t="s">
        <v>101</v>
      </c>
      <c r="T15">
        <v>1</v>
      </c>
      <c r="U15" s="5">
        <v>790.15</v>
      </c>
      <c r="V15" s="5">
        <v>1446.64</v>
      </c>
      <c r="W15">
        <v>1</v>
      </c>
      <c r="X15" t="s">
        <v>94</v>
      </c>
      <c r="Y15">
        <v>2025</v>
      </c>
      <c r="Z15" t="str">
        <f>TEXT(Table1[[#This Row],[Order Date]],"MMM")</f>
        <v>Oct</v>
      </c>
      <c r="AA15" s="5">
        <f>Table1[[#This Row],[Unit Price]]*Table1[[#This Row],[Quantity]]*(1-Table1[[#This Row],[Discount %]]/100)</f>
        <v>2133.4049999999997</v>
      </c>
      <c r="AB15" s="5">
        <f>Table1[[#This Row],[Sales]]-Table1[[#This Row],[Cost]]</f>
        <v>686.76499999999965</v>
      </c>
    </row>
    <row r="16" spans="1:28" x14ac:dyDescent="0.3">
      <c r="A16" t="s">
        <v>102</v>
      </c>
      <c r="B16" s="1">
        <v>45657</v>
      </c>
      <c r="C16" t="s">
        <v>103</v>
      </c>
      <c r="D16" t="s">
        <v>2798</v>
      </c>
      <c r="E16" s="1">
        <v>45663</v>
      </c>
      <c r="F16" t="s">
        <v>2617</v>
      </c>
      <c r="G16" t="s">
        <v>27</v>
      </c>
      <c r="H16" t="s">
        <v>28</v>
      </c>
      <c r="I16" t="s">
        <v>2621</v>
      </c>
      <c r="J16" t="s">
        <v>2647</v>
      </c>
      <c r="K16" t="s">
        <v>52</v>
      </c>
      <c r="L16">
        <v>26</v>
      </c>
      <c r="M16">
        <v>3</v>
      </c>
      <c r="N16">
        <v>15</v>
      </c>
      <c r="O16" t="s">
        <v>104</v>
      </c>
      <c r="P16" t="s">
        <v>75</v>
      </c>
      <c r="Q16" t="s">
        <v>58</v>
      </c>
      <c r="R16" t="s">
        <v>43</v>
      </c>
      <c r="S16" t="s">
        <v>30</v>
      </c>
      <c r="T16">
        <v>1</v>
      </c>
      <c r="U16" s="5">
        <v>358.48</v>
      </c>
      <c r="V16" s="5">
        <v>612.88</v>
      </c>
      <c r="W16">
        <v>6</v>
      </c>
      <c r="X16" t="s">
        <v>94</v>
      </c>
      <c r="Y16">
        <v>2024</v>
      </c>
      <c r="Z16" t="str">
        <f>TEXT(Table1[[#This Row],[Order Date]],"MMM")</f>
        <v>Dec</v>
      </c>
      <c r="AA16" s="5">
        <f>Table1[[#This Row],[Unit Price]]*Table1[[#This Row],[Quantity]]*(1-Table1[[#This Row],[Discount %]]/100)</f>
        <v>914.12400000000002</v>
      </c>
      <c r="AB16" s="5">
        <f>Table1[[#This Row],[Sales]]-Table1[[#This Row],[Cost]]</f>
        <v>301.24400000000003</v>
      </c>
    </row>
    <row r="17" spans="1:28" x14ac:dyDescent="0.3">
      <c r="A17" t="s">
        <v>105</v>
      </c>
      <c r="B17" s="1">
        <v>45590</v>
      </c>
      <c r="C17" t="s">
        <v>106</v>
      </c>
      <c r="D17" t="s">
        <v>2799</v>
      </c>
      <c r="E17" s="1">
        <v>45596</v>
      </c>
      <c r="F17" t="s">
        <v>56</v>
      </c>
      <c r="G17" t="s">
        <v>54</v>
      </c>
      <c r="H17" t="s">
        <v>55</v>
      </c>
      <c r="I17" t="s">
        <v>2618</v>
      </c>
      <c r="J17" t="s">
        <v>2701</v>
      </c>
      <c r="K17" t="s">
        <v>52</v>
      </c>
      <c r="L17">
        <v>27</v>
      </c>
      <c r="M17">
        <v>2</v>
      </c>
      <c r="N17">
        <v>5</v>
      </c>
      <c r="O17" t="s">
        <v>107</v>
      </c>
      <c r="P17" t="s">
        <v>33</v>
      </c>
      <c r="Q17" t="s">
        <v>42</v>
      </c>
      <c r="R17" t="s">
        <v>71</v>
      </c>
      <c r="S17" t="s">
        <v>57</v>
      </c>
      <c r="T17">
        <v>1</v>
      </c>
      <c r="U17" s="5">
        <v>377.36</v>
      </c>
      <c r="V17" s="5">
        <v>456.96</v>
      </c>
      <c r="W17">
        <v>6</v>
      </c>
      <c r="X17" t="s">
        <v>94</v>
      </c>
      <c r="Y17">
        <v>2024</v>
      </c>
      <c r="Z17" t="str">
        <f>TEXT(Table1[[#This Row],[Order Date]],"MMM")</f>
        <v>Oct</v>
      </c>
      <c r="AA17" s="5">
        <f>Table1[[#This Row],[Unit Price]]*Table1[[#This Row],[Quantity]]*(1-Table1[[#This Row],[Discount %]]/100)</f>
        <v>716.98400000000004</v>
      </c>
      <c r="AB17" s="5">
        <f>Table1[[#This Row],[Sales]]-Table1[[#This Row],[Cost]]</f>
        <v>260.02400000000006</v>
      </c>
    </row>
    <row r="18" spans="1:28" x14ac:dyDescent="0.3">
      <c r="A18" t="s">
        <v>108</v>
      </c>
      <c r="B18" s="1">
        <v>46153</v>
      </c>
      <c r="C18" t="s">
        <v>109</v>
      </c>
      <c r="D18" t="s">
        <v>2800</v>
      </c>
      <c r="E18" s="1">
        <v>46155</v>
      </c>
      <c r="F18" t="s">
        <v>40</v>
      </c>
      <c r="G18" t="s">
        <v>38</v>
      </c>
      <c r="H18" t="s">
        <v>39</v>
      </c>
      <c r="I18" t="s">
        <v>2618</v>
      </c>
      <c r="J18" t="s">
        <v>2700</v>
      </c>
      <c r="K18" t="s">
        <v>52</v>
      </c>
      <c r="L18">
        <v>39</v>
      </c>
      <c r="M18">
        <v>2</v>
      </c>
      <c r="N18">
        <v>0</v>
      </c>
      <c r="O18" t="s">
        <v>110</v>
      </c>
      <c r="P18" t="s">
        <v>75</v>
      </c>
      <c r="Q18" t="s">
        <v>42</v>
      </c>
      <c r="R18" t="s">
        <v>43</v>
      </c>
      <c r="S18" t="s">
        <v>41</v>
      </c>
      <c r="T18">
        <v>3</v>
      </c>
      <c r="U18" s="5">
        <v>764.21</v>
      </c>
      <c r="V18" s="5">
        <v>861.38</v>
      </c>
      <c r="W18">
        <v>2</v>
      </c>
      <c r="X18" t="s">
        <v>49</v>
      </c>
      <c r="Y18">
        <v>2026</v>
      </c>
      <c r="Z18" t="str">
        <f>TEXT(Table1[[#This Row],[Order Date]],"MMM")</f>
        <v>May</v>
      </c>
      <c r="AA18" s="5">
        <f>Table1[[#This Row],[Unit Price]]*Table1[[#This Row],[Quantity]]*(1-Table1[[#This Row],[Discount %]]/100)</f>
        <v>1528.42</v>
      </c>
      <c r="AB18" s="5">
        <f>Table1[[#This Row],[Sales]]-Table1[[#This Row],[Cost]]</f>
        <v>667.04000000000008</v>
      </c>
    </row>
    <row r="19" spans="1:28" x14ac:dyDescent="0.3">
      <c r="A19" t="s">
        <v>111</v>
      </c>
      <c r="B19" s="1">
        <v>45990</v>
      </c>
      <c r="C19" t="s">
        <v>112</v>
      </c>
      <c r="D19" t="s">
        <v>2801</v>
      </c>
      <c r="E19" s="1">
        <v>45991</v>
      </c>
      <c r="F19" t="s">
        <v>115</v>
      </c>
      <c r="G19" t="s">
        <v>66</v>
      </c>
      <c r="H19" t="s">
        <v>114</v>
      </c>
      <c r="I19" t="s">
        <v>2643</v>
      </c>
      <c r="J19" t="s">
        <v>2654</v>
      </c>
      <c r="K19" t="s">
        <v>52</v>
      </c>
      <c r="L19">
        <v>55</v>
      </c>
      <c r="M19">
        <v>3</v>
      </c>
      <c r="N19">
        <v>15</v>
      </c>
      <c r="O19" t="s">
        <v>113</v>
      </c>
      <c r="P19" t="s">
        <v>33</v>
      </c>
      <c r="Q19" t="s">
        <v>117</v>
      </c>
      <c r="R19" t="s">
        <v>32</v>
      </c>
      <c r="S19" t="s">
        <v>116</v>
      </c>
      <c r="T19">
        <v>1</v>
      </c>
      <c r="U19" s="5">
        <v>381.26</v>
      </c>
      <c r="V19" s="5">
        <v>652.4</v>
      </c>
      <c r="W19">
        <v>1</v>
      </c>
      <c r="X19" t="s">
        <v>94</v>
      </c>
      <c r="Y19">
        <v>2025</v>
      </c>
      <c r="Z19" t="str">
        <f>TEXT(Table1[[#This Row],[Order Date]],"MMM")</f>
        <v>Nov</v>
      </c>
      <c r="AA19" s="5">
        <f>Table1[[#This Row],[Unit Price]]*Table1[[#This Row],[Quantity]]*(1-Table1[[#This Row],[Discount %]]/100)</f>
        <v>972.21299999999997</v>
      </c>
      <c r="AB19" s="5">
        <f>Table1[[#This Row],[Sales]]-Table1[[#This Row],[Cost]]</f>
        <v>319.81299999999999</v>
      </c>
    </row>
    <row r="20" spans="1:28" x14ac:dyDescent="0.3">
      <c r="A20" t="s">
        <v>118</v>
      </c>
      <c r="B20" s="1">
        <v>45841</v>
      </c>
      <c r="C20" t="s">
        <v>119</v>
      </c>
      <c r="D20" t="s">
        <v>2802</v>
      </c>
      <c r="E20" s="1">
        <v>45843</v>
      </c>
      <c r="F20" t="s">
        <v>122</v>
      </c>
      <c r="G20" t="s">
        <v>120</v>
      </c>
      <c r="H20" t="s">
        <v>121</v>
      </c>
      <c r="I20" t="s">
        <v>2657</v>
      </c>
      <c r="J20" t="s">
        <v>2658</v>
      </c>
      <c r="K20" t="s">
        <v>52</v>
      </c>
      <c r="L20">
        <v>64</v>
      </c>
      <c r="M20">
        <v>4</v>
      </c>
      <c r="N20">
        <v>10</v>
      </c>
      <c r="O20" t="s">
        <v>48</v>
      </c>
      <c r="P20" t="s">
        <v>75</v>
      </c>
      <c r="Q20" t="s">
        <v>58</v>
      </c>
      <c r="R20" t="s">
        <v>32</v>
      </c>
      <c r="S20" t="s">
        <v>123</v>
      </c>
      <c r="T20">
        <v>2</v>
      </c>
      <c r="U20" s="5">
        <v>491.42</v>
      </c>
      <c r="V20" s="5">
        <v>1374.6</v>
      </c>
      <c r="W20">
        <v>2</v>
      </c>
      <c r="X20" t="s">
        <v>45</v>
      </c>
      <c r="Y20">
        <v>2025</v>
      </c>
      <c r="Z20" t="str">
        <f>TEXT(Table1[[#This Row],[Order Date]],"MMM")</f>
        <v>Jul</v>
      </c>
      <c r="AA20" s="5">
        <f>Table1[[#This Row],[Unit Price]]*Table1[[#This Row],[Quantity]]*(1-Table1[[#This Row],[Discount %]]/100)</f>
        <v>1769.1120000000001</v>
      </c>
      <c r="AB20" s="5">
        <f>Table1[[#This Row],[Sales]]-Table1[[#This Row],[Cost]]</f>
        <v>394.51200000000017</v>
      </c>
    </row>
    <row r="21" spans="1:28" x14ac:dyDescent="0.3">
      <c r="A21" t="s">
        <v>124</v>
      </c>
      <c r="B21" s="1">
        <v>45644</v>
      </c>
      <c r="C21" t="s">
        <v>125</v>
      </c>
      <c r="D21" t="s">
        <v>2803</v>
      </c>
      <c r="E21" s="1">
        <v>45647</v>
      </c>
      <c r="F21" t="s">
        <v>128</v>
      </c>
      <c r="G21" t="s">
        <v>98</v>
      </c>
      <c r="H21" t="s">
        <v>127</v>
      </c>
      <c r="I21" t="s">
        <v>2630</v>
      </c>
      <c r="J21" t="s">
        <v>2640</v>
      </c>
      <c r="K21" t="s">
        <v>52</v>
      </c>
      <c r="L21">
        <v>56</v>
      </c>
      <c r="M21">
        <v>5</v>
      </c>
      <c r="N21">
        <v>5</v>
      </c>
      <c r="O21" t="s">
        <v>126</v>
      </c>
      <c r="P21" t="s">
        <v>75</v>
      </c>
      <c r="Q21" t="s">
        <v>70</v>
      </c>
      <c r="R21" t="s">
        <v>71</v>
      </c>
      <c r="S21" t="s">
        <v>129</v>
      </c>
      <c r="T21">
        <v>3</v>
      </c>
      <c r="U21" s="5">
        <v>799.49</v>
      </c>
      <c r="V21" s="5">
        <v>2670.77</v>
      </c>
      <c r="W21">
        <v>3</v>
      </c>
      <c r="X21" t="s">
        <v>94</v>
      </c>
      <c r="Y21">
        <v>2024</v>
      </c>
      <c r="Z21" t="str">
        <f>TEXT(Table1[[#This Row],[Order Date]],"MMM")</f>
        <v>Dec</v>
      </c>
      <c r="AA21" s="5">
        <f>Table1[[#This Row],[Unit Price]]*Table1[[#This Row],[Quantity]]*(1-Table1[[#This Row],[Discount %]]/100)</f>
        <v>3797.5774999999999</v>
      </c>
      <c r="AB21" s="5">
        <f>Table1[[#This Row],[Sales]]-Table1[[#This Row],[Cost]]</f>
        <v>1126.8074999999999</v>
      </c>
    </row>
    <row r="22" spans="1:28" x14ac:dyDescent="0.3">
      <c r="A22" t="s">
        <v>130</v>
      </c>
      <c r="B22" s="1">
        <v>45909</v>
      </c>
      <c r="C22" t="s">
        <v>131</v>
      </c>
      <c r="D22" t="s">
        <v>2804</v>
      </c>
      <c r="E22" s="1">
        <v>45915</v>
      </c>
      <c r="F22" t="s">
        <v>100</v>
      </c>
      <c r="G22" t="s">
        <v>98</v>
      </c>
      <c r="H22" t="s">
        <v>99</v>
      </c>
      <c r="I22" t="s">
        <v>2648</v>
      </c>
      <c r="J22" t="s">
        <v>2649</v>
      </c>
      <c r="K22" t="s">
        <v>25</v>
      </c>
      <c r="L22">
        <v>52</v>
      </c>
      <c r="M22">
        <v>3</v>
      </c>
      <c r="N22">
        <v>5</v>
      </c>
      <c r="O22" t="s">
        <v>132</v>
      </c>
      <c r="P22" t="s">
        <v>75</v>
      </c>
      <c r="Q22" t="s">
        <v>31</v>
      </c>
      <c r="R22" t="s">
        <v>71</v>
      </c>
      <c r="S22" t="s">
        <v>101</v>
      </c>
      <c r="T22">
        <v>2</v>
      </c>
      <c r="U22" s="5">
        <v>812.35</v>
      </c>
      <c r="V22" s="5">
        <v>1879.78</v>
      </c>
      <c r="W22">
        <v>6</v>
      </c>
      <c r="X22" t="s">
        <v>45</v>
      </c>
      <c r="Y22">
        <v>2025</v>
      </c>
      <c r="Z22" t="str">
        <f>TEXT(Table1[[#This Row],[Order Date]],"MMM")</f>
        <v>Sep</v>
      </c>
      <c r="AA22" s="5">
        <f>Table1[[#This Row],[Unit Price]]*Table1[[#This Row],[Quantity]]*(1-Table1[[#This Row],[Discount %]]/100)</f>
        <v>2315.1975000000002</v>
      </c>
      <c r="AB22" s="5">
        <f>Table1[[#This Row],[Sales]]-Table1[[#This Row],[Cost]]</f>
        <v>435.41750000000025</v>
      </c>
    </row>
    <row r="23" spans="1:28" x14ac:dyDescent="0.3">
      <c r="A23" t="s">
        <v>133</v>
      </c>
      <c r="B23" s="1">
        <v>46089</v>
      </c>
      <c r="C23" t="s">
        <v>134</v>
      </c>
      <c r="D23" t="s">
        <v>2805</v>
      </c>
      <c r="E23" s="1">
        <v>46094</v>
      </c>
      <c r="F23" t="s">
        <v>56</v>
      </c>
      <c r="G23" t="s">
        <v>54</v>
      </c>
      <c r="H23" t="s">
        <v>55</v>
      </c>
      <c r="I23" t="s">
        <v>2618</v>
      </c>
      <c r="J23" t="s">
        <v>2618</v>
      </c>
      <c r="K23" t="s">
        <v>25</v>
      </c>
      <c r="L23">
        <v>27</v>
      </c>
      <c r="M23">
        <v>3</v>
      </c>
      <c r="N23">
        <v>15</v>
      </c>
      <c r="O23" t="s">
        <v>135</v>
      </c>
      <c r="P23" t="s">
        <v>44</v>
      </c>
      <c r="Q23" t="s">
        <v>58</v>
      </c>
      <c r="R23" t="s">
        <v>62</v>
      </c>
      <c r="S23" t="s">
        <v>57</v>
      </c>
      <c r="T23">
        <v>3</v>
      </c>
      <c r="U23" s="5">
        <v>186.96</v>
      </c>
      <c r="V23" s="5">
        <v>367.8</v>
      </c>
      <c r="W23">
        <v>5</v>
      </c>
      <c r="X23" t="s">
        <v>34</v>
      </c>
      <c r="Y23">
        <v>2026</v>
      </c>
      <c r="Z23" t="str">
        <f>TEXT(Table1[[#This Row],[Order Date]],"MMM")</f>
        <v>Mar</v>
      </c>
      <c r="AA23" s="5">
        <f>Table1[[#This Row],[Unit Price]]*Table1[[#This Row],[Quantity]]*(1-Table1[[#This Row],[Discount %]]/100)</f>
        <v>476.74799999999999</v>
      </c>
      <c r="AB23" s="5">
        <f>Table1[[#This Row],[Sales]]-Table1[[#This Row],[Cost]]</f>
        <v>108.94799999999998</v>
      </c>
    </row>
    <row r="24" spans="1:28" x14ac:dyDescent="0.3">
      <c r="A24" t="s">
        <v>136</v>
      </c>
      <c r="B24" s="1">
        <v>45711</v>
      </c>
      <c r="C24" t="s">
        <v>137</v>
      </c>
      <c r="D24" t="s">
        <v>2806</v>
      </c>
      <c r="E24" s="1">
        <v>45716</v>
      </c>
      <c r="F24" t="s">
        <v>140</v>
      </c>
      <c r="G24" t="s">
        <v>38</v>
      </c>
      <c r="H24" t="s">
        <v>139</v>
      </c>
      <c r="I24" t="s">
        <v>2637</v>
      </c>
      <c r="J24" t="s">
        <v>2638</v>
      </c>
      <c r="K24" t="s">
        <v>25</v>
      </c>
      <c r="L24">
        <v>36</v>
      </c>
      <c r="M24">
        <v>2</v>
      </c>
      <c r="N24">
        <v>10</v>
      </c>
      <c r="O24" t="s">
        <v>138</v>
      </c>
      <c r="P24" t="s">
        <v>33</v>
      </c>
      <c r="Q24" t="s">
        <v>58</v>
      </c>
      <c r="R24" t="s">
        <v>32</v>
      </c>
      <c r="S24" t="s">
        <v>141</v>
      </c>
      <c r="T24">
        <v>2</v>
      </c>
      <c r="U24" s="5">
        <v>520.71</v>
      </c>
      <c r="V24" s="5">
        <v>649.54999999999995</v>
      </c>
      <c r="W24">
        <v>5</v>
      </c>
      <c r="X24" t="s">
        <v>34</v>
      </c>
      <c r="Y24">
        <v>2025</v>
      </c>
      <c r="Z24" t="str">
        <f>TEXT(Table1[[#This Row],[Order Date]],"MMM")</f>
        <v>Feb</v>
      </c>
      <c r="AA24" s="5">
        <f>Table1[[#This Row],[Unit Price]]*Table1[[#This Row],[Quantity]]*(1-Table1[[#This Row],[Discount %]]/100)</f>
        <v>937.27800000000013</v>
      </c>
      <c r="AB24" s="5">
        <f>Table1[[#This Row],[Sales]]-Table1[[#This Row],[Cost]]</f>
        <v>287.72800000000018</v>
      </c>
    </row>
    <row r="25" spans="1:28" x14ac:dyDescent="0.3">
      <c r="A25" t="s">
        <v>142</v>
      </c>
      <c r="B25" s="1">
        <v>45679</v>
      </c>
      <c r="C25" t="s">
        <v>143</v>
      </c>
      <c r="D25" t="s">
        <v>2807</v>
      </c>
      <c r="E25" s="1">
        <v>45684</v>
      </c>
      <c r="F25" t="s">
        <v>100</v>
      </c>
      <c r="G25" t="s">
        <v>98</v>
      </c>
      <c r="H25" t="s">
        <v>99</v>
      </c>
      <c r="I25" t="s">
        <v>2619</v>
      </c>
      <c r="J25" t="s">
        <v>2692</v>
      </c>
      <c r="K25" t="s">
        <v>25</v>
      </c>
      <c r="L25">
        <v>60</v>
      </c>
      <c r="M25">
        <v>3</v>
      </c>
      <c r="N25">
        <v>15</v>
      </c>
      <c r="O25" t="s">
        <v>144</v>
      </c>
      <c r="P25" t="s">
        <v>44</v>
      </c>
      <c r="Q25" t="s">
        <v>42</v>
      </c>
      <c r="R25" t="s">
        <v>32</v>
      </c>
      <c r="S25" t="s">
        <v>101</v>
      </c>
      <c r="T25">
        <v>5</v>
      </c>
      <c r="U25" s="5">
        <v>332.83</v>
      </c>
      <c r="V25" s="5">
        <v>461.86</v>
      </c>
      <c r="W25">
        <v>5</v>
      </c>
      <c r="X25" t="s">
        <v>34</v>
      </c>
      <c r="Y25">
        <v>2025</v>
      </c>
      <c r="Z25" t="str">
        <f>TEXT(Table1[[#This Row],[Order Date]],"MMM")</f>
        <v>Jan</v>
      </c>
      <c r="AA25" s="5">
        <f>Table1[[#This Row],[Unit Price]]*Table1[[#This Row],[Quantity]]*(1-Table1[[#This Row],[Discount %]]/100)</f>
        <v>848.7165</v>
      </c>
      <c r="AB25" s="5">
        <f>Table1[[#This Row],[Sales]]-Table1[[#This Row],[Cost]]</f>
        <v>386.85649999999998</v>
      </c>
    </row>
    <row r="26" spans="1:28" x14ac:dyDescent="0.3">
      <c r="A26" t="s">
        <v>145</v>
      </c>
      <c r="B26" s="1">
        <v>45990</v>
      </c>
      <c r="C26" t="s">
        <v>146</v>
      </c>
      <c r="D26" t="s">
        <v>2808</v>
      </c>
      <c r="E26" s="1">
        <v>45995</v>
      </c>
      <c r="F26" t="s">
        <v>2617</v>
      </c>
      <c r="G26" t="s">
        <v>27</v>
      </c>
      <c r="H26" t="s">
        <v>28</v>
      </c>
      <c r="I26" t="s">
        <v>2618</v>
      </c>
      <c r="J26" t="s">
        <v>2682</v>
      </c>
      <c r="K26" t="s">
        <v>25</v>
      </c>
      <c r="L26">
        <v>57</v>
      </c>
      <c r="M26">
        <v>5</v>
      </c>
      <c r="N26">
        <v>5</v>
      </c>
      <c r="O26" t="s">
        <v>147</v>
      </c>
      <c r="P26" t="s">
        <v>44</v>
      </c>
      <c r="Q26" t="s">
        <v>70</v>
      </c>
      <c r="R26" t="s">
        <v>43</v>
      </c>
      <c r="S26" t="s">
        <v>30</v>
      </c>
      <c r="T26">
        <v>4</v>
      </c>
      <c r="U26" s="5">
        <v>247.29</v>
      </c>
      <c r="V26" s="5">
        <v>751.1</v>
      </c>
      <c r="W26">
        <v>5</v>
      </c>
      <c r="X26" t="s">
        <v>94</v>
      </c>
      <c r="Y26">
        <v>2025</v>
      </c>
      <c r="Z26" t="str">
        <f>TEXT(Table1[[#This Row],[Order Date]],"MMM")</f>
        <v>Nov</v>
      </c>
      <c r="AA26" s="5">
        <f>Table1[[#This Row],[Unit Price]]*Table1[[#This Row],[Quantity]]*(1-Table1[[#This Row],[Discount %]]/100)</f>
        <v>1174.6275000000001</v>
      </c>
      <c r="AB26" s="5">
        <f>Table1[[#This Row],[Sales]]-Table1[[#This Row],[Cost]]</f>
        <v>423.52750000000003</v>
      </c>
    </row>
    <row r="27" spans="1:28" x14ac:dyDescent="0.3">
      <c r="A27" t="s">
        <v>148</v>
      </c>
      <c r="B27" s="1">
        <v>45624</v>
      </c>
      <c r="C27" t="s">
        <v>149</v>
      </c>
      <c r="D27" t="s">
        <v>2809</v>
      </c>
      <c r="E27" s="1">
        <v>45626</v>
      </c>
      <c r="F27" t="s">
        <v>122</v>
      </c>
      <c r="G27" t="s">
        <v>120</v>
      </c>
      <c r="H27" t="s">
        <v>121</v>
      </c>
      <c r="I27" t="s">
        <v>2621</v>
      </c>
      <c r="J27" t="s">
        <v>2699</v>
      </c>
      <c r="K27" t="s">
        <v>25</v>
      </c>
      <c r="L27">
        <v>22</v>
      </c>
      <c r="M27">
        <v>5</v>
      </c>
      <c r="N27">
        <v>5</v>
      </c>
      <c r="O27" t="s">
        <v>150</v>
      </c>
      <c r="P27" t="s">
        <v>75</v>
      </c>
      <c r="Q27" t="s">
        <v>42</v>
      </c>
      <c r="R27" t="s">
        <v>43</v>
      </c>
      <c r="S27" t="s">
        <v>123</v>
      </c>
      <c r="T27">
        <v>2</v>
      </c>
      <c r="U27" s="5">
        <v>930.57</v>
      </c>
      <c r="V27" s="5">
        <v>3376.63</v>
      </c>
      <c r="W27">
        <v>2</v>
      </c>
      <c r="X27" t="s">
        <v>94</v>
      </c>
      <c r="Y27">
        <v>2024</v>
      </c>
      <c r="Z27" t="str">
        <f>TEXT(Table1[[#This Row],[Order Date]],"MMM")</f>
        <v>Nov</v>
      </c>
      <c r="AA27" s="5">
        <f>Table1[[#This Row],[Unit Price]]*Table1[[#This Row],[Quantity]]*(1-Table1[[#This Row],[Discount %]]/100)</f>
        <v>4420.2075000000004</v>
      </c>
      <c r="AB27" s="5">
        <f>Table1[[#This Row],[Sales]]-Table1[[#This Row],[Cost]]</f>
        <v>1043.5775000000003</v>
      </c>
    </row>
    <row r="28" spans="1:28" x14ac:dyDescent="0.3">
      <c r="A28" t="s">
        <v>151</v>
      </c>
      <c r="B28" s="1">
        <v>46160</v>
      </c>
      <c r="C28" t="s">
        <v>152</v>
      </c>
      <c r="D28" t="s">
        <v>2810</v>
      </c>
      <c r="E28" s="1">
        <v>46164</v>
      </c>
      <c r="F28" t="s">
        <v>2617</v>
      </c>
      <c r="G28" t="s">
        <v>27</v>
      </c>
      <c r="H28" t="s">
        <v>28</v>
      </c>
      <c r="I28" t="s">
        <v>2648</v>
      </c>
      <c r="J28" t="s">
        <v>2684</v>
      </c>
      <c r="K28" t="s">
        <v>52</v>
      </c>
      <c r="L28">
        <v>29</v>
      </c>
      <c r="M28">
        <v>3</v>
      </c>
      <c r="N28">
        <v>5</v>
      </c>
      <c r="O28" t="s">
        <v>153</v>
      </c>
      <c r="P28" t="s">
        <v>75</v>
      </c>
      <c r="Q28" t="s">
        <v>42</v>
      </c>
      <c r="R28" t="s">
        <v>71</v>
      </c>
      <c r="S28" t="s">
        <v>30</v>
      </c>
      <c r="T28">
        <v>4</v>
      </c>
      <c r="U28" s="5">
        <v>497.17</v>
      </c>
      <c r="V28" s="5">
        <v>1135.4000000000001</v>
      </c>
      <c r="W28">
        <v>4</v>
      </c>
      <c r="X28" t="s">
        <v>49</v>
      </c>
      <c r="Y28">
        <v>2026</v>
      </c>
      <c r="Z28" t="str">
        <f>TEXT(Table1[[#This Row],[Order Date]],"MMM")</f>
        <v>May</v>
      </c>
      <c r="AA28" s="5">
        <f>Table1[[#This Row],[Unit Price]]*Table1[[#This Row],[Quantity]]*(1-Table1[[#This Row],[Discount %]]/100)</f>
        <v>1416.9344999999998</v>
      </c>
      <c r="AB28" s="5">
        <f>Table1[[#This Row],[Sales]]-Table1[[#This Row],[Cost]]</f>
        <v>281.53449999999975</v>
      </c>
    </row>
    <row r="29" spans="1:28" x14ac:dyDescent="0.3">
      <c r="A29" t="s">
        <v>154</v>
      </c>
      <c r="B29" s="1">
        <v>45903</v>
      </c>
      <c r="C29" t="s">
        <v>155</v>
      </c>
      <c r="D29" t="s">
        <v>2811</v>
      </c>
      <c r="E29" s="1">
        <v>45907</v>
      </c>
      <c r="F29" t="s">
        <v>100</v>
      </c>
      <c r="G29" t="s">
        <v>98</v>
      </c>
      <c r="H29" t="s">
        <v>99</v>
      </c>
      <c r="I29" t="s">
        <v>2621</v>
      </c>
      <c r="J29" t="s">
        <v>2622</v>
      </c>
      <c r="K29" t="s">
        <v>52</v>
      </c>
      <c r="L29">
        <v>18</v>
      </c>
      <c r="M29">
        <v>5</v>
      </c>
      <c r="N29">
        <v>0</v>
      </c>
      <c r="O29" t="s">
        <v>156</v>
      </c>
      <c r="P29" t="s">
        <v>75</v>
      </c>
      <c r="Q29" t="s">
        <v>70</v>
      </c>
      <c r="R29" t="s">
        <v>71</v>
      </c>
      <c r="S29" t="s">
        <v>101</v>
      </c>
      <c r="T29">
        <v>3</v>
      </c>
      <c r="U29" s="5">
        <v>591.13</v>
      </c>
      <c r="V29" s="5">
        <v>2341.56</v>
      </c>
      <c r="W29">
        <v>4</v>
      </c>
      <c r="X29" t="s">
        <v>45</v>
      </c>
      <c r="Y29">
        <v>2025</v>
      </c>
      <c r="Z29" t="str">
        <f>TEXT(Table1[[#This Row],[Order Date]],"MMM")</f>
        <v>Sep</v>
      </c>
      <c r="AA29" s="5">
        <f>Table1[[#This Row],[Unit Price]]*Table1[[#This Row],[Quantity]]*(1-Table1[[#This Row],[Discount %]]/100)</f>
        <v>2955.65</v>
      </c>
      <c r="AB29" s="5">
        <f>Table1[[#This Row],[Sales]]-Table1[[#This Row],[Cost]]</f>
        <v>614.09000000000015</v>
      </c>
    </row>
    <row r="30" spans="1:28" x14ac:dyDescent="0.3">
      <c r="A30" t="s">
        <v>157</v>
      </c>
      <c r="B30" s="1">
        <v>46040</v>
      </c>
      <c r="C30" t="s">
        <v>158</v>
      </c>
      <c r="D30" t="s">
        <v>2812</v>
      </c>
      <c r="E30" s="1">
        <v>46046</v>
      </c>
      <c r="F30" t="s">
        <v>40</v>
      </c>
      <c r="G30" t="s">
        <v>38</v>
      </c>
      <c r="H30" t="s">
        <v>39</v>
      </c>
      <c r="I30" t="s">
        <v>2648</v>
      </c>
      <c r="J30" t="s">
        <v>2702</v>
      </c>
      <c r="K30" t="s">
        <v>52</v>
      </c>
      <c r="L30">
        <v>23</v>
      </c>
      <c r="M30">
        <v>4</v>
      </c>
      <c r="N30">
        <v>25</v>
      </c>
      <c r="O30" t="s">
        <v>159</v>
      </c>
      <c r="P30" t="s">
        <v>75</v>
      </c>
      <c r="Q30" t="s">
        <v>31</v>
      </c>
      <c r="R30" t="s">
        <v>62</v>
      </c>
      <c r="S30" t="s">
        <v>41</v>
      </c>
      <c r="T30">
        <v>1</v>
      </c>
      <c r="U30" s="5">
        <v>428.34</v>
      </c>
      <c r="V30" s="5">
        <v>769.65</v>
      </c>
      <c r="W30">
        <v>6</v>
      </c>
      <c r="X30" t="s">
        <v>34</v>
      </c>
      <c r="Y30">
        <v>2026</v>
      </c>
      <c r="Z30" t="str">
        <f>TEXT(Table1[[#This Row],[Order Date]],"MMM")</f>
        <v>Jan</v>
      </c>
      <c r="AA30" s="5">
        <f>Table1[[#This Row],[Unit Price]]*Table1[[#This Row],[Quantity]]*(1-Table1[[#This Row],[Discount %]]/100)</f>
        <v>1285.02</v>
      </c>
      <c r="AB30" s="5">
        <f>Table1[[#This Row],[Sales]]-Table1[[#This Row],[Cost]]</f>
        <v>515.37</v>
      </c>
    </row>
    <row r="31" spans="1:28" x14ac:dyDescent="0.3">
      <c r="A31" t="s">
        <v>160</v>
      </c>
      <c r="B31" s="1">
        <v>45849</v>
      </c>
      <c r="C31" t="s">
        <v>161</v>
      </c>
      <c r="D31" t="s">
        <v>2813</v>
      </c>
      <c r="E31" s="1">
        <v>45856</v>
      </c>
      <c r="F31" t="s">
        <v>122</v>
      </c>
      <c r="G31" t="s">
        <v>120</v>
      </c>
      <c r="H31" t="s">
        <v>121</v>
      </c>
      <c r="I31" t="s">
        <v>2618</v>
      </c>
      <c r="J31" t="s">
        <v>2682</v>
      </c>
      <c r="K31" t="s">
        <v>52</v>
      </c>
      <c r="L31">
        <v>47</v>
      </c>
      <c r="M31">
        <v>4</v>
      </c>
      <c r="N31">
        <v>20</v>
      </c>
      <c r="O31" t="s">
        <v>162</v>
      </c>
      <c r="P31" t="s">
        <v>75</v>
      </c>
      <c r="Q31" t="s">
        <v>42</v>
      </c>
      <c r="R31" t="s">
        <v>43</v>
      </c>
      <c r="S31" t="s">
        <v>123</v>
      </c>
      <c r="T31">
        <v>2</v>
      </c>
      <c r="U31" s="5">
        <v>651.26</v>
      </c>
      <c r="V31" s="5">
        <v>1648.62</v>
      </c>
      <c r="W31">
        <v>7</v>
      </c>
      <c r="X31" t="s">
        <v>45</v>
      </c>
      <c r="Y31">
        <v>2025</v>
      </c>
      <c r="Z31" t="str">
        <f>TEXT(Table1[[#This Row],[Order Date]],"MMM")</f>
        <v>Jul</v>
      </c>
      <c r="AA31" s="5">
        <f>Table1[[#This Row],[Unit Price]]*Table1[[#This Row],[Quantity]]*(1-Table1[[#This Row],[Discount %]]/100)</f>
        <v>2084.0320000000002</v>
      </c>
      <c r="AB31" s="5">
        <f>Table1[[#This Row],[Sales]]-Table1[[#This Row],[Cost]]</f>
        <v>435.41200000000026</v>
      </c>
    </row>
    <row r="32" spans="1:28" x14ac:dyDescent="0.3">
      <c r="A32" t="s">
        <v>163</v>
      </c>
      <c r="B32" s="1">
        <v>45378</v>
      </c>
      <c r="C32" t="s">
        <v>164</v>
      </c>
      <c r="D32" t="s">
        <v>2814</v>
      </c>
      <c r="E32" s="1">
        <v>45382</v>
      </c>
      <c r="F32" t="s">
        <v>122</v>
      </c>
      <c r="G32" t="s">
        <v>120</v>
      </c>
      <c r="H32" t="s">
        <v>121</v>
      </c>
      <c r="I32" t="s">
        <v>2675</v>
      </c>
      <c r="J32" t="s">
        <v>2703</v>
      </c>
      <c r="K32" t="s">
        <v>25</v>
      </c>
      <c r="L32">
        <v>41</v>
      </c>
      <c r="M32">
        <v>1</v>
      </c>
      <c r="N32">
        <v>30</v>
      </c>
      <c r="O32" t="s">
        <v>165</v>
      </c>
      <c r="P32" t="s">
        <v>33</v>
      </c>
      <c r="Q32" t="s">
        <v>70</v>
      </c>
      <c r="R32" t="s">
        <v>71</v>
      </c>
      <c r="S32" t="s">
        <v>123</v>
      </c>
      <c r="T32">
        <v>1</v>
      </c>
      <c r="U32" s="5">
        <v>791.86</v>
      </c>
      <c r="V32" s="5">
        <v>373.19</v>
      </c>
      <c r="W32">
        <v>4</v>
      </c>
      <c r="X32" t="s">
        <v>34</v>
      </c>
      <c r="Y32">
        <v>2024</v>
      </c>
      <c r="Z32" t="str">
        <f>TEXT(Table1[[#This Row],[Order Date]],"MMM")</f>
        <v>Mar</v>
      </c>
      <c r="AA32" s="5">
        <f>Table1[[#This Row],[Unit Price]]*Table1[[#This Row],[Quantity]]*(1-Table1[[#This Row],[Discount %]]/100)</f>
        <v>554.30200000000002</v>
      </c>
      <c r="AB32" s="5">
        <f>Table1[[#This Row],[Sales]]-Table1[[#This Row],[Cost]]</f>
        <v>181.11200000000002</v>
      </c>
    </row>
    <row r="33" spans="1:28" x14ac:dyDescent="0.3">
      <c r="A33" t="s">
        <v>166</v>
      </c>
      <c r="B33" s="1">
        <v>45604</v>
      </c>
      <c r="C33" t="s">
        <v>167</v>
      </c>
      <c r="D33" t="s">
        <v>2815</v>
      </c>
      <c r="E33" s="1">
        <v>45607</v>
      </c>
      <c r="F33" t="s">
        <v>122</v>
      </c>
      <c r="G33" t="s">
        <v>120</v>
      </c>
      <c r="H33" t="s">
        <v>121</v>
      </c>
      <c r="I33" t="s">
        <v>2621</v>
      </c>
      <c r="J33" t="s">
        <v>2699</v>
      </c>
      <c r="K33" t="s">
        <v>25</v>
      </c>
      <c r="L33">
        <v>48</v>
      </c>
      <c r="M33">
        <v>1</v>
      </c>
      <c r="N33">
        <v>20</v>
      </c>
      <c r="O33" t="s">
        <v>168</v>
      </c>
      <c r="P33" t="s">
        <v>44</v>
      </c>
      <c r="Q33" t="s">
        <v>58</v>
      </c>
      <c r="R33" t="s">
        <v>62</v>
      </c>
      <c r="S33" t="s">
        <v>123</v>
      </c>
      <c r="T33">
        <v>4</v>
      </c>
      <c r="U33" s="5">
        <v>997.49</v>
      </c>
      <c r="V33" s="5">
        <v>487.84</v>
      </c>
      <c r="W33">
        <v>3</v>
      </c>
      <c r="X33" t="s">
        <v>94</v>
      </c>
      <c r="Y33">
        <v>2024</v>
      </c>
      <c r="Z33" t="str">
        <f>TEXT(Table1[[#This Row],[Order Date]],"MMM")</f>
        <v>Nov</v>
      </c>
      <c r="AA33" s="5">
        <f>Table1[[#This Row],[Unit Price]]*Table1[[#This Row],[Quantity]]*(1-Table1[[#This Row],[Discount %]]/100)</f>
        <v>797.99200000000008</v>
      </c>
      <c r="AB33" s="5">
        <f>Table1[[#This Row],[Sales]]-Table1[[#This Row],[Cost]]</f>
        <v>310.1520000000001</v>
      </c>
    </row>
    <row r="34" spans="1:28" x14ac:dyDescent="0.3">
      <c r="A34" t="s">
        <v>169</v>
      </c>
      <c r="B34" s="1">
        <v>45588</v>
      </c>
      <c r="C34" t="s">
        <v>170</v>
      </c>
      <c r="D34" t="s">
        <v>2816</v>
      </c>
      <c r="E34" s="1">
        <v>45594</v>
      </c>
      <c r="F34" t="s">
        <v>122</v>
      </c>
      <c r="G34" t="s">
        <v>120</v>
      </c>
      <c r="H34" t="s">
        <v>121</v>
      </c>
      <c r="I34" t="s">
        <v>2630</v>
      </c>
      <c r="J34" t="s">
        <v>2646</v>
      </c>
      <c r="K34" t="s">
        <v>25</v>
      </c>
      <c r="L34">
        <v>23</v>
      </c>
      <c r="M34">
        <v>4</v>
      </c>
      <c r="N34">
        <v>15</v>
      </c>
      <c r="O34" t="s">
        <v>171</v>
      </c>
      <c r="P34" t="s">
        <v>44</v>
      </c>
      <c r="Q34" t="s">
        <v>58</v>
      </c>
      <c r="R34" t="s">
        <v>71</v>
      </c>
      <c r="S34" t="s">
        <v>123</v>
      </c>
      <c r="T34">
        <v>1</v>
      </c>
      <c r="U34" s="5">
        <v>161.28</v>
      </c>
      <c r="V34" s="5">
        <v>383.12</v>
      </c>
      <c r="W34">
        <v>6</v>
      </c>
      <c r="X34" t="s">
        <v>94</v>
      </c>
      <c r="Y34">
        <v>2024</v>
      </c>
      <c r="Z34" t="str">
        <f>TEXT(Table1[[#This Row],[Order Date]],"MMM")</f>
        <v>Oct</v>
      </c>
      <c r="AA34" s="5">
        <f>Table1[[#This Row],[Unit Price]]*Table1[[#This Row],[Quantity]]*(1-Table1[[#This Row],[Discount %]]/100)</f>
        <v>548.35199999999998</v>
      </c>
      <c r="AB34" s="5">
        <f>Table1[[#This Row],[Sales]]-Table1[[#This Row],[Cost]]</f>
        <v>165.23199999999997</v>
      </c>
    </row>
    <row r="35" spans="1:28" x14ac:dyDescent="0.3">
      <c r="A35" t="s">
        <v>172</v>
      </c>
      <c r="B35" s="1">
        <v>46054</v>
      </c>
      <c r="C35" t="s">
        <v>173</v>
      </c>
      <c r="D35" t="s">
        <v>2817</v>
      </c>
      <c r="E35" s="1">
        <v>46061</v>
      </c>
      <c r="F35" t="s">
        <v>115</v>
      </c>
      <c r="G35" t="s">
        <v>66</v>
      </c>
      <c r="H35" t="s">
        <v>114</v>
      </c>
      <c r="I35" t="s">
        <v>2650</v>
      </c>
      <c r="J35" t="s">
        <v>2698</v>
      </c>
      <c r="K35" t="s">
        <v>25</v>
      </c>
      <c r="L35">
        <v>26</v>
      </c>
      <c r="M35">
        <v>1</v>
      </c>
      <c r="N35">
        <v>15</v>
      </c>
      <c r="O35" t="s">
        <v>174</v>
      </c>
      <c r="P35" t="s">
        <v>75</v>
      </c>
      <c r="Q35" t="s">
        <v>31</v>
      </c>
      <c r="R35" t="s">
        <v>32</v>
      </c>
      <c r="S35" t="s">
        <v>116</v>
      </c>
      <c r="T35">
        <v>4</v>
      </c>
      <c r="U35" s="5">
        <v>824.47</v>
      </c>
      <c r="V35" s="5">
        <v>509.83</v>
      </c>
      <c r="W35">
        <v>7</v>
      </c>
      <c r="X35" t="s">
        <v>34</v>
      </c>
      <c r="Y35">
        <v>2026</v>
      </c>
      <c r="Z35" t="str">
        <f>TEXT(Table1[[#This Row],[Order Date]],"MMM")</f>
        <v>Feb</v>
      </c>
      <c r="AA35" s="5">
        <f>Table1[[#This Row],[Unit Price]]*Table1[[#This Row],[Quantity]]*(1-Table1[[#This Row],[Discount %]]/100)</f>
        <v>700.79949999999997</v>
      </c>
      <c r="AB35" s="5">
        <f>Table1[[#This Row],[Sales]]-Table1[[#This Row],[Cost]]</f>
        <v>190.96949999999998</v>
      </c>
    </row>
    <row r="36" spans="1:28" x14ac:dyDescent="0.3">
      <c r="A36" t="s">
        <v>175</v>
      </c>
      <c r="B36" s="1">
        <v>45655</v>
      </c>
      <c r="C36" t="s">
        <v>176</v>
      </c>
      <c r="D36" t="s">
        <v>2818</v>
      </c>
      <c r="E36" s="1">
        <v>45657</v>
      </c>
      <c r="F36" t="s">
        <v>100</v>
      </c>
      <c r="G36" t="s">
        <v>98</v>
      </c>
      <c r="H36" t="s">
        <v>99</v>
      </c>
      <c r="I36" t="s">
        <v>2675</v>
      </c>
      <c r="J36" t="s">
        <v>2676</v>
      </c>
      <c r="K36" t="s">
        <v>52</v>
      </c>
      <c r="L36">
        <v>41</v>
      </c>
      <c r="M36">
        <v>5</v>
      </c>
      <c r="N36">
        <v>30</v>
      </c>
      <c r="O36" t="s">
        <v>177</v>
      </c>
      <c r="P36" t="s">
        <v>33</v>
      </c>
      <c r="Q36" t="s">
        <v>70</v>
      </c>
      <c r="R36" t="s">
        <v>71</v>
      </c>
      <c r="S36" t="s">
        <v>101</v>
      </c>
      <c r="T36">
        <v>4</v>
      </c>
      <c r="U36" s="5">
        <v>905.23</v>
      </c>
      <c r="V36" s="5">
        <v>1722.65</v>
      </c>
      <c r="W36">
        <v>2</v>
      </c>
      <c r="X36" t="s">
        <v>94</v>
      </c>
      <c r="Y36">
        <v>2024</v>
      </c>
      <c r="Z36" t="str">
        <f>TEXT(Table1[[#This Row],[Order Date]],"MMM")</f>
        <v>Dec</v>
      </c>
      <c r="AA36" s="5">
        <f>Table1[[#This Row],[Unit Price]]*Table1[[#This Row],[Quantity]]*(1-Table1[[#This Row],[Discount %]]/100)</f>
        <v>3168.3049999999994</v>
      </c>
      <c r="AB36" s="5">
        <f>Table1[[#This Row],[Sales]]-Table1[[#This Row],[Cost]]</f>
        <v>1445.6549999999993</v>
      </c>
    </row>
    <row r="37" spans="1:28" x14ac:dyDescent="0.3">
      <c r="A37" t="s">
        <v>178</v>
      </c>
      <c r="B37" s="1">
        <v>45765</v>
      </c>
      <c r="C37" t="s">
        <v>179</v>
      </c>
      <c r="D37" t="s">
        <v>2819</v>
      </c>
      <c r="E37" s="1">
        <v>45770</v>
      </c>
      <c r="F37" t="s">
        <v>2617</v>
      </c>
      <c r="G37" t="s">
        <v>27</v>
      </c>
      <c r="H37" t="s">
        <v>28</v>
      </c>
      <c r="I37" t="s">
        <v>2621</v>
      </c>
      <c r="J37" t="s">
        <v>2699</v>
      </c>
      <c r="K37" t="s">
        <v>52</v>
      </c>
      <c r="L37">
        <v>41</v>
      </c>
      <c r="M37">
        <v>1</v>
      </c>
      <c r="N37">
        <v>10</v>
      </c>
      <c r="O37" t="s">
        <v>180</v>
      </c>
      <c r="P37" t="s">
        <v>33</v>
      </c>
      <c r="Q37" t="s">
        <v>31</v>
      </c>
      <c r="R37" t="s">
        <v>32</v>
      </c>
      <c r="S37" t="s">
        <v>30</v>
      </c>
      <c r="T37">
        <v>5</v>
      </c>
      <c r="U37" s="5">
        <v>529.49</v>
      </c>
      <c r="V37" s="5">
        <v>335.54</v>
      </c>
      <c r="W37">
        <v>5</v>
      </c>
      <c r="X37" t="s">
        <v>49</v>
      </c>
      <c r="Y37">
        <v>2025</v>
      </c>
      <c r="Z37" t="str">
        <f>TEXT(Table1[[#This Row],[Order Date]],"MMM")</f>
        <v>Apr</v>
      </c>
      <c r="AA37" s="5">
        <f>Table1[[#This Row],[Unit Price]]*Table1[[#This Row],[Quantity]]*(1-Table1[[#This Row],[Discount %]]/100)</f>
        <v>476.541</v>
      </c>
      <c r="AB37" s="5">
        <f>Table1[[#This Row],[Sales]]-Table1[[#This Row],[Cost]]</f>
        <v>141.00099999999998</v>
      </c>
    </row>
    <row r="38" spans="1:28" x14ac:dyDescent="0.3">
      <c r="A38" t="s">
        <v>181</v>
      </c>
      <c r="B38" s="1">
        <v>45554</v>
      </c>
      <c r="C38" t="s">
        <v>182</v>
      </c>
      <c r="D38" t="s">
        <v>2820</v>
      </c>
      <c r="E38" s="1">
        <v>45558</v>
      </c>
      <c r="F38" t="s">
        <v>2617</v>
      </c>
      <c r="G38" t="s">
        <v>27</v>
      </c>
      <c r="H38" t="s">
        <v>28</v>
      </c>
      <c r="I38" t="s">
        <v>2657</v>
      </c>
      <c r="J38" t="s">
        <v>2658</v>
      </c>
      <c r="K38" t="s">
        <v>25</v>
      </c>
      <c r="L38">
        <v>38</v>
      </c>
      <c r="M38">
        <v>4</v>
      </c>
      <c r="N38">
        <v>5</v>
      </c>
      <c r="O38" t="s">
        <v>183</v>
      </c>
      <c r="P38" t="s">
        <v>75</v>
      </c>
      <c r="Q38" t="s">
        <v>117</v>
      </c>
      <c r="R38" t="s">
        <v>43</v>
      </c>
      <c r="S38" t="s">
        <v>30</v>
      </c>
      <c r="T38">
        <v>5</v>
      </c>
      <c r="U38" s="5">
        <v>463.51</v>
      </c>
      <c r="V38" s="5">
        <v>1021.43</v>
      </c>
      <c r="W38">
        <v>4</v>
      </c>
      <c r="X38" t="s">
        <v>45</v>
      </c>
      <c r="Y38">
        <v>2024</v>
      </c>
      <c r="Z38" t="str">
        <f>TEXT(Table1[[#This Row],[Order Date]],"MMM")</f>
        <v>Sep</v>
      </c>
      <c r="AA38" s="5">
        <f>Table1[[#This Row],[Unit Price]]*Table1[[#This Row],[Quantity]]*(1-Table1[[#This Row],[Discount %]]/100)</f>
        <v>1761.338</v>
      </c>
      <c r="AB38" s="5">
        <f>Table1[[#This Row],[Sales]]-Table1[[#This Row],[Cost]]</f>
        <v>739.90800000000002</v>
      </c>
    </row>
    <row r="39" spans="1:28" x14ac:dyDescent="0.3">
      <c r="A39" t="s">
        <v>184</v>
      </c>
      <c r="B39" s="1">
        <v>45470</v>
      </c>
      <c r="C39" t="s">
        <v>185</v>
      </c>
      <c r="D39" t="s">
        <v>2821</v>
      </c>
      <c r="E39" s="1">
        <v>45475</v>
      </c>
      <c r="F39" t="s">
        <v>40</v>
      </c>
      <c r="G39" t="s">
        <v>38</v>
      </c>
      <c r="H39" t="s">
        <v>39</v>
      </c>
      <c r="I39" t="s">
        <v>2629</v>
      </c>
      <c r="J39" t="s">
        <v>2632</v>
      </c>
      <c r="K39" t="s">
        <v>25</v>
      </c>
      <c r="L39">
        <v>38</v>
      </c>
      <c r="M39">
        <v>3</v>
      </c>
      <c r="N39">
        <v>5</v>
      </c>
      <c r="O39" t="s">
        <v>186</v>
      </c>
      <c r="P39" t="s">
        <v>33</v>
      </c>
      <c r="Q39" t="s">
        <v>117</v>
      </c>
      <c r="R39" t="s">
        <v>62</v>
      </c>
      <c r="S39" t="s">
        <v>41</v>
      </c>
      <c r="T39">
        <v>5</v>
      </c>
      <c r="U39" s="5">
        <v>716.61</v>
      </c>
      <c r="V39" s="5">
        <v>1426.18</v>
      </c>
      <c r="W39">
        <v>5</v>
      </c>
      <c r="X39" t="s">
        <v>49</v>
      </c>
      <c r="Y39">
        <v>2024</v>
      </c>
      <c r="Z39" t="str">
        <f>TEXT(Table1[[#This Row],[Order Date]],"MMM")</f>
        <v>Jun</v>
      </c>
      <c r="AA39" s="5">
        <f>Table1[[#This Row],[Unit Price]]*Table1[[#This Row],[Quantity]]*(1-Table1[[#This Row],[Discount %]]/100)</f>
        <v>2042.3384999999998</v>
      </c>
      <c r="AB39" s="5">
        <f>Table1[[#This Row],[Sales]]-Table1[[#This Row],[Cost]]</f>
        <v>616.15849999999978</v>
      </c>
    </row>
    <row r="40" spans="1:28" x14ac:dyDescent="0.3">
      <c r="A40" t="s">
        <v>187</v>
      </c>
      <c r="B40" s="1">
        <v>45903</v>
      </c>
      <c r="C40" t="s">
        <v>188</v>
      </c>
      <c r="D40" t="s">
        <v>2822</v>
      </c>
      <c r="E40" s="1">
        <v>45907</v>
      </c>
      <c r="F40" t="s">
        <v>122</v>
      </c>
      <c r="G40" t="s">
        <v>120</v>
      </c>
      <c r="H40" t="s">
        <v>121</v>
      </c>
      <c r="I40" t="s">
        <v>2659</v>
      </c>
      <c r="J40" t="s">
        <v>2660</v>
      </c>
      <c r="K40" t="s">
        <v>52</v>
      </c>
      <c r="L40">
        <v>48</v>
      </c>
      <c r="M40">
        <v>2</v>
      </c>
      <c r="N40">
        <v>10</v>
      </c>
      <c r="O40" t="s">
        <v>189</v>
      </c>
      <c r="P40" t="s">
        <v>75</v>
      </c>
      <c r="Q40" t="s">
        <v>117</v>
      </c>
      <c r="R40" t="s">
        <v>32</v>
      </c>
      <c r="S40" t="s">
        <v>123</v>
      </c>
      <c r="T40">
        <v>1</v>
      </c>
      <c r="U40" s="5">
        <v>785.13</v>
      </c>
      <c r="V40" s="5">
        <v>1087</v>
      </c>
      <c r="W40">
        <v>4</v>
      </c>
      <c r="X40" t="s">
        <v>45</v>
      </c>
      <c r="Y40">
        <v>2025</v>
      </c>
      <c r="Z40" t="str">
        <f>TEXT(Table1[[#This Row],[Order Date]],"MMM")</f>
        <v>Sep</v>
      </c>
      <c r="AA40" s="5">
        <f>Table1[[#This Row],[Unit Price]]*Table1[[#This Row],[Quantity]]*(1-Table1[[#This Row],[Discount %]]/100)</f>
        <v>1413.2339999999999</v>
      </c>
      <c r="AB40" s="5">
        <f>Table1[[#This Row],[Sales]]-Table1[[#This Row],[Cost]]</f>
        <v>326.23399999999992</v>
      </c>
    </row>
    <row r="41" spans="1:28" x14ac:dyDescent="0.3">
      <c r="A41" t="s">
        <v>190</v>
      </c>
      <c r="B41" s="1">
        <v>45739</v>
      </c>
      <c r="C41" t="s">
        <v>191</v>
      </c>
      <c r="D41" t="s">
        <v>2823</v>
      </c>
      <c r="E41" s="1">
        <v>45744</v>
      </c>
      <c r="F41" t="s">
        <v>122</v>
      </c>
      <c r="G41" t="s">
        <v>120</v>
      </c>
      <c r="H41" t="s">
        <v>121</v>
      </c>
      <c r="I41" t="s">
        <v>2668</v>
      </c>
      <c r="J41" t="s">
        <v>2686</v>
      </c>
      <c r="K41" t="s">
        <v>52</v>
      </c>
      <c r="L41">
        <v>45</v>
      </c>
      <c r="M41">
        <v>1</v>
      </c>
      <c r="N41">
        <v>30</v>
      </c>
      <c r="O41" t="s">
        <v>192</v>
      </c>
      <c r="P41" t="s">
        <v>44</v>
      </c>
      <c r="Q41" t="s">
        <v>117</v>
      </c>
      <c r="R41" t="s">
        <v>71</v>
      </c>
      <c r="S41" t="s">
        <v>123</v>
      </c>
      <c r="T41">
        <v>4</v>
      </c>
      <c r="U41" s="5">
        <v>337.53</v>
      </c>
      <c r="V41" s="5">
        <v>186.22</v>
      </c>
      <c r="W41">
        <v>5</v>
      </c>
      <c r="X41" t="s">
        <v>34</v>
      </c>
      <c r="Y41">
        <v>2025</v>
      </c>
      <c r="Z41" t="str">
        <f>TEXT(Table1[[#This Row],[Order Date]],"MMM")</f>
        <v>Mar</v>
      </c>
      <c r="AA41" s="5">
        <f>Table1[[#This Row],[Unit Price]]*Table1[[#This Row],[Quantity]]*(1-Table1[[#This Row],[Discount %]]/100)</f>
        <v>236.27099999999996</v>
      </c>
      <c r="AB41" s="5">
        <f>Table1[[#This Row],[Sales]]-Table1[[#This Row],[Cost]]</f>
        <v>50.050999999999959</v>
      </c>
    </row>
    <row r="42" spans="1:28" x14ac:dyDescent="0.3">
      <c r="A42" t="s">
        <v>193</v>
      </c>
      <c r="B42" s="1">
        <v>46172</v>
      </c>
      <c r="C42" t="s">
        <v>194</v>
      </c>
      <c r="D42" t="s">
        <v>2824</v>
      </c>
      <c r="E42" s="1">
        <v>46179</v>
      </c>
      <c r="F42" t="s">
        <v>115</v>
      </c>
      <c r="G42" t="s">
        <v>66</v>
      </c>
      <c r="H42" t="s">
        <v>114</v>
      </c>
      <c r="I42" t="s">
        <v>2623</v>
      </c>
      <c r="J42" t="s">
        <v>2694</v>
      </c>
      <c r="K42" t="s">
        <v>52</v>
      </c>
      <c r="L42">
        <v>36</v>
      </c>
      <c r="M42">
        <v>5</v>
      </c>
      <c r="N42">
        <v>10</v>
      </c>
      <c r="O42" t="s">
        <v>195</v>
      </c>
      <c r="P42" t="s">
        <v>33</v>
      </c>
      <c r="Q42" t="s">
        <v>42</v>
      </c>
      <c r="R42" t="s">
        <v>62</v>
      </c>
      <c r="S42" t="s">
        <v>116</v>
      </c>
      <c r="T42">
        <v>4</v>
      </c>
      <c r="U42" s="5">
        <v>161.99</v>
      </c>
      <c r="V42" s="5">
        <v>619.47</v>
      </c>
      <c r="W42">
        <v>7</v>
      </c>
      <c r="X42" t="s">
        <v>49</v>
      </c>
      <c r="Y42">
        <v>2026</v>
      </c>
      <c r="Z42" t="str">
        <f>TEXT(Table1[[#This Row],[Order Date]],"MMM")</f>
        <v>May</v>
      </c>
      <c r="AA42" s="5">
        <f>Table1[[#This Row],[Unit Price]]*Table1[[#This Row],[Quantity]]*(1-Table1[[#This Row],[Discount %]]/100)</f>
        <v>728.95500000000004</v>
      </c>
      <c r="AB42" s="5">
        <f>Table1[[#This Row],[Sales]]-Table1[[#This Row],[Cost]]</f>
        <v>109.48500000000001</v>
      </c>
    </row>
    <row r="43" spans="1:28" x14ac:dyDescent="0.3">
      <c r="A43" t="s">
        <v>196</v>
      </c>
      <c r="B43" s="1">
        <v>46183</v>
      </c>
      <c r="C43" t="s">
        <v>197</v>
      </c>
      <c r="D43" t="s">
        <v>2825</v>
      </c>
      <c r="E43" s="1">
        <v>46187</v>
      </c>
      <c r="F43" t="s">
        <v>100</v>
      </c>
      <c r="G43" t="s">
        <v>98</v>
      </c>
      <c r="H43" t="s">
        <v>99</v>
      </c>
      <c r="I43" t="s">
        <v>2625</v>
      </c>
      <c r="J43" t="s">
        <v>2626</v>
      </c>
      <c r="K43" t="s">
        <v>52</v>
      </c>
      <c r="L43">
        <v>46</v>
      </c>
      <c r="M43">
        <v>4</v>
      </c>
      <c r="N43">
        <v>25</v>
      </c>
      <c r="O43" t="s">
        <v>198</v>
      </c>
      <c r="P43" t="s">
        <v>44</v>
      </c>
      <c r="Q43" t="s">
        <v>42</v>
      </c>
      <c r="R43" t="s">
        <v>71</v>
      </c>
      <c r="S43" t="s">
        <v>101</v>
      </c>
      <c r="T43">
        <v>1</v>
      </c>
      <c r="U43" s="5">
        <v>342.66</v>
      </c>
      <c r="V43" s="5">
        <v>762.5</v>
      </c>
      <c r="W43">
        <v>4</v>
      </c>
      <c r="X43" t="s">
        <v>49</v>
      </c>
      <c r="Y43">
        <v>2026</v>
      </c>
      <c r="Z43" t="str">
        <f>TEXT(Table1[[#This Row],[Order Date]],"MMM")</f>
        <v>Jun</v>
      </c>
      <c r="AA43" s="5">
        <f>Table1[[#This Row],[Unit Price]]*Table1[[#This Row],[Quantity]]*(1-Table1[[#This Row],[Discount %]]/100)</f>
        <v>1027.98</v>
      </c>
      <c r="AB43" s="5">
        <f>Table1[[#This Row],[Sales]]-Table1[[#This Row],[Cost]]</f>
        <v>265.48</v>
      </c>
    </row>
    <row r="44" spans="1:28" x14ac:dyDescent="0.3">
      <c r="A44" t="s">
        <v>199</v>
      </c>
      <c r="B44" s="1">
        <v>45715</v>
      </c>
      <c r="C44" t="s">
        <v>200</v>
      </c>
      <c r="D44" t="s">
        <v>2826</v>
      </c>
      <c r="E44" s="1">
        <v>45716</v>
      </c>
      <c r="F44" t="s">
        <v>68</v>
      </c>
      <c r="G44" t="s">
        <v>66</v>
      </c>
      <c r="H44" t="s">
        <v>67</v>
      </c>
      <c r="I44" t="s">
        <v>2619</v>
      </c>
      <c r="J44" t="s">
        <v>2687</v>
      </c>
      <c r="K44" t="s">
        <v>52</v>
      </c>
      <c r="L44">
        <v>37</v>
      </c>
      <c r="M44">
        <v>2</v>
      </c>
      <c r="N44">
        <v>20</v>
      </c>
      <c r="O44" t="s">
        <v>201</v>
      </c>
      <c r="P44" t="s">
        <v>33</v>
      </c>
      <c r="Q44" t="s">
        <v>70</v>
      </c>
      <c r="R44" t="s">
        <v>43</v>
      </c>
      <c r="S44" t="s">
        <v>69</v>
      </c>
      <c r="T44">
        <v>4</v>
      </c>
      <c r="U44" s="5">
        <v>485.28</v>
      </c>
      <c r="V44" s="5">
        <v>450.41</v>
      </c>
      <c r="W44">
        <v>1</v>
      </c>
      <c r="X44" t="s">
        <v>34</v>
      </c>
      <c r="Y44">
        <v>2025</v>
      </c>
      <c r="Z44" t="str">
        <f>TEXT(Table1[[#This Row],[Order Date]],"MMM")</f>
        <v>Feb</v>
      </c>
      <c r="AA44" s="5">
        <f>Table1[[#This Row],[Unit Price]]*Table1[[#This Row],[Quantity]]*(1-Table1[[#This Row],[Discount %]]/100)</f>
        <v>776.44799999999998</v>
      </c>
      <c r="AB44" s="5">
        <f>Table1[[#This Row],[Sales]]-Table1[[#This Row],[Cost]]</f>
        <v>326.03799999999995</v>
      </c>
    </row>
    <row r="45" spans="1:28" x14ac:dyDescent="0.3">
      <c r="A45" t="s">
        <v>202</v>
      </c>
      <c r="B45" s="1">
        <v>45920</v>
      </c>
      <c r="C45" t="s">
        <v>203</v>
      </c>
      <c r="D45" t="s">
        <v>2827</v>
      </c>
      <c r="E45" s="1">
        <v>45925</v>
      </c>
      <c r="F45" t="s">
        <v>140</v>
      </c>
      <c r="G45" t="s">
        <v>38</v>
      </c>
      <c r="H45" t="s">
        <v>139</v>
      </c>
      <c r="I45" t="s">
        <v>2623</v>
      </c>
      <c r="J45" t="s">
        <v>2624</v>
      </c>
      <c r="K45" t="s">
        <v>52</v>
      </c>
      <c r="L45">
        <v>54</v>
      </c>
      <c r="M45">
        <v>2</v>
      </c>
      <c r="N45">
        <v>10</v>
      </c>
      <c r="O45" t="s">
        <v>204</v>
      </c>
      <c r="P45" t="s">
        <v>75</v>
      </c>
      <c r="Q45" t="s">
        <v>42</v>
      </c>
      <c r="R45" t="s">
        <v>32</v>
      </c>
      <c r="S45" t="s">
        <v>141</v>
      </c>
      <c r="T45">
        <v>1</v>
      </c>
      <c r="U45" s="5">
        <v>229.53</v>
      </c>
      <c r="V45" s="5">
        <v>260.48</v>
      </c>
      <c r="W45">
        <v>5</v>
      </c>
      <c r="X45" t="s">
        <v>45</v>
      </c>
      <c r="Y45">
        <v>2025</v>
      </c>
      <c r="Z45" t="str">
        <f>TEXT(Table1[[#This Row],[Order Date]],"MMM")</f>
        <v>Sep</v>
      </c>
      <c r="AA45" s="5">
        <f>Table1[[#This Row],[Unit Price]]*Table1[[#This Row],[Quantity]]*(1-Table1[[#This Row],[Discount %]]/100)</f>
        <v>413.154</v>
      </c>
      <c r="AB45" s="5">
        <f>Table1[[#This Row],[Sales]]-Table1[[#This Row],[Cost]]</f>
        <v>152.67399999999998</v>
      </c>
    </row>
    <row r="46" spans="1:28" x14ac:dyDescent="0.3">
      <c r="A46" t="s">
        <v>205</v>
      </c>
      <c r="B46" s="1">
        <v>46132</v>
      </c>
      <c r="C46" t="s">
        <v>206</v>
      </c>
      <c r="D46" t="s">
        <v>2828</v>
      </c>
      <c r="E46" s="1">
        <v>46139</v>
      </c>
      <c r="F46" t="s">
        <v>122</v>
      </c>
      <c r="G46" t="s">
        <v>120</v>
      </c>
      <c r="H46" t="s">
        <v>121</v>
      </c>
      <c r="I46" t="s">
        <v>2633</v>
      </c>
      <c r="J46" t="s">
        <v>2634</v>
      </c>
      <c r="K46" t="s">
        <v>52</v>
      </c>
      <c r="L46">
        <v>43</v>
      </c>
      <c r="M46">
        <v>4</v>
      </c>
      <c r="N46">
        <v>10</v>
      </c>
      <c r="O46" t="s">
        <v>207</v>
      </c>
      <c r="P46" t="s">
        <v>33</v>
      </c>
      <c r="Q46" t="s">
        <v>70</v>
      </c>
      <c r="R46" t="s">
        <v>43</v>
      </c>
      <c r="S46" t="s">
        <v>123</v>
      </c>
      <c r="T46">
        <v>3</v>
      </c>
      <c r="U46" s="5">
        <v>896.34</v>
      </c>
      <c r="V46" s="5">
        <v>2039.41</v>
      </c>
      <c r="W46">
        <v>7</v>
      </c>
      <c r="X46" t="s">
        <v>49</v>
      </c>
      <c r="Y46">
        <v>2026</v>
      </c>
      <c r="Z46" t="str">
        <f>TEXT(Table1[[#This Row],[Order Date]],"MMM")</f>
        <v>Apr</v>
      </c>
      <c r="AA46" s="5">
        <f>Table1[[#This Row],[Unit Price]]*Table1[[#This Row],[Quantity]]*(1-Table1[[#This Row],[Discount %]]/100)</f>
        <v>3226.8240000000001</v>
      </c>
      <c r="AB46" s="5">
        <f>Table1[[#This Row],[Sales]]-Table1[[#This Row],[Cost]]</f>
        <v>1187.414</v>
      </c>
    </row>
    <row r="47" spans="1:28" x14ac:dyDescent="0.3">
      <c r="A47" t="s">
        <v>208</v>
      </c>
      <c r="B47" s="1">
        <v>45700</v>
      </c>
      <c r="C47" t="s">
        <v>80</v>
      </c>
      <c r="D47" t="s">
        <v>2829</v>
      </c>
      <c r="E47" s="1">
        <v>45704</v>
      </c>
      <c r="F47" t="s">
        <v>115</v>
      </c>
      <c r="G47" t="s">
        <v>66</v>
      </c>
      <c r="H47" t="s">
        <v>114</v>
      </c>
      <c r="I47" t="s">
        <v>2619</v>
      </c>
      <c r="J47" t="s">
        <v>2620</v>
      </c>
      <c r="K47" t="s">
        <v>25</v>
      </c>
      <c r="L47">
        <v>26</v>
      </c>
      <c r="M47">
        <v>5</v>
      </c>
      <c r="N47">
        <v>15</v>
      </c>
      <c r="O47" t="s">
        <v>209</v>
      </c>
      <c r="P47" t="s">
        <v>44</v>
      </c>
      <c r="Q47" t="s">
        <v>70</v>
      </c>
      <c r="R47" t="s">
        <v>32</v>
      </c>
      <c r="S47" t="s">
        <v>116</v>
      </c>
      <c r="T47">
        <v>5</v>
      </c>
      <c r="U47" s="5">
        <v>985.72</v>
      </c>
      <c r="V47" s="5">
        <v>2744.31</v>
      </c>
      <c r="W47">
        <v>4</v>
      </c>
      <c r="X47" t="s">
        <v>34</v>
      </c>
      <c r="Y47">
        <v>2025</v>
      </c>
      <c r="Z47" t="str">
        <f>TEXT(Table1[[#This Row],[Order Date]],"MMM")</f>
        <v>Feb</v>
      </c>
      <c r="AA47" s="5">
        <f>Table1[[#This Row],[Unit Price]]*Table1[[#This Row],[Quantity]]*(1-Table1[[#This Row],[Discount %]]/100)</f>
        <v>4189.3100000000004</v>
      </c>
      <c r="AB47" s="5">
        <f>Table1[[#This Row],[Sales]]-Table1[[#This Row],[Cost]]</f>
        <v>1445.0000000000005</v>
      </c>
    </row>
    <row r="48" spans="1:28" x14ac:dyDescent="0.3">
      <c r="A48" t="s">
        <v>210</v>
      </c>
      <c r="B48" s="1">
        <v>45596</v>
      </c>
      <c r="C48" t="s">
        <v>155</v>
      </c>
      <c r="D48" t="s">
        <v>2830</v>
      </c>
      <c r="E48" s="1">
        <v>45598</v>
      </c>
      <c r="F48" t="s">
        <v>115</v>
      </c>
      <c r="G48" t="s">
        <v>66</v>
      </c>
      <c r="H48" t="s">
        <v>114</v>
      </c>
      <c r="I48" t="s">
        <v>2657</v>
      </c>
      <c r="J48" t="s">
        <v>2696</v>
      </c>
      <c r="K48" t="s">
        <v>52</v>
      </c>
      <c r="L48">
        <v>19</v>
      </c>
      <c r="M48">
        <v>4</v>
      </c>
      <c r="N48">
        <v>20</v>
      </c>
      <c r="O48" t="s">
        <v>211</v>
      </c>
      <c r="P48" t="s">
        <v>44</v>
      </c>
      <c r="Q48" t="s">
        <v>31</v>
      </c>
      <c r="R48" t="s">
        <v>43</v>
      </c>
      <c r="S48" t="s">
        <v>116</v>
      </c>
      <c r="T48">
        <v>5</v>
      </c>
      <c r="U48" s="5">
        <v>34.200000000000003</v>
      </c>
      <c r="V48" s="5">
        <v>69.180000000000007</v>
      </c>
      <c r="W48">
        <v>2</v>
      </c>
      <c r="X48" t="s">
        <v>94</v>
      </c>
      <c r="Y48">
        <v>2024</v>
      </c>
      <c r="Z48" t="str">
        <f>TEXT(Table1[[#This Row],[Order Date]],"MMM")</f>
        <v>Oct</v>
      </c>
      <c r="AA48" s="5">
        <f>Table1[[#This Row],[Unit Price]]*Table1[[#This Row],[Quantity]]*(1-Table1[[#This Row],[Discount %]]/100)</f>
        <v>109.44000000000001</v>
      </c>
      <c r="AB48" s="5">
        <f>Table1[[#This Row],[Sales]]-Table1[[#This Row],[Cost]]</f>
        <v>40.260000000000005</v>
      </c>
    </row>
    <row r="49" spans="1:28" x14ac:dyDescent="0.3">
      <c r="A49" t="s">
        <v>212</v>
      </c>
      <c r="B49" s="1">
        <v>45509</v>
      </c>
      <c r="C49" t="s">
        <v>213</v>
      </c>
      <c r="D49" t="s">
        <v>2831</v>
      </c>
      <c r="E49" s="1">
        <v>45514</v>
      </c>
      <c r="F49" t="s">
        <v>128</v>
      </c>
      <c r="G49" t="s">
        <v>98</v>
      </c>
      <c r="H49" t="s">
        <v>127</v>
      </c>
      <c r="I49" t="s">
        <v>2618</v>
      </c>
      <c r="J49" t="s">
        <v>2682</v>
      </c>
      <c r="K49" t="s">
        <v>52</v>
      </c>
      <c r="L49">
        <v>48</v>
      </c>
      <c r="M49">
        <v>2</v>
      </c>
      <c r="N49">
        <v>5</v>
      </c>
      <c r="O49" t="s">
        <v>214</v>
      </c>
      <c r="P49" t="s">
        <v>75</v>
      </c>
      <c r="Q49" t="s">
        <v>117</v>
      </c>
      <c r="R49" t="s">
        <v>62</v>
      </c>
      <c r="S49" t="s">
        <v>129</v>
      </c>
      <c r="T49">
        <v>4</v>
      </c>
      <c r="U49" s="5">
        <v>585.75</v>
      </c>
      <c r="V49" s="5">
        <v>917.51</v>
      </c>
      <c r="W49">
        <v>5</v>
      </c>
      <c r="X49" t="s">
        <v>45</v>
      </c>
      <c r="Y49">
        <v>2024</v>
      </c>
      <c r="Z49" t="str">
        <f>TEXT(Table1[[#This Row],[Order Date]],"MMM")</f>
        <v>Aug</v>
      </c>
      <c r="AA49" s="5">
        <f>Table1[[#This Row],[Unit Price]]*Table1[[#This Row],[Quantity]]*(1-Table1[[#This Row],[Discount %]]/100)</f>
        <v>1112.925</v>
      </c>
      <c r="AB49" s="5">
        <f>Table1[[#This Row],[Sales]]-Table1[[#This Row],[Cost]]</f>
        <v>195.41499999999996</v>
      </c>
    </row>
    <row r="50" spans="1:28" x14ac:dyDescent="0.3">
      <c r="A50" t="s">
        <v>215</v>
      </c>
      <c r="B50" s="1">
        <v>45619</v>
      </c>
      <c r="C50" t="s">
        <v>216</v>
      </c>
      <c r="D50" t="s">
        <v>2832</v>
      </c>
      <c r="E50" s="1">
        <v>45623</v>
      </c>
      <c r="F50" t="s">
        <v>2617</v>
      </c>
      <c r="G50" t="s">
        <v>27</v>
      </c>
      <c r="H50" t="s">
        <v>28</v>
      </c>
      <c r="I50" t="s">
        <v>2664</v>
      </c>
      <c r="J50" t="s">
        <v>2704</v>
      </c>
      <c r="K50" t="s">
        <v>52</v>
      </c>
      <c r="L50">
        <v>22</v>
      </c>
      <c r="M50">
        <v>3</v>
      </c>
      <c r="N50">
        <v>15</v>
      </c>
      <c r="O50" t="s">
        <v>217</v>
      </c>
      <c r="P50" t="s">
        <v>75</v>
      </c>
      <c r="Q50" t="s">
        <v>70</v>
      </c>
      <c r="R50" t="s">
        <v>71</v>
      </c>
      <c r="S50" t="s">
        <v>30</v>
      </c>
      <c r="T50">
        <v>4</v>
      </c>
      <c r="U50" s="5">
        <v>874.94</v>
      </c>
      <c r="V50" s="5">
        <v>1261.8499999999999</v>
      </c>
      <c r="W50">
        <v>4</v>
      </c>
      <c r="X50" t="s">
        <v>94</v>
      </c>
      <c r="Y50">
        <v>2024</v>
      </c>
      <c r="Z50" t="str">
        <f>TEXT(Table1[[#This Row],[Order Date]],"MMM")</f>
        <v>Nov</v>
      </c>
      <c r="AA50" s="5">
        <f>Table1[[#This Row],[Unit Price]]*Table1[[#This Row],[Quantity]]*(1-Table1[[#This Row],[Discount %]]/100)</f>
        <v>2231.0970000000002</v>
      </c>
      <c r="AB50" s="5">
        <f>Table1[[#This Row],[Sales]]-Table1[[#This Row],[Cost]]</f>
        <v>969.2470000000003</v>
      </c>
    </row>
    <row r="51" spans="1:28" x14ac:dyDescent="0.3">
      <c r="A51" t="s">
        <v>218</v>
      </c>
      <c r="B51" s="1">
        <v>45463</v>
      </c>
      <c r="C51" t="s">
        <v>219</v>
      </c>
      <c r="D51" t="s">
        <v>2833</v>
      </c>
      <c r="E51" s="1">
        <v>45466</v>
      </c>
      <c r="F51" t="s">
        <v>56</v>
      </c>
      <c r="G51" t="s">
        <v>54</v>
      </c>
      <c r="H51" t="s">
        <v>55</v>
      </c>
      <c r="I51" t="s">
        <v>2625</v>
      </c>
      <c r="J51" t="s">
        <v>2626</v>
      </c>
      <c r="K51" t="s">
        <v>25</v>
      </c>
      <c r="L51">
        <v>38</v>
      </c>
      <c r="M51">
        <v>1</v>
      </c>
      <c r="N51">
        <v>0</v>
      </c>
      <c r="O51" t="s">
        <v>220</v>
      </c>
      <c r="P51" t="s">
        <v>33</v>
      </c>
      <c r="Q51" t="s">
        <v>58</v>
      </c>
      <c r="R51" t="s">
        <v>71</v>
      </c>
      <c r="S51" t="s">
        <v>57</v>
      </c>
      <c r="T51">
        <v>1</v>
      </c>
      <c r="U51" s="5">
        <v>816.3</v>
      </c>
      <c r="V51" s="5">
        <v>427.28</v>
      </c>
      <c r="W51">
        <v>3</v>
      </c>
      <c r="X51" t="s">
        <v>49</v>
      </c>
      <c r="Y51">
        <v>2024</v>
      </c>
      <c r="Z51" t="str">
        <f>TEXT(Table1[[#This Row],[Order Date]],"MMM")</f>
        <v>Jun</v>
      </c>
      <c r="AA51" s="5">
        <f>Table1[[#This Row],[Unit Price]]*Table1[[#This Row],[Quantity]]*(1-Table1[[#This Row],[Discount %]]/100)</f>
        <v>816.3</v>
      </c>
      <c r="AB51" s="5">
        <f>Table1[[#This Row],[Sales]]-Table1[[#This Row],[Cost]]</f>
        <v>389.02</v>
      </c>
    </row>
    <row r="52" spans="1:28" x14ac:dyDescent="0.3">
      <c r="A52" t="s">
        <v>221</v>
      </c>
      <c r="B52" s="1">
        <v>45924</v>
      </c>
      <c r="C52" t="s">
        <v>222</v>
      </c>
      <c r="D52" t="s">
        <v>2834</v>
      </c>
      <c r="E52" s="1">
        <v>45928</v>
      </c>
      <c r="F52" t="s">
        <v>115</v>
      </c>
      <c r="G52" t="s">
        <v>66</v>
      </c>
      <c r="H52" t="s">
        <v>114</v>
      </c>
      <c r="I52" t="s">
        <v>2661</v>
      </c>
      <c r="J52" t="s">
        <v>2662</v>
      </c>
      <c r="K52" t="s">
        <v>25</v>
      </c>
      <c r="L52">
        <v>53</v>
      </c>
      <c r="M52">
        <v>1</v>
      </c>
      <c r="N52">
        <v>30</v>
      </c>
      <c r="O52" t="s">
        <v>223</v>
      </c>
      <c r="P52" t="s">
        <v>75</v>
      </c>
      <c r="Q52" t="s">
        <v>31</v>
      </c>
      <c r="R52" t="s">
        <v>32</v>
      </c>
      <c r="S52" t="s">
        <v>116</v>
      </c>
      <c r="T52">
        <v>2</v>
      </c>
      <c r="U52" s="5">
        <v>437.5</v>
      </c>
      <c r="V52" s="5">
        <v>253.46</v>
      </c>
      <c r="W52">
        <v>4</v>
      </c>
      <c r="X52" t="s">
        <v>45</v>
      </c>
      <c r="Y52">
        <v>2025</v>
      </c>
      <c r="Z52" t="str">
        <f>TEXT(Table1[[#This Row],[Order Date]],"MMM")</f>
        <v>Sep</v>
      </c>
      <c r="AA52" s="5">
        <f>Table1[[#This Row],[Unit Price]]*Table1[[#This Row],[Quantity]]*(1-Table1[[#This Row],[Discount %]]/100)</f>
        <v>306.25</v>
      </c>
      <c r="AB52" s="5">
        <f>Table1[[#This Row],[Sales]]-Table1[[#This Row],[Cost]]</f>
        <v>52.789999999999992</v>
      </c>
    </row>
    <row r="53" spans="1:28" x14ac:dyDescent="0.3">
      <c r="A53" t="s">
        <v>224</v>
      </c>
      <c r="B53" s="1">
        <v>45556</v>
      </c>
      <c r="C53" t="s">
        <v>225</v>
      </c>
      <c r="D53" t="s">
        <v>2835</v>
      </c>
      <c r="E53" s="1">
        <v>45559</v>
      </c>
      <c r="F53" t="s">
        <v>128</v>
      </c>
      <c r="G53" t="s">
        <v>98</v>
      </c>
      <c r="H53" t="s">
        <v>127</v>
      </c>
      <c r="I53" t="s">
        <v>2655</v>
      </c>
      <c r="J53" t="s">
        <v>2656</v>
      </c>
      <c r="K53" t="s">
        <v>25</v>
      </c>
      <c r="L53">
        <v>56</v>
      </c>
      <c r="M53">
        <v>1</v>
      </c>
      <c r="N53">
        <v>0</v>
      </c>
      <c r="O53" t="s">
        <v>226</v>
      </c>
      <c r="P53" t="s">
        <v>33</v>
      </c>
      <c r="Q53" t="s">
        <v>42</v>
      </c>
      <c r="R53" t="s">
        <v>62</v>
      </c>
      <c r="S53" t="s">
        <v>129</v>
      </c>
      <c r="T53">
        <v>2</v>
      </c>
      <c r="U53" s="5">
        <v>95.37</v>
      </c>
      <c r="V53" s="5">
        <v>77.88</v>
      </c>
      <c r="W53">
        <v>3</v>
      </c>
      <c r="X53" t="s">
        <v>45</v>
      </c>
      <c r="Y53">
        <v>2024</v>
      </c>
      <c r="Z53" t="str">
        <f>TEXT(Table1[[#This Row],[Order Date]],"MMM")</f>
        <v>Sep</v>
      </c>
      <c r="AA53" s="5">
        <f>Table1[[#This Row],[Unit Price]]*Table1[[#This Row],[Quantity]]*(1-Table1[[#This Row],[Discount %]]/100)</f>
        <v>95.37</v>
      </c>
      <c r="AB53" s="5">
        <f>Table1[[#This Row],[Sales]]-Table1[[#This Row],[Cost]]</f>
        <v>17.490000000000009</v>
      </c>
    </row>
    <row r="54" spans="1:28" x14ac:dyDescent="0.3">
      <c r="A54" t="s">
        <v>227</v>
      </c>
      <c r="B54" s="1">
        <v>45489</v>
      </c>
      <c r="C54" t="s">
        <v>228</v>
      </c>
      <c r="D54" t="s">
        <v>2836</v>
      </c>
      <c r="E54" s="1">
        <v>45490</v>
      </c>
      <c r="F54" t="s">
        <v>2617</v>
      </c>
      <c r="G54" t="s">
        <v>27</v>
      </c>
      <c r="H54" t="s">
        <v>28</v>
      </c>
      <c r="I54" t="s">
        <v>2675</v>
      </c>
      <c r="J54" t="s">
        <v>2676</v>
      </c>
      <c r="K54" t="s">
        <v>52</v>
      </c>
      <c r="L54">
        <v>44</v>
      </c>
      <c r="M54">
        <v>5</v>
      </c>
      <c r="N54">
        <v>20</v>
      </c>
      <c r="O54" t="s">
        <v>229</v>
      </c>
      <c r="P54" t="s">
        <v>33</v>
      </c>
      <c r="Q54" t="s">
        <v>117</v>
      </c>
      <c r="R54" t="s">
        <v>62</v>
      </c>
      <c r="S54" t="s">
        <v>30</v>
      </c>
      <c r="T54">
        <v>4</v>
      </c>
      <c r="U54" s="5">
        <v>318.49</v>
      </c>
      <c r="V54" s="5">
        <v>777.44</v>
      </c>
      <c r="W54">
        <v>1</v>
      </c>
      <c r="X54" t="s">
        <v>45</v>
      </c>
      <c r="Y54">
        <v>2024</v>
      </c>
      <c r="Z54" t="str">
        <f>TEXT(Table1[[#This Row],[Order Date]],"MMM")</f>
        <v>Jul</v>
      </c>
      <c r="AA54" s="5">
        <f>Table1[[#This Row],[Unit Price]]*Table1[[#This Row],[Quantity]]*(1-Table1[[#This Row],[Discount %]]/100)</f>
        <v>1273.96</v>
      </c>
      <c r="AB54" s="5">
        <f>Table1[[#This Row],[Sales]]-Table1[[#This Row],[Cost]]</f>
        <v>496.52</v>
      </c>
    </row>
    <row r="55" spans="1:28" x14ac:dyDescent="0.3">
      <c r="A55" t="s">
        <v>230</v>
      </c>
      <c r="B55" s="1">
        <v>45674</v>
      </c>
      <c r="C55" t="s">
        <v>231</v>
      </c>
      <c r="D55" t="s">
        <v>2837</v>
      </c>
      <c r="E55" s="1">
        <v>45679</v>
      </c>
      <c r="F55" t="s">
        <v>140</v>
      </c>
      <c r="G55" t="s">
        <v>38</v>
      </c>
      <c r="H55" t="s">
        <v>139</v>
      </c>
      <c r="I55" t="s">
        <v>2618</v>
      </c>
      <c r="J55" t="s">
        <v>2682</v>
      </c>
      <c r="K55" t="s">
        <v>25</v>
      </c>
      <c r="L55">
        <v>21</v>
      </c>
      <c r="M55">
        <v>3</v>
      </c>
      <c r="N55">
        <v>20</v>
      </c>
      <c r="O55" t="s">
        <v>232</v>
      </c>
      <c r="P55" t="s">
        <v>33</v>
      </c>
      <c r="Q55" t="s">
        <v>42</v>
      </c>
      <c r="R55" t="s">
        <v>32</v>
      </c>
      <c r="S55" t="s">
        <v>141</v>
      </c>
      <c r="T55">
        <v>5</v>
      </c>
      <c r="U55" s="5">
        <v>768.07</v>
      </c>
      <c r="V55" s="5">
        <v>1541.26</v>
      </c>
      <c r="W55">
        <v>5</v>
      </c>
      <c r="X55" t="s">
        <v>34</v>
      </c>
      <c r="Y55">
        <v>2025</v>
      </c>
      <c r="Z55" t="str">
        <f>TEXT(Table1[[#This Row],[Order Date]],"MMM")</f>
        <v>Jan</v>
      </c>
      <c r="AA55" s="5">
        <f>Table1[[#This Row],[Unit Price]]*Table1[[#This Row],[Quantity]]*(1-Table1[[#This Row],[Discount %]]/100)</f>
        <v>1843.3680000000002</v>
      </c>
      <c r="AB55" s="5">
        <f>Table1[[#This Row],[Sales]]-Table1[[#This Row],[Cost]]</f>
        <v>302.10800000000017</v>
      </c>
    </row>
    <row r="56" spans="1:28" x14ac:dyDescent="0.3">
      <c r="A56" t="s">
        <v>233</v>
      </c>
      <c r="B56" s="1">
        <v>45496</v>
      </c>
      <c r="C56" t="s">
        <v>234</v>
      </c>
      <c r="D56" t="s">
        <v>2838</v>
      </c>
      <c r="E56" s="1">
        <v>45498</v>
      </c>
      <c r="F56" t="s">
        <v>115</v>
      </c>
      <c r="G56" t="s">
        <v>66</v>
      </c>
      <c r="H56" t="s">
        <v>114</v>
      </c>
      <c r="I56" t="s">
        <v>2625</v>
      </c>
      <c r="J56" t="s">
        <v>2685</v>
      </c>
      <c r="K56" t="s">
        <v>52</v>
      </c>
      <c r="L56">
        <v>26</v>
      </c>
      <c r="M56">
        <v>3</v>
      </c>
      <c r="N56">
        <v>20</v>
      </c>
      <c r="O56" t="s">
        <v>235</v>
      </c>
      <c r="P56" t="s">
        <v>44</v>
      </c>
      <c r="Q56" t="s">
        <v>31</v>
      </c>
      <c r="R56" t="s">
        <v>32</v>
      </c>
      <c r="S56" t="s">
        <v>116</v>
      </c>
      <c r="T56">
        <v>5</v>
      </c>
      <c r="U56" s="5">
        <v>672.06</v>
      </c>
      <c r="V56" s="5">
        <v>1200.29</v>
      </c>
      <c r="W56">
        <v>2</v>
      </c>
      <c r="X56" t="s">
        <v>45</v>
      </c>
      <c r="Y56">
        <v>2024</v>
      </c>
      <c r="Z56" t="str">
        <f>TEXT(Table1[[#This Row],[Order Date]],"MMM")</f>
        <v>Jul</v>
      </c>
      <c r="AA56" s="5">
        <f>Table1[[#This Row],[Unit Price]]*Table1[[#This Row],[Quantity]]*(1-Table1[[#This Row],[Discount %]]/100)</f>
        <v>1612.944</v>
      </c>
      <c r="AB56" s="5">
        <f>Table1[[#This Row],[Sales]]-Table1[[#This Row],[Cost]]</f>
        <v>412.654</v>
      </c>
    </row>
    <row r="57" spans="1:28" x14ac:dyDescent="0.3">
      <c r="A57" t="s">
        <v>236</v>
      </c>
      <c r="B57" s="1">
        <v>45613</v>
      </c>
      <c r="C57" t="s">
        <v>237</v>
      </c>
      <c r="D57" t="s">
        <v>2839</v>
      </c>
      <c r="E57" s="1">
        <v>45620</v>
      </c>
      <c r="F57" t="s">
        <v>115</v>
      </c>
      <c r="G57" t="s">
        <v>66</v>
      </c>
      <c r="H57" t="s">
        <v>114</v>
      </c>
      <c r="I57" t="s">
        <v>2621</v>
      </c>
      <c r="J57" t="s">
        <v>2647</v>
      </c>
      <c r="K57" t="s">
        <v>25</v>
      </c>
      <c r="L57">
        <v>46</v>
      </c>
      <c r="M57">
        <v>1</v>
      </c>
      <c r="N57">
        <v>5</v>
      </c>
      <c r="O57" t="s">
        <v>238</v>
      </c>
      <c r="P57" t="s">
        <v>33</v>
      </c>
      <c r="Q57" t="s">
        <v>70</v>
      </c>
      <c r="R57" t="s">
        <v>71</v>
      </c>
      <c r="S57" t="s">
        <v>116</v>
      </c>
      <c r="T57">
        <v>3</v>
      </c>
      <c r="U57" s="5">
        <v>923.59</v>
      </c>
      <c r="V57" s="5">
        <v>671.82</v>
      </c>
      <c r="W57">
        <v>7</v>
      </c>
      <c r="X57" t="s">
        <v>94</v>
      </c>
      <c r="Y57">
        <v>2024</v>
      </c>
      <c r="Z57" t="str">
        <f>TEXT(Table1[[#This Row],[Order Date]],"MMM")</f>
        <v>Nov</v>
      </c>
      <c r="AA57" s="5">
        <f>Table1[[#This Row],[Unit Price]]*Table1[[#This Row],[Quantity]]*(1-Table1[[#This Row],[Discount %]]/100)</f>
        <v>877.41049999999996</v>
      </c>
      <c r="AB57" s="5">
        <f>Table1[[#This Row],[Sales]]-Table1[[#This Row],[Cost]]</f>
        <v>205.59049999999991</v>
      </c>
    </row>
    <row r="58" spans="1:28" x14ac:dyDescent="0.3">
      <c r="A58" t="s">
        <v>239</v>
      </c>
      <c r="B58" s="1">
        <v>45487</v>
      </c>
      <c r="C58" t="s">
        <v>240</v>
      </c>
      <c r="D58" t="s">
        <v>2840</v>
      </c>
      <c r="E58" s="1">
        <v>45489</v>
      </c>
      <c r="F58" t="s">
        <v>68</v>
      </c>
      <c r="G58" t="s">
        <v>66</v>
      </c>
      <c r="H58" t="s">
        <v>67</v>
      </c>
      <c r="I58" t="s">
        <v>2661</v>
      </c>
      <c r="J58" t="s">
        <v>2689</v>
      </c>
      <c r="K58" t="s">
        <v>25</v>
      </c>
      <c r="L58">
        <v>22</v>
      </c>
      <c r="M58">
        <v>5</v>
      </c>
      <c r="N58">
        <v>10</v>
      </c>
      <c r="O58" t="s">
        <v>241</v>
      </c>
      <c r="P58" t="s">
        <v>44</v>
      </c>
      <c r="Q58" t="s">
        <v>58</v>
      </c>
      <c r="R58" t="s">
        <v>43</v>
      </c>
      <c r="S58" t="s">
        <v>69</v>
      </c>
      <c r="T58">
        <v>5</v>
      </c>
      <c r="U58" s="5">
        <v>755.82</v>
      </c>
      <c r="V58" s="5">
        <v>1960.76</v>
      </c>
      <c r="W58">
        <v>2</v>
      </c>
      <c r="X58" t="s">
        <v>45</v>
      </c>
      <c r="Y58">
        <v>2024</v>
      </c>
      <c r="Z58" t="str">
        <f>TEXT(Table1[[#This Row],[Order Date]],"MMM")</f>
        <v>Jul</v>
      </c>
      <c r="AA58" s="5">
        <f>Table1[[#This Row],[Unit Price]]*Table1[[#This Row],[Quantity]]*(1-Table1[[#This Row],[Discount %]]/100)</f>
        <v>3401.1900000000005</v>
      </c>
      <c r="AB58" s="5">
        <f>Table1[[#This Row],[Sales]]-Table1[[#This Row],[Cost]]</f>
        <v>1440.4300000000005</v>
      </c>
    </row>
    <row r="59" spans="1:28" x14ac:dyDescent="0.3">
      <c r="A59" t="s">
        <v>242</v>
      </c>
      <c r="B59" s="1">
        <v>45963</v>
      </c>
      <c r="C59" t="s">
        <v>243</v>
      </c>
      <c r="D59" t="s">
        <v>2841</v>
      </c>
      <c r="E59" s="1">
        <v>45967</v>
      </c>
      <c r="F59" t="s">
        <v>68</v>
      </c>
      <c r="G59" t="s">
        <v>66</v>
      </c>
      <c r="H59" t="s">
        <v>67</v>
      </c>
      <c r="I59" t="s">
        <v>2619</v>
      </c>
      <c r="J59" t="s">
        <v>2687</v>
      </c>
      <c r="K59" t="s">
        <v>25</v>
      </c>
      <c r="L59">
        <v>24</v>
      </c>
      <c r="M59">
        <v>5</v>
      </c>
      <c r="N59">
        <v>15</v>
      </c>
      <c r="O59" t="s">
        <v>244</v>
      </c>
      <c r="P59" t="s">
        <v>75</v>
      </c>
      <c r="Q59" t="s">
        <v>117</v>
      </c>
      <c r="R59" t="s">
        <v>32</v>
      </c>
      <c r="S59" t="s">
        <v>69</v>
      </c>
      <c r="T59">
        <v>2</v>
      </c>
      <c r="U59" s="5">
        <v>824.13</v>
      </c>
      <c r="V59" s="5">
        <v>2047.39</v>
      </c>
      <c r="W59">
        <v>4</v>
      </c>
      <c r="X59" t="s">
        <v>94</v>
      </c>
      <c r="Y59">
        <v>2025</v>
      </c>
      <c r="Z59" t="str">
        <f>TEXT(Table1[[#This Row],[Order Date]],"MMM")</f>
        <v>Nov</v>
      </c>
      <c r="AA59" s="5">
        <f>Table1[[#This Row],[Unit Price]]*Table1[[#This Row],[Quantity]]*(1-Table1[[#This Row],[Discount %]]/100)</f>
        <v>3502.5524999999998</v>
      </c>
      <c r="AB59" s="5">
        <f>Table1[[#This Row],[Sales]]-Table1[[#This Row],[Cost]]</f>
        <v>1455.1624999999997</v>
      </c>
    </row>
    <row r="60" spans="1:28" x14ac:dyDescent="0.3">
      <c r="A60" t="s">
        <v>245</v>
      </c>
      <c r="B60" s="1">
        <v>46102</v>
      </c>
      <c r="C60" t="s">
        <v>246</v>
      </c>
      <c r="D60" t="s">
        <v>2842</v>
      </c>
      <c r="E60" s="1">
        <v>46103</v>
      </c>
      <c r="F60" t="s">
        <v>115</v>
      </c>
      <c r="G60" t="s">
        <v>66</v>
      </c>
      <c r="H60" t="s">
        <v>114</v>
      </c>
      <c r="I60" t="s">
        <v>2631</v>
      </c>
      <c r="J60" t="s">
        <v>2639</v>
      </c>
      <c r="K60" t="s">
        <v>52</v>
      </c>
      <c r="L60">
        <v>42</v>
      </c>
      <c r="M60">
        <v>3</v>
      </c>
      <c r="N60">
        <v>25</v>
      </c>
      <c r="O60" t="s">
        <v>247</v>
      </c>
      <c r="P60" t="s">
        <v>44</v>
      </c>
      <c r="Q60" t="s">
        <v>58</v>
      </c>
      <c r="R60" t="s">
        <v>32</v>
      </c>
      <c r="S60" t="s">
        <v>116</v>
      </c>
      <c r="T60">
        <v>5</v>
      </c>
      <c r="U60" s="5">
        <v>640.98</v>
      </c>
      <c r="V60" s="5">
        <v>889.51</v>
      </c>
      <c r="W60">
        <v>1</v>
      </c>
      <c r="X60" t="s">
        <v>34</v>
      </c>
      <c r="Y60">
        <v>2026</v>
      </c>
      <c r="Z60" t="str">
        <f>TEXT(Table1[[#This Row],[Order Date]],"MMM")</f>
        <v>Mar</v>
      </c>
      <c r="AA60" s="5">
        <f>Table1[[#This Row],[Unit Price]]*Table1[[#This Row],[Quantity]]*(1-Table1[[#This Row],[Discount %]]/100)</f>
        <v>1442.2049999999999</v>
      </c>
      <c r="AB60" s="5">
        <f>Table1[[#This Row],[Sales]]-Table1[[#This Row],[Cost]]</f>
        <v>552.69499999999994</v>
      </c>
    </row>
    <row r="61" spans="1:28" x14ac:dyDescent="0.3">
      <c r="A61" t="s">
        <v>248</v>
      </c>
      <c r="B61" s="1">
        <v>45893</v>
      </c>
      <c r="C61" t="s">
        <v>249</v>
      </c>
      <c r="D61" t="s">
        <v>2843</v>
      </c>
      <c r="E61" s="1">
        <v>45900</v>
      </c>
      <c r="F61" t="s">
        <v>2617</v>
      </c>
      <c r="G61" t="s">
        <v>27</v>
      </c>
      <c r="H61" t="s">
        <v>28</v>
      </c>
      <c r="I61" t="s">
        <v>2628</v>
      </c>
      <c r="J61" t="s">
        <v>2641</v>
      </c>
      <c r="K61" t="s">
        <v>25</v>
      </c>
      <c r="L61">
        <v>55</v>
      </c>
      <c r="M61">
        <v>4</v>
      </c>
      <c r="N61">
        <v>5</v>
      </c>
      <c r="O61" t="s">
        <v>250</v>
      </c>
      <c r="P61" t="s">
        <v>33</v>
      </c>
      <c r="Q61" t="s">
        <v>117</v>
      </c>
      <c r="R61" t="s">
        <v>71</v>
      </c>
      <c r="S61" t="s">
        <v>30</v>
      </c>
      <c r="T61">
        <v>1</v>
      </c>
      <c r="U61" s="5">
        <v>237.82</v>
      </c>
      <c r="V61" s="5">
        <v>458.12</v>
      </c>
      <c r="W61">
        <v>7</v>
      </c>
      <c r="X61" t="s">
        <v>45</v>
      </c>
      <c r="Y61">
        <v>2025</v>
      </c>
      <c r="Z61" t="str">
        <f>TEXT(Table1[[#This Row],[Order Date]],"MMM")</f>
        <v>Aug</v>
      </c>
      <c r="AA61" s="5">
        <f>Table1[[#This Row],[Unit Price]]*Table1[[#This Row],[Quantity]]*(1-Table1[[#This Row],[Discount %]]/100)</f>
        <v>903.71599999999989</v>
      </c>
      <c r="AB61" s="5">
        <f>Table1[[#This Row],[Sales]]-Table1[[#This Row],[Cost]]</f>
        <v>445.59599999999989</v>
      </c>
    </row>
    <row r="62" spans="1:28" x14ac:dyDescent="0.3">
      <c r="A62" t="s">
        <v>251</v>
      </c>
      <c r="B62" s="1">
        <v>45999</v>
      </c>
      <c r="C62" t="s">
        <v>252</v>
      </c>
      <c r="D62" t="s">
        <v>2844</v>
      </c>
      <c r="E62" s="1">
        <v>46005</v>
      </c>
      <c r="F62" t="s">
        <v>128</v>
      </c>
      <c r="G62" t="s">
        <v>98</v>
      </c>
      <c r="H62" t="s">
        <v>127</v>
      </c>
      <c r="I62" t="s">
        <v>2657</v>
      </c>
      <c r="J62" t="s">
        <v>2696</v>
      </c>
      <c r="K62" t="s">
        <v>52</v>
      </c>
      <c r="L62">
        <v>30</v>
      </c>
      <c r="M62">
        <v>5</v>
      </c>
      <c r="N62">
        <v>10</v>
      </c>
      <c r="O62" t="s">
        <v>156</v>
      </c>
      <c r="P62" t="s">
        <v>75</v>
      </c>
      <c r="Q62" t="s">
        <v>70</v>
      </c>
      <c r="R62" t="s">
        <v>62</v>
      </c>
      <c r="S62" t="s">
        <v>129</v>
      </c>
      <c r="T62">
        <v>5</v>
      </c>
      <c r="U62" s="5">
        <v>23.83</v>
      </c>
      <c r="V62" s="5">
        <v>62.71</v>
      </c>
      <c r="W62">
        <v>6</v>
      </c>
      <c r="X62" t="s">
        <v>94</v>
      </c>
      <c r="Y62">
        <v>2025</v>
      </c>
      <c r="Z62" t="str">
        <f>TEXT(Table1[[#This Row],[Order Date]],"MMM")</f>
        <v>Dec</v>
      </c>
      <c r="AA62" s="5">
        <f>Table1[[#This Row],[Unit Price]]*Table1[[#This Row],[Quantity]]*(1-Table1[[#This Row],[Discount %]]/100)</f>
        <v>107.235</v>
      </c>
      <c r="AB62" s="5">
        <f>Table1[[#This Row],[Sales]]-Table1[[#This Row],[Cost]]</f>
        <v>44.524999999999999</v>
      </c>
    </row>
    <row r="63" spans="1:28" x14ac:dyDescent="0.3">
      <c r="A63" t="s">
        <v>253</v>
      </c>
      <c r="B63" s="1">
        <v>46184</v>
      </c>
      <c r="C63" t="s">
        <v>254</v>
      </c>
      <c r="D63" t="s">
        <v>2845</v>
      </c>
      <c r="E63" s="1">
        <v>46187</v>
      </c>
      <c r="F63" t="s">
        <v>122</v>
      </c>
      <c r="G63" t="s">
        <v>120</v>
      </c>
      <c r="H63" t="s">
        <v>121</v>
      </c>
      <c r="I63" t="s">
        <v>2625</v>
      </c>
      <c r="J63" t="s">
        <v>2705</v>
      </c>
      <c r="K63" t="s">
        <v>25</v>
      </c>
      <c r="L63">
        <v>61</v>
      </c>
      <c r="M63">
        <v>2</v>
      </c>
      <c r="N63">
        <v>10</v>
      </c>
      <c r="O63" t="s">
        <v>255</v>
      </c>
      <c r="P63" t="s">
        <v>33</v>
      </c>
      <c r="Q63" t="s">
        <v>117</v>
      </c>
      <c r="R63" t="s">
        <v>43</v>
      </c>
      <c r="S63" t="s">
        <v>123</v>
      </c>
      <c r="T63">
        <v>3</v>
      </c>
      <c r="U63" s="5">
        <v>109.76</v>
      </c>
      <c r="V63" s="5">
        <v>162.79</v>
      </c>
      <c r="W63">
        <v>3</v>
      </c>
      <c r="X63" t="s">
        <v>49</v>
      </c>
      <c r="Y63">
        <v>2026</v>
      </c>
      <c r="Z63" t="str">
        <f>TEXT(Table1[[#This Row],[Order Date]],"MMM")</f>
        <v>Jun</v>
      </c>
      <c r="AA63" s="5">
        <f>Table1[[#This Row],[Unit Price]]*Table1[[#This Row],[Quantity]]*(1-Table1[[#This Row],[Discount %]]/100)</f>
        <v>197.56800000000001</v>
      </c>
      <c r="AB63" s="5">
        <f>Table1[[#This Row],[Sales]]-Table1[[#This Row],[Cost]]</f>
        <v>34.77800000000002</v>
      </c>
    </row>
    <row r="64" spans="1:28" x14ac:dyDescent="0.3">
      <c r="A64" t="s">
        <v>256</v>
      </c>
      <c r="B64" s="1">
        <v>46068</v>
      </c>
      <c r="C64" t="s">
        <v>257</v>
      </c>
      <c r="D64" t="s">
        <v>2846</v>
      </c>
      <c r="E64" s="1">
        <v>46073</v>
      </c>
      <c r="F64" t="s">
        <v>56</v>
      </c>
      <c r="G64" t="s">
        <v>54</v>
      </c>
      <c r="H64" t="s">
        <v>55</v>
      </c>
      <c r="I64" t="s">
        <v>2671</v>
      </c>
      <c r="J64" t="s">
        <v>2706</v>
      </c>
      <c r="K64" t="s">
        <v>25</v>
      </c>
      <c r="L64">
        <v>46</v>
      </c>
      <c r="M64">
        <v>5</v>
      </c>
      <c r="N64">
        <v>10</v>
      </c>
      <c r="O64" t="s">
        <v>258</v>
      </c>
      <c r="P64" t="s">
        <v>44</v>
      </c>
      <c r="Q64" t="s">
        <v>117</v>
      </c>
      <c r="R64" t="s">
        <v>43</v>
      </c>
      <c r="S64" t="s">
        <v>57</v>
      </c>
      <c r="T64">
        <v>4</v>
      </c>
      <c r="U64" s="5">
        <v>741.69</v>
      </c>
      <c r="V64" s="5">
        <v>1860.02</v>
      </c>
      <c r="W64">
        <v>5</v>
      </c>
      <c r="X64" t="s">
        <v>34</v>
      </c>
      <c r="Y64">
        <v>2026</v>
      </c>
      <c r="Z64" t="str">
        <f>TEXT(Table1[[#This Row],[Order Date]],"MMM")</f>
        <v>Feb</v>
      </c>
      <c r="AA64" s="5">
        <f>Table1[[#This Row],[Unit Price]]*Table1[[#This Row],[Quantity]]*(1-Table1[[#This Row],[Discount %]]/100)</f>
        <v>3337.6050000000005</v>
      </c>
      <c r="AB64" s="5">
        <f>Table1[[#This Row],[Sales]]-Table1[[#This Row],[Cost]]</f>
        <v>1477.5850000000005</v>
      </c>
    </row>
    <row r="65" spans="1:28" x14ac:dyDescent="0.3">
      <c r="A65" t="s">
        <v>259</v>
      </c>
      <c r="B65" s="1">
        <v>45822</v>
      </c>
      <c r="C65" t="s">
        <v>260</v>
      </c>
      <c r="D65" t="s">
        <v>2847</v>
      </c>
      <c r="E65" s="1">
        <v>45823</v>
      </c>
      <c r="F65" t="s">
        <v>56</v>
      </c>
      <c r="G65" t="s">
        <v>54</v>
      </c>
      <c r="H65" t="s">
        <v>55</v>
      </c>
      <c r="I65" t="s">
        <v>2625</v>
      </c>
      <c r="J65" t="s">
        <v>2693</v>
      </c>
      <c r="K65" t="s">
        <v>52</v>
      </c>
      <c r="L65">
        <v>42</v>
      </c>
      <c r="M65">
        <v>3</v>
      </c>
      <c r="N65">
        <v>20</v>
      </c>
      <c r="O65" t="s">
        <v>261</v>
      </c>
      <c r="P65" t="s">
        <v>44</v>
      </c>
      <c r="Q65" t="s">
        <v>31</v>
      </c>
      <c r="R65" t="s">
        <v>62</v>
      </c>
      <c r="S65" t="s">
        <v>57</v>
      </c>
      <c r="T65">
        <v>1</v>
      </c>
      <c r="U65" s="5">
        <v>64.400000000000006</v>
      </c>
      <c r="V65" s="5">
        <v>115.71</v>
      </c>
      <c r="W65">
        <v>1</v>
      </c>
      <c r="X65" t="s">
        <v>49</v>
      </c>
      <c r="Y65">
        <v>2025</v>
      </c>
      <c r="Z65" t="str">
        <f>TEXT(Table1[[#This Row],[Order Date]],"MMM")</f>
        <v>Jun</v>
      </c>
      <c r="AA65" s="5">
        <f>Table1[[#This Row],[Unit Price]]*Table1[[#This Row],[Quantity]]*(1-Table1[[#This Row],[Discount %]]/100)</f>
        <v>154.56000000000003</v>
      </c>
      <c r="AB65" s="5">
        <f>Table1[[#This Row],[Sales]]-Table1[[#This Row],[Cost]]</f>
        <v>38.850000000000037</v>
      </c>
    </row>
    <row r="66" spans="1:28" x14ac:dyDescent="0.3">
      <c r="A66" t="s">
        <v>262</v>
      </c>
      <c r="B66" s="1">
        <v>45723</v>
      </c>
      <c r="C66" t="s">
        <v>263</v>
      </c>
      <c r="D66" t="s">
        <v>2848</v>
      </c>
      <c r="E66" s="1">
        <v>45729</v>
      </c>
      <c r="F66" t="s">
        <v>100</v>
      </c>
      <c r="G66" t="s">
        <v>98</v>
      </c>
      <c r="H66" t="s">
        <v>99</v>
      </c>
      <c r="I66" t="s">
        <v>2664</v>
      </c>
      <c r="J66" t="s">
        <v>2704</v>
      </c>
      <c r="K66" t="s">
        <v>25</v>
      </c>
      <c r="L66">
        <v>51</v>
      </c>
      <c r="M66">
        <v>4</v>
      </c>
      <c r="N66">
        <v>5</v>
      </c>
      <c r="O66" t="s">
        <v>264</v>
      </c>
      <c r="P66" t="s">
        <v>33</v>
      </c>
      <c r="Q66" t="s">
        <v>42</v>
      </c>
      <c r="R66" t="s">
        <v>71</v>
      </c>
      <c r="S66" t="s">
        <v>101</v>
      </c>
      <c r="T66">
        <v>5</v>
      </c>
      <c r="U66" s="5">
        <v>889.73</v>
      </c>
      <c r="V66" s="5">
        <v>2824.63</v>
      </c>
      <c r="W66">
        <v>6</v>
      </c>
      <c r="X66" t="s">
        <v>34</v>
      </c>
      <c r="Y66">
        <v>2025</v>
      </c>
      <c r="Z66" t="str">
        <f>TEXT(Table1[[#This Row],[Order Date]],"MMM")</f>
        <v>Mar</v>
      </c>
      <c r="AA66" s="5">
        <f>Table1[[#This Row],[Unit Price]]*Table1[[#This Row],[Quantity]]*(1-Table1[[#This Row],[Discount %]]/100)</f>
        <v>3380.9739999999997</v>
      </c>
      <c r="AB66" s="5">
        <f>Table1[[#This Row],[Sales]]-Table1[[#This Row],[Cost]]</f>
        <v>556.3439999999996</v>
      </c>
    </row>
    <row r="67" spans="1:28" x14ac:dyDescent="0.3">
      <c r="A67" t="s">
        <v>265</v>
      </c>
      <c r="B67" s="1">
        <v>45504</v>
      </c>
      <c r="C67" t="s">
        <v>266</v>
      </c>
      <c r="D67" t="s">
        <v>2849</v>
      </c>
      <c r="E67" s="1">
        <v>45509</v>
      </c>
      <c r="F67" t="s">
        <v>100</v>
      </c>
      <c r="G67" t="s">
        <v>98</v>
      </c>
      <c r="H67" t="s">
        <v>99</v>
      </c>
      <c r="I67" t="s">
        <v>2619</v>
      </c>
      <c r="J67" t="s">
        <v>2697</v>
      </c>
      <c r="K67" t="s">
        <v>52</v>
      </c>
      <c r="L67">
        <v>59</v>
      </c>
      <c r="M67">
        <v>1</v>
      </c>
      <c r="N67">
        <v>20</v>
      </c>
      <c r="O67" t="s">
        <v>267</v>
      </c>
      <c r="P67" t="s">
        <v>33</v>
      </c>
      <c r="Q67" t="s">
        <v>58</v>
      </c>
      <c r="R67" t="s">
        <v>43</v>
      </c>
      <c r="S67" t="s">
        <v>101</v>
      </c>
      <c r="T67">
        <v>5</v>
      </c>
      <c r="U67" s="5">
        <v>304.26</v>
      </c>
      <c r="V67" s="5">
        <v>133.43</v>
      </c>
      <c r="W67">
        <v>5</v>
      </c>
      <c r="X67" t="s">
        <v>45</v>
      </c>
      <c r="Y67">
        <v>2024</v>
      </c>
      <c r="Z67" t="str">
        <f>TEXT(Table1[[#This Row],[Order Date]],"MMM")</f>
        <v>Jul</v>
      </c>
      <c r="AA67" s="5">
        <f>Table1[[#This Row],[Unit Price]]*Table1[[#This Row],[Quantity]]*(1-Table1[[#This Row],[Discount %]]/100)</f>
        <v>243.40800000000002</v>
      </c>
      <c r="AB67" s="5">
        <f>Table1[[#This Row],[Sales]]-Table1[[#This Row],[Cost]]</f>
        <v>109.97800000000001</v>
      </c>
    </row>
    <row r="68" spans="1:28" x14ac:dyDescent="0.3">
      <c r="A68" t="s">
        <v>268</v>
      </c>
      <c r="B68" s="1">
        <v>45539</v>
      </c>
      <c r="C68" t="s">
        <v>269</v>
      </c>
      <c r="D68" t="s">
        <v>2850</v>
      </c>
      <c r="E68" s="1">
        <v>45540</v>
      </c>
      <c r="F68" t="s">
        <v>2617</v>
      </c>
      <c r="G68" t="s">
        <v>27</v>
      </c>
      <c r="H68" t="s">
        <v>28</v>
      </c>
      <c r="I68" t="s">
        <v>2675</v>
      </c>
      <c r="J68" t="s">
        <v>2676</v>
      </c>
      <c r="K68" t="s">
        <v>52</v>
      </c>
      <c r="L68">
        <v>48</v>
      </c>
      <c r="M68">
        <v>4</v>
      </c>
      <c r="N68">
        <v>30</v>
      </c>
      <c r="O68" t="s">
        <v>270</v>
      </c>
      <c r="P68" t="s">
        <v>44</v>
      </c>
      <c r="Q68" t="s">
        <v>58</v>
      </c>
      <c r="R68" t="s">
        <v>71</v>
      </c>
      <c r="S68" t="s">
        <v>30</v>
      </c>
      <c r="T68">
        <v>3</v>
      </c>
      <c r="U68" s="5">
        <v>181.8</v>
      </c>
      <c r="V68" s="5">
        <v>280.31</v>
      </c>
      <c r="W68">
        <v>1</v>
      </c>
      <c r="X68" t="s">
        <v>45</v>
      </c>
      <c r="Y68">
        <v>2024</v>
      </c>
      <c r="Z68" t="str">
        <f>TEXT(Table1[[#This Row],[Order Date]],"MMM")</f>
        <v>Sep</v>
      </c>
      <c r="AA68" s="5">
        <f>Table1[[#This Row],[Unit Price]]*Table1[[#This Row],[Quantity]]*(1-Table1[[#This Row],[Discount %]]/100)</f>
        <v>509.04</v>
      </c>
      <c r="AB68" s="5">
        <f>Table1[[#This Row],[Sales]]-Table1[[#This Row],[Cost]]</f>
        <v>228.73000000000002</v>
      </c>
    </row>
    <row r="69" spans="1:28" x14ac:dyDescent="0.3">
      <c r="A69" t="s">
        <v>271</v>
      </c>
      <c r="B69" s="1">
        <v>46173</v>
      </c>
      <c r="C69" t="s">
        <v>272</v>
      </c>
      <c r="D69" t="s">
        <v>2851</v>
      </c>
      <c r="E69" s="1">
        <v>46174</v>
      </c>
      <c r="F69" t="s">
        <v>68</v>
      </c>
      <c r="G69" t="s">
        <v>66</v>
      </c>
      <c r="H69" t="s">
        <v>67</v>
      </c>
      <c r="I69" t="s">
        <v>2675</v>
      </c>
      <c r="J69" t="s">
        <v>2676</v>
      </c>
      <c r="K69" t="s">
        <v>52</v>
      </c>
      <c r="L69">
        <v>29</v>
      </c>
      <c r="M69">
        <v>2</v>
      </c>
      <c r="N69">
        <v>5</v>
      </c>
      <c r="O69" t="s">
        <v>273</v>
      </c>
      <c r="P69" t="s">
        <v>33</v>
      </c>
      <c r="Q69" t="s">
        <v>42</v>
      </c>
      <c r="R69" t="s">
        <v>32</v>
      </c>
      <c r="S69" t="s">
        <v>69</v>
      </c>
      <c r="T69">
        <v>1</v>
      </c>
      <c r="U69" s="5">
        <v>755.06</v>
      </c>
      <c r="V69" s="5">
        <v>935.11</v>
      </c>
      <c r="W69">
        <v>1</v>
      </c>
      <c r="X69" t="s">
        <v>49</v>
      </c>
      <c r="Y69">
        <v>2026</v>
      </c>
      <c r="Z69" t="str">
        <f>TEXT(Table1[[#This Row],[Order Date]],"MMM")</f>
        <v>May</v>
      </c>
      <c r="AA69" s="5">
        <f>Table1[[#This Row],[Unit Price]]*Table1[[#This Row],[Quantity]]*(1-Table1[[#This Row],[Discount %]]/100)</f>
        <v>1434.6139999999998</v>
      </c>
      <c r="AB69" s="5">
        <f>Table1[[#This Row],[Sales]]-Table1[[#This Row],[Cost]]</f>
        <v>499.50399999999979</v>
      </c>
    </row>
    <row r="70" spans="1:28" x14ac:dyDescent="0.3">
      <c r="A70" t="s">
        <v>274</v>
      </c>
      <c r="B70" s="1">
        <v>45668</v>
      </c>
      <c r="C70" t="s">
        <v>275</v>
      </c>
      <c r="D70" t="s">
        <v>2852</v>
      </c>
      <c r="E70" s="1">
        <v>45670</v>
      </c>
      <c r="F70" t="s">
        <v>100</v>
      </c>
      <c r="G70" t="s">
        <v>98</v>
      </c>
      <c r="H70" t="s">
        <v>99</v>
      </c>
      <c r="I70" t="s">
        <v>2621</v>
      </c>
      <c r="J70" t="s">
        <v>2663</v>
      </c>
      <c r="K70" t="s">
        <v>25</v>
      </c>
      <c r="L70">
        <v>27</v>
      </c>
      <c r="M70">
        <v>2</v>
      </c>
      <c r="N70">
        <v>25</v>
      </c>
      <c r="O70" t="s">
        <v>276</v>
      </c>
      <c r="P70" t="s">
        <v>44</v>
      </c>
      <c r="Q70" t="s">
        <v>117</v>
      </c>
      <c r="R70" t="s">
        <v>43</v>
      </c>
      <c r="S70" t="s">
        <v>101</v>
      </c>
      <c r="T70">
        <v>3</v>
      </c>
      <c r="U70" s="5">
        <v>523.73</v>
      </c>
      <c r="V70" s="5">
        <v>406.74</v>
      </c>
      <c r="W70">
        <v>2</v>
      </c>
      <c r="X70" t="s">
        <v>34</v>
      </c>
      <c r="Y70">
        <v>2025</v>
      </c>
      <c r="Z70" t="str">
        <f>TEXT(Table1[[#This Row],[Order Date]],"MMM")</f>
        <v>Jan</v>
      </c>
      <c r="AA70" s="5">
        <f>Table1[[#This Row],[Unit Price]]*Table1[[#This Row],[Quantity]]*(1-Table1[[#This Row],[Discount %]]/100)</f>
        <v>785.59500000000003</v>
      </c>
      <c r="AB70" s="5">
        <f>Table1[[#This Row],[Sales]]-Table1[[#This Row],[Cost]]</f>
        <v>378.85500000000002</v>
      </c>
    </row>
    <row r="71" spans="1:28" x14ac:dyDescent="0.3">
      <c r="A71" t="s">
        <v>277</v>
      </c>
      <c r="B71" s="1">
        <v>45470</v>
      </c>
      <c r="C71" t="s">
        <v>278</v>
      </c>
      <c r="D71" t="s">
        <v>2853</v>
      </c>
      <c r="E71" s="1">
        <v>45477</v>
      </c>
      <c r="F71" t="s">
        <v>2617</v>
      </c>
      <c r="G71" t="s">
        <v>27</v>
      </c>
      <c r="H71" t="s">
        <v>28</v>
      </c>
      <c r="I71" t="s">
        <v>2664</v>
      </c>
      <c r="J71" t="s">
        <v>2678</v>
      </c>
      <c r="K71" t="s">
        <v>25</v>
      </c>
      <c r="L71">
        <v>47</v>
      </c>
      <c r="M71">
        <v>5</v>
      </c>
      <c r="N71">
        <v>25</v>
      </c>
      <c r="O71" t="s">
        <v>279</v>
      </c>
      <c r="P71" t="s">
        <v>44</v>
      </c>
      <c r="Q71" t="s">
        <v>70</v>
      </c>
      <c r="R71" t="s">
        <v>43</v>
      </c>
      <c r="S71" t="s">
        <v>30</v>
      </c>
      <c r="T71">
        <v>5</v>
      </c>
      <c r="U71" s="5">
        <v>574.62</v>
      </c>
      <c r="V71" s="5">
        <v>1410.73</v>
      </c>
      <c r="W71">
        <v>7</v>
      </c>
      <c r="X71" t="s">
        <v>49</v>
      </c>
      <c r="Y71">
        <v>2024</v>
      </c>
      <c r="Z71" t="str">
        <f>TEXT(Table1[[#This Row],[Order Date]],"MMM")</f>
        <v>Jun</v>
      </c>
      <c r="AA71" s="5">
        <f>Table1[[#This Row],[Unit Price]]*Table1[[#This Row],[Quantity]]*(1-Table1[[#This Row],[Discount %]]/100)</f>
        <v>2154.8249999999998</v>
      </c>
      <c r="AB71" s="5">
        <f>Table1[[#This Row],[Sales]]-Table1[[#This Row],[Cost]]</f>
        <v>744.0949999999998</v>
      </c>
    </row>
    <row r="72" spans="1:28" x14ac:dyDescent="0.3">
      <c r="A72" t="s">
        <v>280</v>
      </c>
      <c r="B72" s="1">
        <v>46061</v>
      </c>
      <c r="C72" t="s">
        <v>281</v>
      </c>
      <c r="D72" t="s">
        <v>2854</v>
      </c>
      <c r="E72" s="1">
        <v>46067</v>
      </c>
      <c r="F72" t="s">
        <v>56</v>
      </c>
      <c r="G72" t="s">
        <v>54</v>
      </c>
      <c r="H72" t="s">
        <v>55</v>
      </c>
      <c r="I72" t="s">
        <v>2625</v>
      </c>
      <c r="J72" t="s">
        <v>2693</v>
      </c>
      <c r="K72" t="s">
        <v>52</v>
      </c>
      <c r="L72">
        <v>24</v>
      </c>
      <c r="M72">
        <v>3</v>
      </c>
      <c r="N72">
        <v>30</v>
      </c>
      <c r="O72" t="s">
        <v>282</v>
      </c>
      <c r="P72" t="s">
        <v>75</v>
      </c>
      <c r="Q72" t="s">
        <v>70</v>
      </c>
      <c r="R72" t="s">
        <v>62</v>
      </c>
      <c r="S72" t="s">
        <v>57</v>
      </c>
      <c r="T72">
        <v>3</v>
      </c>
      <c r="U72" s="5">
        <v>902.38</v>
      </c>
      <c r="V72" s="5">
        <v>1432.65</v>
      </c>
      <c r="W72">
        <v>6</v>
      </c>
      <c r="X72" t="s">
        <v>34</v>
      </c>
      <c r="Y72">
        <v>2026</v>
      </c>
      <c r="Z72" t="str">
        <f>TEXT(Table1[[#This Row],[Order Date]],"MMM")</f>
        <v>Feb</v>
      </c>
      <c r="AA72" s="5">
        <f>Table1[[#This Row],[Unit Price]]*Table1[[#This Row],[Quantity]]*(1-Table1[[#This Row],[Discount %]]/100)</f>
        <v>1894.9979999999998</v>
      </c>
      <c r="AB72" s="5">
        <f>Table1[[#This Row],[Sales]]-Table1[[#This Row],[Cost]]</f>
        <v>462.34799999999973</v>
      </c>
    </row>
    <row r="73" spans="1:28" x14ac:dyDescent="0.3">
      <c r="A73" t="s">
        <v>283</v>
      </c>
      <c r="B73" s="1">
        <v>45702</v>
      </c>
      <c r="C73" t="s">
        <v>284</v>
      </c>
      <c r="D73" t="s">
        <v>2855</v>
      </c>
      <c r="E73" s="1">
        <v>45703</v>
      </c>
      <c r="F73" t="s">
        <v>100</v>
      </c>
      <c r="G73" t="s">
        <v>98</v>
      </c>
      <c r="H73" t="s">
        <v>99</v>
      </c>
      <c r="I73" t="s">
        <v>2648</v>
      </c>
      <c r="J73" t="s">
        <v>2649</v>
      </c>
      <c r="K73" t="s">
        <v>25</v>
      </c>
      <c r="L73">
        <v>25</v>
      </c>
      <c r="M73">
        <v>2</v>
      </c>
      <c r="N73">
        <v>0</v>
      </c>
      <c r="O73" t="s">
        <v>285</v>
      </c>
      <c r="P73" t="s">
        <v>75</v>
      </c>
      <c r="Q73" t="s">
        <v>117</v>
      </c>
      <c r="R73" t="s">
        <v>32</v>
      </c>
      <c r="S73" t="s">
        <v>101</v>
      </c>
      <c r="T73">
        <v>4</v>
      </c>
      <c r="U73" s="5">
        <v>732.79</v>
      </c>
      <c r="V73" s="5">
        <v>1108.8499999999999</v>
      </c>
      <c r="W73">
        <v>1</v>
      </c>
      <c r="X73" t="s">
        <v>34</v>
      </c>
      <c r="Y73">
        <v>2025</v>
      </c>
      <c r="Z73" t="str">
        <f>TEXT(Table1[[#This Row],[Order Date]],"MMM")</f>
        <v>Feb</v>
      </c>
      <c r="AA73" s="5">
        <f>Table1[[#This Row],[Unit Price]]*Table1[[#This Row],[Quantity]]*(1-Table1[[#This Row],[Discount %]]/100)</f>
        <v>1465.58</v>
      </c>
      <c r="AB73" s="5">
        <f>Table1[[#This Row],[Sales]]-Table1[[#This Row],[Cost]]</f>
        <v>356.73</v>
      </c>
    </row>
    <row r="74" spans="1:28" x14ac:dyDescent="0.3">
      <c r="A74" t="s">
        <v>286</v>
      </c>
      <c r="B74" s="1">
        <v>45921</v>
      </c>
      <c r="C74" t="s">
        <v>287</v>
      </c>
      <c r="D74" t="s">
        <v>2856</v>
      </c>
      <c r="E74" s="1">
        <v>45923</v>
      </c>
      <c r="F74" t="s">
        <v>122</v>
      </c>
      <c r="G74" t="s">
        <v>120</v>
      </c>
      <c r="H74" t="s">
        <v>121</v>
      </c>
      <c r="I74" t="s">
        <v>2631</v>
      </c>
      <c r="J74" t="s">
        <v>2673</v>
      </c>
      <c r="K74" t="s">
        <v>25</v>
      </c>
      <c r="L74">
        <v>26</v>
      </c>
      <c r="M74">
        <v>2</v>
      </c>
      <c r="N74">
        <v>30</v>
      </c>
      <c r="O74" t="s">
        <v>288</v>
      </c>
      <c r="P74" t="s">
        <v>44</v>
      </c>
      <c r="Q74" t="s">
        <v>31</v>
      </c>
      <c r="R74" t="s">
        <v>32</v>
      </c>
      <c r="S74" t="s">
        <v>123</v>
      </c>
      <c r="T74">
        <v>5</v>
      </c>
      <c r="U74" s="5">
        <v>63.95</v>
      </c>
      <c r="V74" s="5">
        <v>72.09</v>
      </c>
      <c r="W74">
        <v>2</v>
      </c>
      <c r="X74" t="s">
        <v>45</v>
      </c>
      <c r="Y74">
        <v>2025</v>
      </c>
      <c r="Z74" t="str">
        <f>TEXT(Table1[[#This Row],[Order Date]],"MMM")</f>
        <v>Sep</v>
      </c>
      <c r="AA74" s="5">
        <f>Table1[[#This Row],[Unit Price]]*Table1[[#This Row],[Quantity]]*(1-Table1[[#This Row],[Discount %]]/100)</f>
        <v>89.53</v>
      </c>
      <c r="AB74" s="5">
        <f>Table1[[#This Row],[Sales]]-Table1[[#This Row],[Cost]]</f>
        <v>17.439999999999998</v>
      </c>
    </row>
    <row r="75" spans="1:28" x14ac:dyDescent="0.3">
      <c r="A75" t="s">
        <v>289</v>
      </c>
      <c r="B75" s="1">
        <v>45754</v>
      </c>
      <c r="C75" t="s">
        <v>290</v>
      </c>
      <c r="D75" t="s">
        <v>2857</v>
      </c>
      <c r="E75" s="1">
        <v>45757</v>
      </c>
      <c r="F75" t="s">
        <v>140</v>
      </c>
      <c r="G75" t="s">
        <v>38</v>
      </c>
      <c r="H75" t="s">
        <v>139</v>
      </c>
      <c r="I75" t="s">
        <v>2627</v>
      </c>
      <c r="J75" t="s">
        <v>2707</v>
      </c>
      <c r="K75" t="s">
        <v>25</v>
      </c>
      <c r="L75">
        <v>45</v>
      </c>
      <c r="M75">
        <v>3</v>
      </c>
      <c r="N75">
        <v>20</v>
      </c>
      <c r="O75" t="s">
        <v>291</v>
      </c>
      <c r="P75" t="s">
        <v>44</v>
      </c>
      <c r="Q75" t="s">
        <v>117</v>
      </c>
      <c r="R75" t="s">
        <v>32</v>
      </c>
      <c r="S75" t="s">
        <v>141</v>
      </c>
      <c r="T75">
        <v>5</v>
      </c>
      <c r="U75" s="5">
        <v>871.25</v>
      </c>
      <c r="V75" s="5">
        <v>1123.8499999999999</v>
      </c>
      <c r="W75">
        <v>3</v>
      </c>
      <c r="X75" t="s">
        <v>49</v>
      </c>
      <c r="Y75">
        <v>2025</v>
      </c>
      <c r="Z75" t="str">
        <f>TEXT(Table1[[#This Row],[Order Date]],"MMM")</f>
        <v>Apr</v>
      </c>
      <c r="AA75" s="5">
        <f>Table1[[#This Row],[Unit Price]]*Table1[[#This Row],[Quantity]]*(1-Table1[[#This Row],[Discount %]]/100)</f>
        <v>2091</v>
      </c>
      <c r="AB75" s="5">
        <f>Table1[[#This Row],[Sales]]-Table1[[#This Row],[Cost]]</f>
        <v>967.15000000000009</v>
      </c>
    </row>
    <row r="76" spans="1:28" x14ac:dyDescent="0.3">
      <c r="A76" t="s">
        <v>292</v>
      </c>
      <c r="B76" s="1">
        <v>45839</v>
      </c>
      <c r="C76" t="s">
        <v>112</v>
      </c>
      <c r="D76" t="s">
        <v>2858</v>
      </c>
      <c r="E76" s="1">
        <v>45840</v>
      </c>
      <c r="F76" t="s">
        <v>68</v>
      </c>
      <c r="G76" t="s">
        <v>66</v>
      </c>
      <c r="H76" t="s">
        <v>67</v>
      </c>
      <c r="I76" t="s">
        <v>2621</v>
      </c>
      <c r="J76" t="s">
        <v>2663</v>
      </c>
      <c r="K76" t="s">
        <v>52</v>
      </c>
      <c r="L76">
        <v>22</v>
      </c>
      <c r="M76">
        <v>3</v>
      </c>
      <c r="N76">
        <v>30</v>
      </c>
      <c r="O76" t="s">
        <v>293</v>
      </c>
      <c r="P76" t="s">
        <v>33</v>
      </c>
      <c r="Q76" t="s">
        <v>117</v>
      </c>
      <c r="R76" t="s">
        <v>32</v>
      </c>
      <c r="S76" t="s">
        <v>69</v>
      </c>
      <c r="T76">
        <v>3</v>
      </c>
      <c r="U76" s="5">
        <v>507.82</v>
      </c>
      <c r="V76" s="5">
        <v>624.64</v>
      </c>
      <c r="W76">
        <v>1</v>
      </c>
      <c r="X76" t="s">
        <v>45</v>
      </c>
      <c r="Y76">
        <v>2025</v>
      </c>
      <c r="Z76" t="str">
        <f>TEXT(Table1[[#This Row],[Order Date]],"MMM")</f>
        <v>Jul</v>
      </c>
      <c r="AA76" s="5">
        <f>Table1[[#This Row],[Unit Price]]*Table1[[#This Row],[Quantity]]*(1-Table1[[#This Row],[Discount %]]/100)</f>
        <v>1066.422</v>
      </c>
      <c r="AB76" s="5">
        <f>Table1[[#This Row],[Sales]]-Table1[[#This Row],[Cost]]</f>
        <v>441.78200000000004</v>
      </c>
    </row>
    <row r="77" spans="1:28" x14ac:dyDescent="0.3">
      <c r="A77" t="s">
        <v>294</v>
      </c>
      <c r="B77" s="1">
        <v>45815</v>
      </c>
      <c r="C77" t="s">
        <v>295</v>
      </c>
      <c r="D77" t="s">
        <v>2859</v>
      </c>
      <c r="E77" s="1">
        <v>45816</v>
      </c>
      <c r="F77" t="s">
        <v>128</v>
      </c>
      <c r="G77" t="s">
        <v>98</v>
      </c>
      <c r="H77" t="s">
        <v>127</v>
      </c>
      <c r="I77" t="s">
        <v>2621</v>
      </c>
      <c r="J77" t="s">
        <v>2663</v>
      </c>
      <c r="K77" t="s">
        <v>25</v>
      </c>
      <c r="L77">
        <v>45</v>
      </c>
      <c r="M77">
        <v>3</v>
      </c>
      <c r="N77">
        <v>0</v>
      </c>
      <c r="O77" t="s">
        <v>296</v>
      </c>
      <c r="P77" t="s">
        <v>44</v>
      </c>
      <c r="Q77" t="s">
        <v>31</v>
      </c>
      <c r="R77" t="s">
        <v>32</v>
      </c>
      <c r="S77" t="s">
        <v>129</v>
      </c>
      <c r="T77">
        <v>1</v>
      </c>
      <c r="U77" s="5">
        <v>322.85000000000002</v>
      </c>
      <c r="V77" s="5">
        <v>614</v>
      </c>
      <c r="W77">
        <v>1</v>
      </c>
      <c r="X77" t="s">
        <v>49</v>
      </c>
      <c r="Y77">
        <v>2025</v>
      </c>
      <c r="Z77" t="str">
        <f>TEXT(Table1[[#This Row],[Order Date]],"MMM")</f>
        <v>Jun</v>
      </c>
      <c r="AA77" s="5">
        <f>Table1[[#This Row],[Unit Price]]*Table1[[#This Row],[Quantity]]*(1-Table1[[#This Row],[Discount %]]/100)</f>
        <v>968.55000000000007</v>
      </c>
      <c r="AB77" s="5">
        <f>Table1[[#This Row],[Sales]]-Table1[[#This Row],[Cost]]</f>
        <v>354.55000000000007</v>
      </c>
    </row>
    <row r="78" spans="1:28" x14ac:dyDescent="0.3">
      <c r="A78" t="s">
        <v>297</v>
      </c>
      <c r="B78" s="1">
        <v>45772</v>
      </c>
      <c r="C78" t="s">
        <v>298</v>
      </c>
      <c r="D78" t="s">
        <v>2860</v>
      </c>
      <c r="E78" s="1">
        <v>45773</v>
      </c>
      <c r="F78" t="s">
        <v>140</v>
      </c>
      <c r="G78" t="s">
        <v>38</v>
      </c>
      <c r="H78" t="s">
        <v>139</v>
      </c>
      <c r="I78" t="s">
        <v>2621</v>
      </c>
      <c r="J78" t="s">
        <v>2647</v>
      </c>
      <c r="K78" t="s">
        <v>25</v>
      </c>
      <c r="L78">
        <v>45</v>
      </c>
      <c r="M78">
        <v>3</v>
      </c>
      <c r="N78">
        <v>10</v>
      </c>
      <c r="O78" t="s">
        <v>299</v>
      </c>
      <c r="P78" t="s">
        <v>75</v>
      </c>
      <c r="Q78" t="s">
        <v>58</v>
      </c>
      <c r="R78" t="s">
        <v>62</v>
      </c>
      <c r="S78" t="s">
        <v>141</v>
      </c>
      <c r="T78">
        <v>4</v>
      </c>
      <c r="U78" s="5">
        <v>76.64</v>
      </c>
      <c r="V78" s="5">
        <v>146.13999999999999</v>
      </c>
      <c r="W78">
        <v>1</v>
      </c>
      <c r="X78" t="s">
        <v>49</v>
      </c>
      <c r="Y78">
        <v>2025</v>
      </c>
      <c r="Z78" t="str">
        <f>TEXT(Table1[[#This Row],[Order Date]],"MMM")</f>
        <v>Apr</v>
      </c>
      <c r="AA78" s="5">
        <f>Table1[[#This Row],[Unit Price]]*Table1[[#This Row],[Quantity]]*(1-Table1[[#This Row],[Discount %]]/100)</f>
        <v>206.92800000000003</v>
      </c>
      <c r="AB78" s="5">
        <f>Table1[[#This Row],[Sales]]-Table1[[#This Row],[Cost]]</f>
        <v>60.788000000000039</v>
      </c>
    </row>
    <row r="79" spans="1:28" x14ac:dyDescent="0.3">
      <c r="A79" t="s">
        <v>300</v>
      </c>
      <c r="B79" s="1">
        <v>45380</v>
      </c>
      <c r="C79" t="s">
        <v>301</v>
      </c>
      <c r="D79" t="s">
        <v>2861</v>
      </c>
      <c r="E79" s="1">
        <v>45386</v>
      </c>
      <c r="F79" t="s">
        <v>100</v>
      </c>
      <c r="G79" t="s">
        <v>98</v>
      </c>
      <c r="H79" t="s">
        <v>99</v>
      </c>
      <c r="I79" t="s">
        <v>2635</v>
      </c>
      <c r="J79" t="s">
        <v>2636</v>
      </c>
      <c r="K79" t="s">
        <v>52</v>
      </c>
      <c r="L79">
        <v>56</v>
      </c>
      <c r="M79">
        <v>4</v>
      </c>
      <c r="N79">
        <v>30</v>
      </c>
      <c r="O79" t="s">
        <v>302</v>
      </c>
      <c r="P79" t="s">
        <v>33</v>
      </c>
      <c r="Q79" t="s">
        <v>58</v>
      </c>
      <c r="R79" t="s">
        <v>62</v>
      </c>
      <c r="S79" t="s">
        <v>101</v>
      </c>
      <c r="T79">
        <v>5</v>
      </c>
      <c r="U79" s="5">
        <v>525.62</v>
      </c>
      <c r="V79" s="5">
        <v>1075.27</v>
      </c>
      <c r="W79">
        <v>6</v>
      </c>
      <c r="X79" t="s">
        <v>34</v>
      </c>
      <c r="Y79">
        <v>2024</v>
      </c>
      <c r="Z79" t="str">
        <f>TEXT(Table1[[#This Row],[Order Date]],"MMM")</f>
        <v>Mar</v>
      </c>
      <c r="AA79" s="5">
        <f>Table1[[#This Row],[Unit Price]]*Table1[[#This Row],[Quantity]]*(1-Table1[[#This Row],[Discount %]]/100)</f>
        <v>1471.7359999999999</v>
      </c>
      <c r="AB79" s="5">
        <f>Table1[[#This Row],[Sales]]-Table1[[#This Row],[Cost]]</f>
        <v>396.46599999999989</v>
      </c>
    </row>
    <row r="80" spans="1:28" x14ac:dyDescent="0.3">
      <c r="A80" t="s">
        <v>303</v>
      </c>
      <c r="B80" s="1">
        <v>46011</v>
      </c>
      <c r="C80" t="s">
        <v>304</v>
      </c>
      <c r="D80" t="s">
        <v>2862</v>
      </c>
      <c r="E80" s="1">
        <v>46013</v>
      </c>
      <c r="F80" t="s">
        <v>68</v>
      </c>
      <c r="G80" t="s">
        <v>66</v>
      </c>
      <c r="H80" t="s">
        <v>67</v>
      </c>
      <c r="I80" t="s">
        <v>2618</v>
      </c>
      <c r="J80" t="s">
        <v>2701</v>
      </c>
      <c r="K80" t="s">
        <v>52</v>
      </c>
      <c r="L80">
        <v>60</v>
      </c>
      <c r="M80">
        <v>3</v>
      </c>
      <c r="N80">
        <v>5</v>
      </c>
      <c r="O80" t="s">
        <v>305</v>
      </c>
      <c r="P80" t="s">
        <v>33</v>
      </c>
      <c r="Q80" t="s">
        <v>117</v>
      </c>
      <c r="R80" t="s">
        <v>43</v>
      </c>
      <c r="S80" t="s">
        <v>69</v>
      </c>
      <c r="T80">
        <v>4</v>
      </c>
      <c r="U80" s="5">
        <v>252.58</v>
      </c>
      <c r="V80" s="5">
        <v>451.58</v>
      </c>
      <c r="W80">
        <v>2</v>
      </c>
      <c r="X80" t="s">
        <v>94</v>
      </c>
      <c r="Y80">
        <v>2025</v>
      </c>
      <c r="Z80" t="str">
        <f>TEXT(Table1[[#This Row],[Order Date]],"MMM")</f>
        <v>Dec</v>
      </c>
      <c r="AA80" s="5">
        <f>Table1[[#This Row],[Unit Price]]*Table1[[#This Row],[Quantity]]*(1-Table1[[#This Row],[Discount %]]/100)</f>
        <v>719.85299999999995</v>
      </c>
      <c r="AB80" s="5">
        <f>Table1[[#This Row],[Sales]]-Table1[[#This Row],[Cost]]</f>
        <v>268.27299999999997</v>
      </c>
    </row>
    <row r="81" spans="1:28" x14ac:dyDescent="0.3">
      <c r="A81" t="s">
        <v>306</v>
      </c>
      <c r="B81" s="1">
        <v>45833</v>
      </c>
      <c r="C81" t="s">
        <v>307</v>
      </c>
      <c r="D81" t="s">
        <v>2863</v>
      </c>
      <c r="E81" s="1">
        <v>45836</v>
      </c>
      <c r="F81" t="s">
        <v>2617</v>
      </c>
      <c r="G81" t="s">
        <v>27</v>
      </c>
      <c r="H81" t="s">
        <v>28</v>
      </c>
      <c r="I81" t="s">
        <v>2650</v>
      </c>
      <c r="J81" t="s">
        <v>2680</v>
      </c>
      <c r="K81" t="s">
        <v>25</v>
      </c>
      <c r="L81">
        <v>41</v>
      </c>
      <c r="M81">
        <v>5</v>
      </c>
      <c r="N81">
        <v>10</v>
      </c>
      <c r="O81" t="s">
        <v>308</v>
      </c>
      <c r="P81" t="s">
        <v>44</v>
      </c>
      <c r="Q81" t="s">
        <v>58</v>
      </c>
      <c r="R81" t="s">
        <v>71</v>
      </c>
      <c r="S81" t="s">
        <v>30</v>
      </c>
      <c r="T81">
        <v>4</v>
      </c>
      <c r="U81" s="5">
        <v>573.69000000000005</v>
      </c>
      <c r="V81" s="5">
        <v>2037.46</v>
      </c>
      <c r="W81">
        <v>3</v>
      </c>
      <c r="X81" t="s">
        <v>49</v>
      </c>
      <c r="Y81">
        <v>2025</v>
      </c>
      <c r="Z81" t="str">
        <f>TEXT(Table1[[#This Row],[Order Date]],"MMM")</f>
        <v>Jun</v>
      </c>
      <c r="AA81" s="5">
        <f>Table1[[#This Row],[Unit Price]]*Table1[[#This Row],[Quantity]]*(1-Table1[[#This Row],[Discount %]]/100)</f>
        <v>2581.6050000000005</v>
      </c>
      <c r="AB81" s="5">
        <f>Table1[[#This Row],[Sales]]-Table1[[#This Row],[Cost]]</f>
        <v>544.14500000000044</v>
      </c>
    </row>
    <row r="82" spans="1:28" x14ac:dyDescent="0.3">
      <c r="A82" t="s">
        <v>309</v>
      </c>
      <c r="B82" s="1">
        <v>46093</v>
      </c>
      <c r="C82" t="s">
        <v>310</v>
      </c>
      <c r="D82" t="s">
        <v>2864</v>
      </c>
      <c r="E82" s="1">
        <v>46094</v>
      </c>
      <c r="F82" t="s">
        <v>100</v>
      </c>
      <c r="G82" t="s">
        <v>98</v>
      </c>
      <c r="H82" t="s">
        <v>99</v>
      </c>
      <c r="I82" t="s">
        <v>2650</v>
      </c>
      <c r="J82" t="s">
        <v>2651</v>
      </c>
      <c r="K82" t="s">
        <v>52</v>
      </c>
      <c r="L82">
        <v>37</v>
      </c>
      <c r="M82">
        <v>3</v>
      </c>
      <c r="N82">
        <v>10</v>
      </c>
      <c r="O82" t="s">
        <v>311</v>
      </c>
      <c r="P82" t="s">
        <v>75</v>
      </c>
      <c r="Q82" t="s">
        <v>117</v>
      </c>
      <c r="R82" t="s">
        <v>43</v>
      </c>
      <c r="S82" t="s">
        <v>101</v>
      </c>
      <c r="T82">
        <v>5</v>
      </c>
      <c r="U82" s="5">
        <v>844.48</v>
      </c>
      <c r="V82" s="5">
        <v>1631.23</v>
      </c>
      <c r="W82">
        <v>1</v>
      </c>
      <c r="X82" t="s">
        <v>34</v>
      </c>
      <c r="Y82">
        <v>2026</v>
      </c>
      <c r="Z82" t="str">
        <f>TEXT(Table1[[#This Row],[Order Date]],"MMM")</f>
        <v>Mar</v>
      </c>
      <c r="AA82" s="5">
        <f>Table1[[#This Row],[Unit Price]]*Table1[[#This Row],[Quantity]]*(1-Table1[[#This Row],[Discount %]]/100)</f>
        <v>2280.096</v>
      </c>
      <c r="AB82" s="5">
        <f>Table1[[#This Row],[Sales]]-Table1[[#This Row],[Cost]]</f>
        <v>648.86599999999999</v>
      </c>
    </row>
    <row r="83" spans="1:28" x14ac:dyDescent="0.3">
      <c r="A83" t="s">
        <v>312</v>
      </c>
      <c r="B83" s="1">
        <v>46094</v>
      </c>
      <c r="C83" t="s">
        <v>313</v>
      </c>
      <c r="D83" t="s">
        <v>2865</v>
      </c>
      <c r="E83" s="1">
        <v>46098</v>
      </c>
      <c r="F83" t="s">
        <v>56</v>
      </c>
      <c r="G83" t="s">
        <v>54</v>
      </c>
      <c r="H83" t="s">
        <v>55</v>
      </c>
      <c r="I83" t="s">
        <v>2652</v>
      </c>
      <c r="J83" t="s">
        <v>2708</v>
      </c>
      <c r="K83" t="s">
        <v>25</v>
      </c>
      <c r="L83">
        <v>59</v>
      </c>
      <c r="M83">
        <v>1</v>
      </c>
      <c r="N83">
        <v>15</v>
      </c>
      <c r="O83" t="s">
        <v>37</v>
      </c>
      <c r="P83" t="s">
        <v>44</v>
      </c>
      <c r="Q83" t="s">
        <v>117</v>
      </c>
      <c r="R83" t="s">
        <v>43</v>
      </c>
      <c r="S83" t="s">
        <v>57</v>
      </c>
      <c r="T83">
        <v>2</v>
      </c>
      <c r="U83" s="5">
        <v>175.24</v>
      </c>
      <c r="V83" s="5">
        <v>113.39</v>
      </c>
      <c r="W83">
        <v>4</v>
      </c>
      <c r="X83" t="s">
        <v>34</v>
      </c>
      <c r="Y83">
        <v>2026</v>
      </c>
      <c r="Z83" t="str">
        <f>TEXT(Table1[[#This Row],[Order Date]],"MMM")</f>
        <v>Mar</v>
      </c>
      <c r="AA83" s="5">
        <f>Table1[[#This Row],[Unit Price]]*Table1[[#This Row],[Quantity]]*(1-Table1[[#This Row],[Discount %]]/100)</f>
        <v>148.95400000000001</v>
      </c>
      <c r="AB83" s="5">
        <f>Table1[[#This Row],[Sales]]-Table1[[#This Row],[Cost]]</f>
        <v>35.564000000000007</v>
      </c>
    </row>
    <row r="84" spans="1:28" x14ac:dyDescent="0.3">
      <c r="A84" t="s">
        <v>314</v>
      </c>
      <c r="B84" s="1">
        <v>45909</v>
      </c>
      <c r="C84" t="s">
        <v>315</v>
      </c>
      <c r="D84" t="s">
        <v>2866</v>
      </c>
      <c r="E84" s="1">
        <v>45916</v>
      </c>
      <c r="F84" t="s">
        <v>122</v>
      </c>
      <c r="G84" t="s">
        <v>120</v>
      </c>
      <c r="H84" t="s">
        <v>121</v>
      </c>
      <c r="I84" t="s">
        <v>2625</v>
      </c>
      <c r="J84" t="s">
        <v>2626</v>
      </c>
      <c r="K84" t="s">
        <v>52</v>
      </c>
      <c r="L84">
        <v>39</v>
      </c>
      <c r="M84">
        <v>2</v>
      </c>
      <c r="N84">
        <v>30</v>
      </c>
      <c r="O84" t="s">
        <v>316</v>
      </c>
      <c r="P84" t="s">
        <v>75</v>
      </c>
      <c r="Q84" t="s">
        <v>117</v>
      </c>
      <c r="R84" t="s">
        <v>43</v>
      </c>
      <c r="S84" t="s">
        <v>123</v>
      </c>
      <c r="T84">
        <v>1</v>
      </c>
      <c r="U84" s="5">
        <v>837.42</v>
      </c>
      <c r="V84" s="5">
        <v>936.12</v>
      </c>
      <c r="W84">
        <v>7</v>
      </c>
      <c r="X84" t="s">
        <v>45</v>
      </c>
      <c r="Y84">
        <v>2025</v>
      </c>
      <c r="Z84" t="str">
        <f>TEXT(Table1[[#This Row],[Order Date]],"MMM")</f>
        <v>Sep</v>
      </c>
      <c r="AA84" s="5">
        <f>Table1[[#This Row],[Unit Price]]*Table1[[#This Row],[Quantity]]*(1-Table1[[#This Row],[Discount %]]/100)</f>
        <v>1172.3879999999999</v>
      </c>
      <c r="AB84" s="5">
        <f>Table1[[#This Row],[Sales]]-Table1[[#This Row],[Cost]]</f>
        <v>236.26799999999992</v>
      </c>
    </row>
    <row r="85" spans="1:28" x14ac:dyDescent="0.3">
      <c r="A85" t="s">
        <v>317</v>
      </c>
      <c r="B85" s="1">
        <v>45666</v>
      </c>
      <c r="C85" t="s">
        <v>318</v>
      </c>
      <c r="D85" t="s">
        <v>2867</v>
      </c>
      <c r="E85" s="1">
        <v>45669</v>
      </c>
      <c r="F85" t="s">
        <v>56</v>
      </c>
      <c r="G85" t="s">
        <v>54</v>
      </c>
      <c r="H85" t="s">
        <v>55</v>
      </c>
      <c r="I85" t="s">
        <v>2652</v>
      </c>
      <c r="J85" t="s">
        <v>2679</v>
      </c>
      <c r="K85" t="s">
        <v>25</v>
      </c>
      <c r="L85">
        <v>30</v>
      </c>
      <c r="M85">
        <v>3</v>
      </c>
      <c r="N85">
        <v>30</v>
      </c>
      <c r="O85" t="s">
        <v>319</v>
      </c>
      <c r="P85" t="s">
        <v>33</v>
      </c>
      <c r="Q85" t="s">
        <v>31</v>
      </c>
      <c r="R85" t="s">
        <v>62</v>
      </c>
      <c r="S85" t="s">
        <v>57</v>
      </c>
      <c r="T85">
        <v>4</v>
      </c>
      <c r="U85" s="5">
        <v>377.81</v>
      </c>
      <c r="V85" s="5">
        <v>417.21</v>
      </c>
      <c r="W85">
        <v>3</v>
      </c>
      <c r="X85" t="s">
        <v>34</v>
      </c>
      <c r="Y85">
        <v>2025</v>
      </c>
      <c r="Z85" t="str">
        <f>TEXT(Table1[[#This Row],[Order Date]],"MMM")</f>
        <v>Jan</v>
      </c>
      <c r="AA85" s="5">
        <f>Table1[[#This Row],[Unit Price]]*Table1[[#This Row],[Quantity]]*(1-Table1[[#This Row],[Discount %]]/100)</f>
        <v>793.40099999999995</v>
      </c>
      <c r="AB85" s="5">
        <f>Table1[[#This Row],[Sales]]-Table1[[#This Row],[Cost]]</f>
        <v>376.19099999999997</v>
      </c>
    </row>
    <row r="86" spans="1:28" x14ac:dyDescent="0.3">
      <c r="A86" t="s">
        <v>320</v>
      </c>
      <c r="B86" s="1">
        <v>45352</v>
      </c>
      <c r="C86" t="s">
        <v>321</v>
      </c>
      <c r="D86" t="s">
        <v>2868</v>
      </c>
      <c r="E86" s="1">
        <v>45358</v>
      </c>
      <c r="F86" t="s">
        <v>115</v>
      </c>
      <c r="G86" t="s">
        <v>66</v>
      </c>
      <c r="H86" t="s">
        <v>114</v>
      </c>
      <c r="I86" t="s">
        <v>2635</v>
      </c>
      <c r="J86" t="s">
        <v>2636</v>
      </c>
      <c r="K86" t="s">
        <v>25</v>
      </c>
      <c r="L86">
        <v>51</v>
      </c>
      <c r="M86">
        <v>1</v>
      </c>
      <c r="N86">
        <v>30</v>
      </c>
      <c r="O86" t="s">
        <v>322</v>
      </c>
      <c r="P86" t="s">
        <v>44</v>
      </c>
      <c r="Q86" t="s">
        <v>58</v>
      </c>
      <c r="R86" t="s">
        <v>43</v>
      </c>
      <c r="S86" t="s">
        <v>116</v>
      </c>
      <c r="T86">
        <v>3</v>
      </c>
      <c r="U86" s="5">
        <v>502.91</v>
      </c>
      <c r="V86" s="5">
        <v>194.45</v>
      </c>
      <c r="W86">
        <v>6</v>
      </c>
      <c r="X86" t="s">
        <v>34</v>
      </c>
      <c r="Y86">
        <v>2024</v>
      </c>
      <c r="Z86" t="str">
        <f>TEXT(Table1[[#This Row],[Order Date]],"MMM")</f>
        <v>Mar</v>
      </c>
      <c r="AA86" s="5">
        <f>Table1[[#This Row],[Unit Price]]*Table1[[#This Row],[Quantity]]*(1-Table1[[#This Row],[Discount %]]/100)</f>
        <v>352.03699999999998</v>
      </c>
      <c r="AB86" s="5">
        <f>Table1[[#This Row],[Sales]]-Table1[[#This Row],[Cost]]</f>
        <v>157.58699999999999</v>
      </c>
    </row>
    <row r="87" spans="1:28" x14ac:dyDescent="0.3">
      <c r="A87" t="s">
        <v>323</v>
      </c>
      <c r="B87" s="1">
        <v>46163</v>
      </c>
      <c r="C87" t="s">
        <v>324</v>
      </c>
      <c r="D87" t="s">
        <v>2869</v>
      </c>
      <c r="E87" s="1">
        <v>46166</v>
      </c>
      <c r="F87" t="s">
        <v>56</v>
      </c>
      <c r="G87" t="s">
        <v>54</v>
      </c>
      <c r="H87" t="s">
        <v>55</v>
      </c>
      <c r="I87" t="s">
        <v>2650</v>
      </c>
      <c r="J87" t="s">
        <v>2680</v>
      </c>
      <c r="K87" t="s">
        <v>52</v>
      </c>
      <c r="L87">
        <v>36</v>
      </c>
      <c r="M87">
        <v>4</v>
      </c>
      <c r="N87">
        <v>20</v>
      </c>
      <c r="O87" t="s">
        <v>113</v>
      </c>
      <c r="P87" t="s">
        <v>33</v>
      </c>
      <c r="Q87" t="s">
        <v>31</v>
      </c>
      <c r="R87" t="s">
        <v>32</v>
      </c>
      <c r="S87" t="s">
        <v>57</v>
      </c>
      <c r="T87">
        <v>2</v>
      </c>
      <c r="U87" s="5">
        <v>95.99</v>
      </c>
      <c r="V87" s="5">
        <v>245.58</v>
      </c>
      <c r="W87">
        <v>3</v>
      </c>
      <c r="X87" t="s">
        <v>49</v>
      </c>
      <c r="Y87">
        <v>2026</v>
      </c>
      <c r="Z87" t="str">
        <f>TEXT(Table1[[#This Row],[Order Date]],"MMM")</f>
        <v>May</v>
      </c>
      <c r="AA87" s="5">
        <f>Table1[[#This Row],[Unit Price]]*Table1[[#This Row],[Quantity]]*(1-Table1[[#This Row],[Discount %]]/100)</f>
        <v>307.16800000000001</v>
      </c>
      <c r="AB87" s="5">
        <f>Table1[[#This Row],[Sales]]-Table1[[#This Row],[Cost]]</f>
        <v>61.587999999999994</v>
      </c>
    </row>
    <row r="88" spans="1:28" x14ac:dyDescent="0.3">
      <c r="A88" t="s">
        <v>325</v>
      </c>
      <c r="B88" s="1">
        <v>45639</v>
      </c>
      <c r="C88" t="s">
        <v>326</v>
      </c>
      <c r="D88" t="s">
        <v>2870</v>
      </c>
      <c r="E88" s="1">
        <v>45645</v>
      </c>
      <c r="F88" t="s">
        <v>2617</v>
      </c>
      <c r="G88" t="s">
        <v>27</v>
      </c>
      <c r="H88" t="s">
        <v>28</v>
      </c>
      <c r="I88" t="s">
        <v>2664</v>
      </c>
      <c r="J88" t="s">
        <v>2665</v>
      </c>
      <c r="K88" t="s">
        <v>25</v>
      </c>
      <c r="L88">
        <v>27</v>
      </c>
      <c r="M88">
        <v>1</v>
      </c>
      <c r="N88">
        <v>25</v>
      </c>
      <c r="O88" t="s">
        <v>327</v>
      </c>
      <c r="P88" t="s">
        <v>75</v>
      </c>
      <c r="Q88" t="s">
        <v>31</v>
      </c>
      <c r="R88" t="s">
        <v>32</v>
      </c>
      <c r="S88" t="s">
        <v>30</v>
      </c>
      <c r="T88">
        <v>4</v>
      </c>
      <c r="U88" s="5">
        <v>421.2</v>
      </c>
      <c r="V88" s="5">
        <v>260.58</v>
      </c>
      <c r="W88">
        <v>6</v>
      </c>
      <c r="X88" t="s">
        <v>94</v>
      </c>
      <c r="Y88">
        <v>2024</v>
      </c>
      <c r="Z88" t="str">
        <f>TEXT(Table1[[#This Row],[Order Date]],"MMM")</f>
        <v>Dec</v>
      </c>
      <c r="AA88" s="5">
        <f>Table1[[#This Row],[Unit Price]]*Table1[[#This Row],[Quantity]]*(1-Table1[[#This Row],[Discount %]]/100)</f>
        <v>315.89999999999998</v>
      </c>
      <c r="AB88" s="5">
        <f>Table1[[#This Row],[Sales]]-Table1[[#This Row],[Cost]]</f>
        <v>55.319999999999993</v>
      </c>
    </row>
    <row r="89" spans="1:28" x14ac:dyDescent="0.3">
      <c r="A89" t="s">
        <v>328</v>
      </c>
      <c r="B89" s="1">
        <v>46004</v>
      </c>
      <c r="C89" t="s">
        <v>329</v>
      </c>
      <c r="D89" t="s">
        <v>2871</v>
      </c>
      <c r="E89" s="1">
        <v>46011</v>
      </c>
      <c r="F89" t="s">
        <v>140</v>
      </c>
      <c r="G89" t="s">
        <v>38</v>
      </c>
      <c r="H89" t="s">
        <v>139</v>
      </c>
      <c r="I89" t="s">
        <v>2627</v>
      </c>
      <c r="J89" t="s">
        <v>2670</v>
      </c>
      <c r="K89" t="s">
        <v>52</v>
      </c>
      <c r="L89">
        <v>63</v>
      </c>
      <c r="M89">
        <v>1</v>
      </c>
      <c r="N89">
        <v>15</v>
      </c>
      <c r="O89" t="s">
        <v>276</v>
      </c>
      <c r="P89" t="s">
        <v>75</v>
      </c>
      <c r="Q89" t="s">
        <v>31</v>
      </c>
      <c r="R89" t="s">
        <v>62</v>
      </c>
      <c r="S89" t="s">
        <v>141</v>
      </c>
      <c r="T89">
        <v>1</v>
      </c>
      <c r="U89" s="5">
        <v>250.65</v>
      </c>
      <c r="V89" s="5">
        <v>170.03</v>
      </c>
      <c r="W89">
        <v>7</v>
      </c>
      <c r="X89" t="s">
        <v>94</v>
      </c>
      <c r="Y89">
        <v>2025</v>
      </c>
      <c r="Z89" t="str">
        <f>TEXT(Table1[[#This Row],[Order Date]],"MMM")</f>
        <v>Dec</v>
      </c>
      <c r="AA89" s="5">
        <f>Table1[[#This Row],[Unit Price]]*Table1[[#This Row],[Quantity]]*(1-Table1[[#This Row],[Discount %]]/100)</f>
        <v>213.05250000000001</v>
      </c>
      <c r="AB89" s="5">
        <f>Table1[[#This Row],[Sales]]-Table1[[#This Row],[Cost]]</f>
        <v>43.022500000000008</v>
      </c>
    </row>
    <row r="90" spans="1:28" x14ac:dyDescent="0.3">
      <c r="A90" t="s">
        <v>330</v>
      </c>
      <c r="B90" s="1">
        <v>45791</v>
      </c>
      <c r="C90" t="s">
        <v>331</v>
      </c>
      <c r="D90" t="s">
        <v>2872</v>
      </c>
      <c r="E90" s="1">
        <v>45793</v>
      </c>
      <c r="F90" t="s">
        <v>68</v>
      </c>
      <c r="G90" t="s">
        <v>66</v>
      </c>
      <c r="H90" t="s">
        <v>67</v>
      </c>
      <c r="I90" t="s">
        <v>2664</v>
      </c>
      <c r="J90" t="s">
        <v>2665</v>
      </c>
      <c r="K90" t="s">
        <v>52</v>
      </c>
      <c r="L90">
        <v>36</v>
      </c>
      <c r="M90">
        <v>3</v>
      </c>
      <c r="N90">
        <v>10</v>
      </c>
      <c r="O90" t="s">
        <v>332</v>
      </c>
      <c r="P90" t="s">
        <v>44</v>
      </c>
      <c r="Q90" t="s">
        <v>42</v>
      </c>
      <c r="R90" t="s">
        <v>71</v>
      </c>
      <c r="S90" t="s">
        <v>69</v>
      </c>
      <c r="T90">
        <v>3</v>
      </c>
      <c r="U90" s="5">
        <v>919.05</v>
      </c>
      <c r="V90" s="5">
        <v>1629.64</v>
      </c>
      <c r="W90">
        <v>2</v>
      </c>
      <c r="X90" t="s">
        <v>49</v>
      </c>
      <c r="Y90">
        <v>2025</v>
      </c>
      <c r="Z90" t="str">
        <f>TEXT(Table1[[#This Row],[Order Date]],"MMM")</f>
        <v>May</v>
      </c>
      <c r="AA90" s="5">
        <f>Table1[[#This Row],[Unit Price]]*Table1[[#This Row],[Quantity]]*(1-Table1[[#This Row],[Discount %]]/100)</f>
        <v>2481.4349999999999</v>
      </c>
      <c r="AB90" s="5">
        <f>Table1[[#This Row],[Sales]]-Table1[[#This Row],[Cost]]</f>
        <v>851.79499999999985</v>
      </c>
    </row>
    <row r="91" spans="1:28" x14ac:dyDescent="0.3">
      <c r="A91" t="s">
        <v>333</v>
      </c>
      <c r="B91" s="1">
        <v>45585</v>
      </c>
      <c r="C91" t="s">
        <v>334</v>
      </c>
      <c r="D91" t="s">
        <v>2873</v>
      </c>
      <c r="E91" s="1">
        <v>45592</v>
      </c>
      <c r="F91" t="s">
        <v>2617</v>
      </c>
      <c r="G91" t="s">
        <v>27</v>
      </c>
      <c r="H91" t="s">
        <v>28</v>
      </c>
      <c r="I91" t="s">
        <v>2621</v>
      </c>
      <c r="J91" t="s">
        <v>2699</v>
      </c>
      <c r="K91" t="s">
        <v>52</v>
      </c>
      <c r="L91">
        <v>23</v>
      </c>
      <c r="M91">
        <v>1</v>
      </c>
      <c r="N91">
        <v>20</v>
      </c>
      <c r="O91" t="s">
        <v>335</v>
      </c>
      <c r="P91" t="s">
        <v>33</v>
      </c>
      <c r="Q91" t="s">
        <v>42</v>
      </c>
      <c r="R91" t="s">
        <v>32</v>
      </c>
      <c r="S91" t="s">
        <v>30</v>
      </c>
      <c r="T91">
        <v>3</v>
      </c>
      <c r="U91" s="5">
        <v>758.66</v>
      </c>
      <c r="V91" s="5">
        <v>462.62</v>
      </c>
      <c r="W91">
        <v>7</v>
      </c>
      <c r="X91" t="s">
        <v>94</v>
      </c>
      <c r="Y91">
        <v>2024</v>
      </c>
      <c r="Z91" t="str">
        <f>TEXT(Table1[[#This Row],[Order Date]],"MMM")</f>
        <v>Oct</v>
      </c>
      <c r="AA91" s="5">
        <f>Table1[[#This Row],[Unit Price]]*Table1[[#This Row],[Quantity]]*(1-Table1[[#This Row],[Discount %]]/100)</f>
        <v>606.928</v>
      </c>
      <c r="AB91" s="5">
        <f>Table1[[#This Row],[Sales]]-Table1[[#This Row],[Cost]]</f>
        <v>144.30799999999999</v>
      </c>
    </row>
    <row r="92" spans="1:28" x14ac:dyDescent="0.3">
      <c r="A92" t="s">
        <v>336</v>
      </c>
      <c r="B92" s="1">
        <v>45815</v>
      </c>
      <c r="C92" t="s">
        <v>337</v>
      </c>
      <c r="D92" t="s">
        <v>2874</v>
      </c>
      <c r="E92" s="1">
        <v>45820</v>
      </c>
      <c r="F92" t="s">
        <v>100</v>
      </c>
      <c r="G92" t="s">
        <v>98</v>
      </c>
      <c r="H92" t="s">
        <v>99</v>
      </c>
      <c r="I92" t="s">
        <v>2633</v>
      </c>
      <c r="J92" t="s">
        <v>99</v>
      </c>
      <c r="K92" t="s">
        <v>25</v>
      </c>
      <c r="L92">
        <v>51</v>
      </c>
      <c r="M92">
        <v>2</v>
      </c>
      <c r="N92">
        <v>15</v>
      </c>
      <c r="O92" t="s">
        <v>338</v>
      </c>
      <c r="P92" t="s">
        <v>33</v>
      </c>
      <c r="Q92" t="s">
        <v>58</v>
      </c>
      <c r="R92" t="s">
        <v>32</v>
      </c>
      <c r="S92" t="s">
        <v>101</v>
      </c>
      <c r="T92">
        <v>4</v>
      </c>
      <c r="U92" s="5">
        <v>852.32</v>
      </c>
      <c r="V92" s="5">
        <v>1220.3499999999999</v>
      </c>
      <c r="W92">
        <v>5</v>
      </c>
      <c r="X92" t="s">
        <v>49</v>
      </c>
      <c r="Y92">
        <v>2025</v>
      </c>
      <c r="Z92" t="str">
        <f>TEXT(Table1[[#This Row],[Order Date]],"MMM")</f>
        <v>Jun</v>
      </c>
      <c r="AA92" s="5">
        <f>Table1[[#This Row],[Unit Price]]*Table1[[#This Row],[Quantity]]*(1-Table1[[#This Row],[Discount %]]/100)</f>
        <v>1448.944</v>
      </c>
      <c r="AB92" s="5">
        <f>Table1[[#This Row],[Sales]]-Table1[[#This Row],[Cost]]</f>
        <v>228.59400000000005</v>
      </c>
    </row>
    <row r="93" spans="1:28" x14ac:dyDescent="0.3">
      <c r="A93" t="s">
        <v>339</v>
      </c>
      <c r="B93" s="1">
        <v>45294</v>
      </c>
      <c r="C93" t="s">
        <v>340</v>
      </c>
      <c r="D93" t="s">
        <v>2875</v>
      </c>
      <c r="E93" s="1">
        <v>45298</v>
      </c>
      <c r="F93" t="s">
        <v>122</v>
      </c>
      <c r="G93" t="s">
        <v>120</v>
      </c>
      <c r="H93" t="s">
        <v>121</v>
      </c>
      <c r="I93" t="s">
        <v>2648</v>
      </c>
      <c r="J93" t="s">
        <v>2702</v>
      </c>
      <c r="K93" t="s">
        <v>52</v>
      </c>
      <c r="L93">
        <v>45</v>
      </c>
      <c r="M93">
        <v>4</v>
      </c>
      <c r="N93">
        <v>10</v>
      </c>
      <c r="O93" t="s">
        <v>341</v>
      </c>
      <c r="P93" t="s">
        <v>75</v>
      </c>
      <c r="Q93" t="s">
        <v>58</v>
      </c>
      <c r="R93" t="s">
        <v>32</v>
      </c>
      <c r="S93" t="s">
        <v>123</v>
      </c>
      <c r="T93">
        <v>1</v>
      </c>
      <c r="U93" s="5">
        <v>80.2</v>
      </c>
      <c r="V93" s="5">
        <v>228.83</v>
      </c>
      <c r="W93">
        <v>4</v>
      </c>
      <c r="X93" t="s">
        <v>34</v>
      </c>
      <c r="Y93">
        <v>2024</v>
      </c>
      <c r="Z93" t="str">
        <f>TEXT(Table1[[#This Row],[Order Date]],"MMM")</f>
        <v>Jan</v>
      </c>
      <c r="AA93" s="5">
        <f>Table1[[#This Row],[Unit Price]]*Table1[[#This Row],[Quantity]]*(1-Table1[[#This Row],[Discount %]]/100)</f>
        <v>288.72000000000003</v>
      </c>
      <c r="AB93" s="5">
        <f>Table1[[#This Row],[Sales]]-Table1[[#This Row],[Cost]]</f>
        <v>59.890000000000015</v>
      </c>
    </row>
    <row r="94" spans="1:28" x14ac:dyDescent="0.3">
      <c r="A94" t="s">
        <v>342</v>
      </c>
      <c r="B94" s="1">
        <v>45683</v>
      </c>
      <c r="C94" t="s">
        <v>343</v>
      </c>
      <c r="D94" t="s">
        <v>2876</v>
      </c>
      <c r="E94" s="1">
        <v>45685</v>
      </c>
      <c r="F94" t="s">
        <v>40</v>
      </c>
      <c r="G94" t="s">
        <v>38</v>
      </c>
      <c r="H94" t="s">
        <v>39</v>
      </c>
      <c r="I94" t="s">
        <v>2630</v>
      </c>
      <c r="J94" t="s">
        <v>2646</v>
      </c>
      <c r="K94" t="s">
        <v>25</v>
      </c>
      <c r="L94">
        <v>63</v>
      </c>
      <c r="M94">
        <v>1</v>
      </c>
      <c r="N94">
        <v>25</v>
      </c>
      <c r="O94" t="s">
        <v>344</v>
      </c>
      <c r="P94" t="s">
        <v>33</v>
      </c>
      <c r="Q94" t="s">
        <v>117</v>
      </c>
      <c r="R94" t="s">
        <v>32</v>
      </c>
      <c r="S94" t="s">
        <v>41</v>
      </c>
      <c r="T94">
        <v>5</v>
      </c>
      <c r="U94" s="5">
        <v>517.5</v>
      </c>
      <c r="V94" s="5">
        <v>228.3</v>
      </c>
      <c r="W94">
        <v>2</v>
      </c>
      <c r="X94" t="s">
        <v>34</v>
      </c>
      <c r="Y94">
        <v>2025</v>
      </c>
      <c r="Z94" t="str">
        <f>TEXT(Table1[[#This Row],[Order Date]],"MMM")</f>
        <v>Jan</v>
      </c>
      <c r="AA94" s="5">
        <f>Table1[[#This Row],[Unit Price]]*Table1[[#This Row],[Quantity]]*(1-Table1[[#This Row],[Discount %]]/100)</f>
        <v>388.125</v>
      </c>
      <c r="AB94" s="5">
        <f>Table1[[#This Row],[Sales]]-Table1[[#This Row],[Cost]]</f>
        <v>159.82499999999999</v>
      </c>
    </row>
    <row r="95" spans="1:28" x14ac:dyDescent="0.3">
      <c r="A95" t="s">
        <v>345</v>
      </c>
      <c r="B95" s="1">
        <v>46186</v>
      </c>
      <c r="C95" t="s">
        <v>346</v>
      </c>
      <c r="D95" t="s">
        <v>2877</v>
      </c>
      <c r="E95" s="1">
        <v>46191</v>
      </c>
      <c r="F95" t="s">
        <v>100</v>
      </c>
      <c r="G95" t="s">
        <v>98</v>
      </c>
      <c r="H95" t="s">
        <v>99</v>
      </c>
      <c r="I95" t="s">
        <v>2627</v>
      </c>
      <c r="J95" t="s">
        <v>2690</v>
      </c>
      <c r="K95" t="s">
        <v>52</v>
      </c>
      <c r="L95">
        <v>21</v>
      </c>
      <c r="M95">
        <v>1</v>
      </c>
      <c r="N95">
        <v>10</v>
      </c>
      <c r="O95" t="s">
        <v>347</v>
      </c>
      <c r="P95" t="s">
        <v>75</v>
      </c>
      <c r="Q95" t="s">
        <v>70</v>
      </c>
      <c r="R95" t="s">
        <v>71</v>
      </c>
      <c r="S95" t="s">
        <v>101</v>
      </c>
      <c r="T95">
        <v>2</v>
      </c>
      <c r="U95" s="5">
        <v>265.31</v>
      </c>
      <c r="V95" s="5">
        <v>184.58</v>
      </c>
      <c r="W95">
        <v>5</v>
      </c>
      <c r="X95" t="s">
        <v>49</v>
      </c>
      <c r="Y95">
        <v>2026</v>
      </c>
      <c r="Z95" t="str">
        <f>TEXT(Table1[[#This Row],[Order Date]],"MMM")</f>
        <v>Jun</v>
      </c>
      <c r="AA95" s="5">
        <f>Table1[[#This Row],[Unit Price]]*Table1[[#This Row],[Quantity]]*(1-Table1[[#This Row],[Discount %]]/100)</f>
        <v>238.779</v>
      </c>
      <c r="AB95" s="5">
        <f>Table1[[#This Row],[Sales]]-Table1[[#This Row],[Cost]]</f>
        <v>54.198999999999984</v>
      </c>
    </row>
    <row r="96" spans="1:28" x14ac:dyDescent="0.3">
      <c r="A96" t="s">
        <v>348</v>
      </c>
      <c r="B96" s="1">
        <v>45450</v>
      </c>
      <c r="C96" t="s">
        <v>349</v>
      </c>
      <c r="D96" t="s">
        <v>2878</v>
      </c>
      <c r="E96" s="1">
        <v>45451</v>
      </c>
      <c r="F96" t="s">
        <v>115</v>
      </c>
      <c r="G96" t="s">
        <v>66</v>
      </c>
      <c r="H96" t="s">
        <v>114</v>
      </c>
      <c r="I96" t="s">
        <v>2628</v>
      </c>
      <c r="J96" t="s">
        <v>2642</v>
      </c>
      <c r="K96" t="s">
        <v>25</v>
      </c>
      <c r="L96">
        <v>45</v>
      </c>
      <c r="M96">
        <v>1</v>
      </c>
      <c r="N96">
        <v>15</v>
      </c>
      <c r="O96" t="s">
        <v>350</v>
      </c>
      <c r="P96" t="s">
        <v>75</v>
      </c>
      <c r="Q96" t="s">
        <v>31</v>
      </c>
      <c r="R96" t="s">
        <v>43</v>
      </c>
      <c r="S96" t="s">
        <v>116</v>
      </c>
      <c r="T96">
        <v>5</v>
      </c>
      <c r="U96" s="5">
        <v>642.47</v>
      </c>
      <c r="V96" s="5">
        <v>351.07</v>
      </c>
      <c r="W96">
        <v>1</v>
      </c>
      <c r="X96" t="s">
        <v>49</v>
      </c>
      <c r="Y96">
        <v>2024</v>
      </c>
      <c r="Z96" t="str">
        <f>TEXT(Table1[[#This Row],[Order Date]],"MMM")</f>
        <v>Jun</v>
      </c>
      <c r="AA96" s="5">
        <f>Table1[[#This Row],[Unit Price]]*Table1[[#This Row],[Quantity]]*(1-Table1[[#This Row],[Discount %]]/100)</f>
        <v>546.09950000000003</v>
      </c>
      <c r="AB96" s="5">
        <f>Table1[[#This Row],[Sales]]-Table1[[#This Row],[Cost]]</f>
        <v>195.02950000000004</v>
      </c>
    </row>
    <row r="97" spans="1:28" x14ac:dyDescent="0.3">
      <c r="A97" t="s">
        <v>351</v>
      </c>
      <c r="B97" s="1">
        <v>45559</v>
      </c>
      <c r="C97" t="s">
        <v>352</v>
      </c>
      <c r="D97" t="s">
        <v>2879</v>
      </c>
      <c r="E97" s="1">
        <v>45560</v>
      </c>
      <c r="F97" t="s">
        <v>2617</v>
      </c>
      <c r="G97" t="s">
        <v>27</v>
      </c>
      <c r="H97" t="s">
        <v>28</v>
      </c>
      <c r="I97" t="s">
        <v>2637</v>
      </c>
      <c r="J97" t="s">
        <v>2709</v>
      </c>
      <c r="K97" t="s">
        <v>52</v>
      </c>
      <c r="L97">
        <v>46</v>
      </c>
      <c r="M97">
        <v>5</v>
      </c>
      <c r="N97">
        <v>10</v>
      </c>
      <c r="O97" t="s">
        <v>353</v>
      </c>
      <c r="P97" t="s">
        <v>75</v>
      </c>
      <c r="Q97" t="s">
        <v>31</v>
      </c>
      <c r="R97" t="s">
        <v>71</v>
      </c>
      <c r="S97" t="s">
        <v>30</v>
      </c>
      <c r="T97">
        <v>4</v>
      </c>
      <c r="U97" s="5">
        <v>28.59</v>
      </c>
      <c r="V97" s="5">
        <v>106.55</v>
      </c>
      <c r="W97">
        <v>1</v>
      </c>
      <c r="X97" t="s">
        <v>45</v>
      </c>
      <c r="Y97">
        <v>2024</v>
      </c>
      <c r="Z97" t="str">
        <f>TEXT(Table1[[#This Row],[Order Date]],"MMM")</f>
        <v>Sep</v>
      </c>
      <c r="AA97" s="5">
        <f>Table1[[#This Row],[Unit Price]]*Table1[[#This Row],[Quantity]]*(1-Table1[[#This Row],[Discount %]]/100)</f>
        <v>128.655</v>
      </c>
      <c r="AB97" s="5">
        <f>Table1[[#This Row],[Sales]]-Table1[[#This Row],[Cost]]</f>
        <v>22.105000000000004</v>
      </c>
    </row>
    <row r="98" spans="1:28" x14ac:dyDescent="0.3">
      <c r="A98" t="s">
        <v>354</v>
      </c>
      <c r="B98" s="1">
        <v>45444</v>
      </c>
      <c r="C98" t="s">
        <v>355</v>
      </c>
      <c r="D98" t="s">
        <v>2880</v>
      </c>
      <c r="E98" s="1">
        <v>45447</v>
      </c>
      <c r="F98" t="s">
        <v>56</v>
      </c>
      <c r="G98" t="s">
        <v>54</v>
      </c>
      <c r="H98" t="s">
        <v>55</v>
      </c>
      <c r="I98" t="s">
        <v>2668</v>
      </c>
      <c r="J98" t="s">
        <v>2686</v>
      </c>
      <c r="K98" t="s">
        <v>52</v>
      </c>
      <c r="L98">
        <v>37</v>
      </c>
      <c r="M98">
        <v>4</v>
      </c>
      <c r="N98">
        <v>15</v>
      </c>
      <c r="O98" t="s">
        <v>356</v>
      </c>
      <c r="P98" t="s">
        <v>75</v>
      </c>
      <c r="Q98" t="s">
        <v>42</v>
      </c>
      <c r="R98" t="s">
        <v>62</v>
      </c>
      <c r="S98" t="s">
        <v>57</v>
      </c>
      <c r="T98">
        <v>5</v>
      </c>
      <c r="U98" s="5">
        <v>306.68</v>
      </c>
      <c r="V98" s="5">
        <v>668.74</v>
      </c>
      <c r="W98">
        <v>3</v>
      </c>
      <c r="X98" t="s">
        <v>49</v>
      </c>
      <c r="Y98">
        <v>2024</v>
      </c>
      <c r="Z98" t="str">
        <f>TEXT(Table1[[#This Row],[Order Date]],"MMM")</f>
        <v>Jun</v>
      </c>
      <c r="AA98" s="5">
        <f>Table1[[#This Row],[Unit Price]]*Table1[[#This Row],[Quantity]]*(1-Table1[[#This Row],[Discount %]]/100)</f>
        <v>1042.712</v>
      </c>
      <c r="AB98" s="5">
        <f>Table1[[#This Row],[Sales]]-Table1[[#This Row],[Cost]]</f>
        <v>373.97199999999998</v>
      </c>
    </row>
    <row r="99" spans="1:28" x14ac:dyDescent="0.3">
      <c r="A99" t="s">
        <v>357</v>
      </c>
      <c r="B99" s="1">
        <v>45387</v>
      </c>
      <c r="C99" t="s">
        <v>358</v>
      </c>
      <c r="D99" t="s">
        <v>2881</v>
      </c>
      <c r="E99" s="1">
        <v>45389</v>
      </c>
      <c r="F99" t="s">
        <v>128</v>
      </c>
      <c r="G99" t="s">
        <v>98</v>
      </c>
      <c r="H99" t="s">
        <v>127</v>
      </c>
      <c r="I99" t="s">
        <v>2631</v>
      </c>
      <c r="J99" t="s">
        <v>2673</v>
      </c>
      <c r="K99" t="s">
        <v>52</v>
      </c>
      <c r="L99">
        <v>52</v>
      </c>
      <c r="M99">
        <v>1</v>
      </c>
      <c r="N99">
        <v>15</v>
      </c>
      <c r="O99" t="s">
        <v>359</v>
      </c>
      <c r="P99" t="s">
        <v>44</v>
      </c>
      <c r="Q99" t="s">
        <v>117</v>
      </c>
      <c r="R99" t="s">
        <v>71</v>
      </c>
      <c r="S99" t="s">
        <v>129</v>
      </c>
      <c r="T99">
        <v>2</v>
      </c>
      <c r="U99" s="5">
        <v>649.78</v>
      </c>
      <c r="V99" s="5">
        <v>392.88</v>
      </c>
      <c r="W99">
        <v>2</v>
      </c>
      <c r="X99" t="s">
        <v>49</v>
      </c>
      <c r="Y99">
        <v>2024</v>
      </c>
      <c r="Z99" t="str">
        <f>TEXT(Table1[[#This Row],[Order Date]],"MMM")</f>
        <v>Apr</v>
      </c>
      <c r="AA99" s="5">
        <f>Table1[[#This Row],[Unit Price]]*Table1[[#This Row],[Quantity]]*(1-Table1[[#This Row],[Discount %]]/100)</f>
        <v>552.31299999999999</v>
      </c>
      <c r="AB99" s="5">
        <f>Table1[[#This Row],[Sales]]-Table1[[#This Row],[Cost]]</f>
        <v>159.43299999999999</v>
      </c>
    </row>
    <row r="100" spans="1:28" x14ac:dyDescent="0.3">
      <c r="A100" t="s">
        <v>360</v>
      </c>
      <c r="B100" s="1">
        <v>45402</v>
      </c>
      <c r="C100" t="s">
        <v>361</v>
      </c>
      <c r="D100" t="s">
        <v>2882</v>
      </c>
      <c r="E100" s="1">
        <v>45407</v>
      </c>
      <c r="F100" t="s">
        <v>115</v>
      </c>
      <c r="G100" t="s">
        <v>66</v>
      </c>
      <c r="H100" t="s">
        <v>114</v>
      </c>
      <c r="I100" t="s">
        <v>2621</v>
      </c>
      <c r="J100" t="s">
        <v>2647</v>
      </c>
      <c r="K100" t="s">
        <v>52</v>
      </c>
      <c r="L100">
        <v>32</v>
      </c>
      <c r="M100">
        <v>2</v>
      </c>
      <c r="N100">
        <v>15</v>
      </c>
      <c r="O100" t="s">
        <v>362</v>
      </c>
      <c r="P100" t="s">
        <v>44</v>
      </c>
      <c r="Q100" t="s">
        <v>42</v>
      </c>
      <c r="R100" t="s">
        <v>62</v>
      </c>
      <c r="S100" t="s">
        <v>116</v>
      </c>
      <c r="T100">
        <v>2</v>
      </c>
      <c r="U100" s="5">
        <v>627.88</v>
      </c>
      <c r="V100" s="5">
        <v>599.35</v>
      </c>
      <c r="W100">
        <v>5</v>
      </c>
      <c r="X100" t="s">
        <v>49</v>
      </c>
      <c r="Y100">
        <v>2024</v>
      </c>
      <c r="Z100" t="str">
        <f>TEXT(Table1[[#This Row],[Order Date]],"MMM")</f>
        <v>Apr</v>
      </c>
      <c r="AA100" s="5">
        <f>Table1[[#This Row],[Unit Price]]*Table1[[#This Row],[Quantity]]*(1-Table1[[#This Row],[Discount %]]/100)</f>
        <v>1067.396</v>
      </c>
      <c r="AB100" s="5">
        <f>Table1[[#This Row],[Sales]]-Table1[[#This Row],[Cost]]</f>
        <v>468.04599999999994</v>
      </c>
    </row>
    <row r="101" spans="1:28" x14ac:dyDescent="0.3">
      <c r="A101" t="s">
        <v>363</v>
      </c>
      <c r="B101" s="1">
        <v>45741</v>
      </c>
      <c r="C101" t="s">
        <v>364</v>
      </c>
      <c r="D101" t="s">
        <v>2883</v>
      </c>
      <c r="E101" s="1">
        <v>45743</v>
      </c>
      <c r="F101" t="s">
        <v>115</v>
      </c>
      <c r="G101" t="s">
        <v>66</v>
      </c>
      <c r="H101" t="s">
        <v>114</v>
      </c>
      <c r="I101" t="s">
        <v>2652</v>
      </c>
      <c r="J101" t="s">
        <v>2708</v>
      </c>
      <c r="K101" t="s">
        <v>52</v>
      </c>
      <c r="L101">
        <v>39</v>
      </c>
      <c r="M101">
        <v>5</v>
      </c>
      <c r="N101">
        <v>15</v>
      </c>
      <c r="O101" t="s">
        <v>365</v>
      </c>
      <c r="P101" t="s">
        <v>33</v>
      </c>
      <c r="Q101" t="s">
        <v>58</v>
      </c>
      <c r="R101" t="s">
        <v>43</v>
      </c>
      <c r="S101" t="s">
        <v>116</v>
      </c>
      <c r="T101">
        <v>5</v>
      </c>
      <c r="U101" s="5">
        <v>416.63</v>
      </c>
      <c r="V101" s="5">
        <v>1217.06</v>
      </c>
      <c r="W101">
        <v>2</v>
      </c>
      <c r="X101" t="s">
        <v>34</v>
      </c>
      <c r="Y101">
        <v>2025</v>
      </c>
      <c r="Z101" t="str">
        <f>TEXT(Table1[[#This Row],[Order Date]],"MMM")</f>
        <v>Mar</v>
      </c>
      <c r="AA101" s="5">
        <f>Table1[[#This Row],[Unit Price]]*Table1[[#This Row],[Quantity]]*(1-Table1[[#This Row],[Discount %]]/100)</f>
        <v>1770.6775</v>
      </c>
      <c r="AB101" s="5">
        <f>Table1[[#This Row],[Sales]]-Table1[[#This Row],[Cost]]</f>
        <v>553.61750000000006</v>
      </c>
    </row>
    <row r="102" spans="1:28" x14ac:dyDescent="0.3">
      <c r="A102" t="s">
        <v>366</v>
      </c>
      <c r="B102" s="1">
        <v>45744</v>
      </c>
      <c r="C102" t="s">
        <v>367</v>
      </c>
      <c r="D102" t="s">
        <v>2884</v>
      </c>
      <c r="E102" s="1">
        <v>45749</v>
      </c>
      <c r="F102" t="s">
        <v>40</v>
      </c>
      <c r="G102" t="s">
        <v>38</v>
      </c>
      <c r="H102" t="s">
        <v>39</v>
      </c>
      <c r="I102" t="s">
        <v>2630</v>
      </c>
      <c r="J102" t="s">
        <v>2710</v>
      </c>
      <c r="K102" t="s">
        <v>25</v>
      </c>
      <c r="L102">
        <v>49</v>
      </c>
      <c r="M102">
        <v>1</v>
      </c>
      <c r="N102">
        <v>20</v>
      </c>
      <c r="O102" t="s">
        <v>368</v>
      </c>
      <c r="P102" t="s">
        <v>44</v>
      </c>
      <c r="Q102" t="s">
        <v>31</v>
      </c>
      <c r="R102" t="s">
        <v>32</v>
      </c>
      <c r="S102" t="s">
        <v>41</v>
      </c>
      <c r="T102">
        <v>1</v>
      </c>
      <c r="U102" s="5">
        <v>473.36</v>
      </c>
      <c r="V102" s="5">
        <v>312.89999999999998</v>
      </c>
      <c r="W102">
        <v>5</v>
      </c>
      <c r="X102" t="s">
        <v>34</v>
      </c>
      <c r="Y102">
        <v>2025</v>
      </c>
      <c r="Z102" t="str">
        <f>TEXT(Table1[[#This Row],[Order Date]],"MMM")</f>
        <v>Mar</v>
      </c>
      <c r="AA102" s="5">
        <f>Table1[[#This Row],[Unit Price]]*Table1[[#This Row],[Quantity]]*(1-Table1[[#This Row],[Discount %]]/100)</f>
        <v>378.68800000000005</v>
      </c>
      <c r="AB102" s="5">
        <f>Table1[[#This Row],[Sales]]-Table1[[#This Row],[Cost]]</f>
        <v>65.788000000000068</v>
      </c>
    </row>
    <row r="103" spans="1:28" x14ac:dyDescent="0.3">
      <c r="A103" t="s">
        <v>369</v>
      </c>
      <c r="B103" s="1">
        <v>45801</v>
      </c>
      <c r="C103" t="s">
        <v>370</v>
      </c>
      <c r="D103" t="s">
        <v>2885</v>
      </c>
      <c r="E103" s="1">
        <v>45806</v>
      </c>
      <c r="F103" t="s">
        <v>122</v>
      </c>
      <c r="G103" t="s">
        <v>120</v>
      </c>
      <c r="H103" t="s">
        <v>121</v>
      </c>
      <c r="I103" t="s">
        <v>2621</v>
      </c>
      <c r="J103" t="s">
        <v>2699</v>
      </c>
      <c r="K103" t="s">
        <v>52</v>
      </c>
      <c r="L103">
        <v>41</v>
      </c>
      <c r="M103">
        <v>2</v>
      </c>
      <c r="N103">
        <v>15</v>
      </c>
      <c r="O103" t="s">
        <v>371</v>
      </c>
      <c r="P103" t="s">
        <v>44</v>
      </c>
      <c r="Q103" t="s">
        <v>117</v>
      </c>
      <c r="R103" t="s">
        <v>43</v>
      </c>
      <c r="S103" t="s">
        <v>123</v>
      </c>
      <c r="T103">
        <v>3</v>
      </c>
      <c r="U103" s="5">
        <v>248.88</v>
      </c>
      <c r="V103" s="5">
        <v>339.96</v>
      </c>
      <c r="W103">
        <v>5</v>
      </c>
      <c r="X103" t="s">
        <v>49</v>
      </c>
      <c r="Y103">
        <v>2025</v>
      </c>
      <c r="Z103" t="str">
        <f>TEXT(Table1[[#This Row],[Order Date]],"MMM")</f>
        <v>May</v>
      </c>
      <c r="AA103" s="5">
        <f>Table1[[#This Row],[Unit Price]]*Table1[[#This Row],[Quantity]]*(1-Table1[[#This Row],[Discount %]]/100)</f>
        <v>423.096</v>
      </c>
      <c r="AB103" s="5">
        <f>Table1[[#This Row],[Sales]]-Table1[[#This Row],[Cost]]</f>
        <v>83.136000000000024</v>
      </c>
    </row>
    <row r="104" spans="1:28" x14ac:dyDescent="0.3">
      <c r="A104" t="s">
        <v>372</v>
      </c>
      <c r="B104" s="1">
        <v>45318</v>
      </c>
      <c r="C104" t="s">
        <v>373</v>
      </c>
      <c r="D104" t="s">
        <v>2886</v>
      </c>
      <c r="E104" s="1">
        <v>45324</v>
      </c>
      <c r="F104" t="s">
        <v>122</v>
      </c>
      <c r="G104" t="s">
        <v>120</v>
      </c>
      <c r="H104" t="s">
        <v>121</v>
      </c>
      <c r="I104" t="s">
        <v>2618</v>
      </c>
      <c r="J104" t="s">
        <v>2701</v>
      </c>
      <c r="K104" t="s">
        <v>52</v>
      </c>
      <c r="L104">
        <v>26</v>
      </c>
      <c r="M104">
        <v>5</v>
      </c>
      <c r="N104">
        <v>0</v>
      </c>
      <c r="O104" t="s">
        <v>162</v>
      </c>
      <c r="P104" t="s">
        <v>44</v>
      </c>
      <c r="Q104" t="s">
        <v>117</v>
      </c>
      <c r="R104" t="s">
        <v>43</v>
      </c>
      <c r="S104" t="s">
        <v>123</v>
      </c>
      <c r="T104">
        <v>3</v>
      </c>
      <c r="U104" s="5">
        <v>275.02</v>
      </c>
      <c r="V104" s="5">
        <v>714.94</v>
      </c>
      <c r="W104">
        <v>6</v>
      </c>
      <c r="X104" t="s">
        <v>34</v>
      </c>
      <c r="Y104">
        <v>2024</v>
      </c>
      <c r="Z104" t="str">
        <f>TEXT(Table1[[#This Row],[Order Date]],"MMM")</f>
        <v>Jan</v>
      </c>
      <c r="AA104" s="5">
        <f>Table1[[#This Row],[Unit Price]]*Table1[[#This Row],[Quantity]]*(1-Table1[[#This Row],[Discount %]]/100)</f>
        <v>1375.1</v>
      </c>
      <c r="AB104" s="5">
        <f>Table1[[#This Row],[Sales]]-Table1[[#This Row],[Cost]]</f>
        <v>660.15999999999985</v>
      </c>
    </row>
    <row r="105" spans="1:28" x14ac:dyDescent="0.3">
      <c r="A105" t="s">
        <v>374</v>
      </c>
      <c r="B105" s="1">
        <v>45297</v>
      </c>
      <c r="C105" t="s">
        <v>375</v>
      </c>
      <c r="D105" t="s">
        <v>2887</v>
      </c>
      <c r="E105" s="1">
        <v>45303</v>
      </c>
      <c r="F105" t="s">
        <v>56</v>
      </c>
      <c r="G105" t="s">
        <v>54</v>
      </c>
      <c r="H105" t="s">
        <v>55</v>
      </c>
      <c r="I105" t="s">
        <v>2675</v>
      </c>
      <c r="J105" t="s">
        <v>2676</v>
      </c>
      <c r="K105" t="s">
        <v>52</v>
      </c>
      <c r="L105">
        <v>18</v>
      </c>
      <c r="M105">
        <v>3</v>
      </c>
      <c r="N105">
        <v>5</v>
      </c>
      <c r="O105" t="s">
        <v>376</v>
      </c>
      <c r="P105" t="s">
        <v>75</v>
      </c>
      <c r="Q105" t="s">
        <v>42</v>
      </c>
      <c r="R105" t="s">
        <v>71</v>
      </c>
      <c r="S105" t="s">
        <v>57</v>
      </c>
      <c r="T105">
        <v>5</v>
      </c>
      <c r="U105" s="5">
        <v>674.61</v>
      </c>
      <c r="V105" s="5">
        <v>1381.79</v>
      </c>
      <c r="W105">
        <v>6</v>
      </c>
      <c r="X105" t="s">
        <v>34</v>
      </c>
      <c r="Y105">
        <v>2024</v>
      </c>
      <c r="Z105" t="str">
        <f>TEXT(Table1[[#This Row],[Order Date]],"MMM")</f>
        <v>Jan</v>
      </c>
      <c r="AA105" s="5">
        <f>Table1[[#This Row],[Unit Price]]*Table1[[#This Row],[Quantity]]*(1-Table1[[#This Row],[Discount %]]/100)</f>
        <v>1922.6384999999998</v>
      </c>
      <c r="AB105" s="5">
        <f>Table1[[#This Row],[Sales]]-Table1[[#This Row],[Cost]]</f>
        <v>540.84849999999983</v>
      </c>
    </row>
    <row r="106" spans="1:28" x14ac:dyDescent="0.3">
      <c r="A106" t="s">
        <v>377</v>
      </c>
      <c r="B106" s="1">
        <v>46054</v>
      </c>
      <c r="C106" t="s">
        <v>378</v>
      </c>
      <c r="D106" t="s">
        <v>2888</v>
      </c>
      <c r="E106" s="1">
        <v>46056</v>
      </c>
      <c r="F106" t="s">
        <v>68</v>
      </c>
      <c r="G106" t="s">
        <v>66</v>
      </c>
      <c r="H106" t="s">
        <v>67</v>
      </c>
      <c r="I106" t="s">
        <v>2630</v>
      </c>
      <c r="J106" t="s">
        <v>2710</v>
      </c>
      <c r="K106" t="s">
        <v>52</v>
      </c>
      <c r="L106">
        <v>43</v>
      </c>
      <c r="M106">
        <v>1</v>
      </c>
      <c r="N106">
        <v>25</v>
      </c>
      <c r="O106" t="s">
        <v>379</v>
      </c>
      <c r="P106" t="s">
        <v>75</v>
      </c>
      <c r="Q106" t="s">
        <v>70</v>
      </c>
      <c r="R106" t="s">
        <v>62</v>
      </c>
      <c r="S106" t="s">
        <v>69</v>
      </c>
      <c r="T106">
        <v>3</v>
      </c>
      <c r="U106" s="5">
        <v>612.99</v>
      </c>
      <c r="V106" s="5">
        <v>335.21</v>
      </c>
      <c r="W106">
        <v>2</v>
      </c>
      <c r="X106" t="s">
        <v>34</v>
      </c>
      <c r="Y106">
        <v>2026</v>
      </c>
      <c r="Z106" t="str">
        <f>TEXT(Table1[[#This Row],[Order Date]],"MMM")</f>
        <v>Feb</v>
      </c>
      <c r="AA106" s="5">
        <f>Table1[[#This Row],[Unit Price]]*Table1[[#This Row],[Quantity]]*(1-Table1[[#This Row],[Discount %]]/100)</f>
        <v>459.74250000000001</v>
      </c>
      <c r="AB106" s="5">
        <f>Table1[[#This Row],[Sales]]-Table1[[#This Row],[Cost]]</f>
        <v>124.53250000000003</v>
      </c>
    </row>
    <row r="107" spans="1:28" x14ac:dyDescent="0.3">
      <c r="A107" t="s">
        <v>380</v>
      </c>
      <c r="B107" s="1">
        <v>45470</v>
      </c>
      <c r="C107" t="s">
        <v>381</v>
      </c>
      <c r="D107" t="s">
        <v>2889</v>
      </c>
      <c r="E107" s="1">
        <v>45472</v>
      </c>
      <c r="F107" t="s">
        <v>56</v>
      </c>
      <c r="G107" t="s">
        <v>54</v>
      </c>
      <c r="H107" t="s">
        <v>55</v>
      </c>
      <c r="I107" t="s">
        <v>2619</v>
      </c>
      <c r="J107" t="s">
        <v>2692</v>
      </c>
      <c r="K107" t="s">
        <v>25</v>
      </c>
      <c r="L107">
        <v>19</v>
      </c>
      <c r="M107">
        <v>5</v>
      </c>
      <c r="N107">
        <v>30</v>
      </c>
      <c r="O107" t="s">
        <v>382</v>
      </c>
      <c r="P107" t="s">
        <v>33</v>
      </c>
      <c r="Q107" t="s">
        <v>117</v>
      </c>
      <c r="R107" t="s">
        <v>71</v>
      </c>
      <c r="S107" t="s">
        <v>57</v>
      </c>
      <c r="T107">
        <v>3</v>
      </c>
      <c r="U107" s="5">
        <v>272.60000000000002</v>
      </c>
      <c r="V107" s="5">
        <v>591.5</v>
      </c>
      <c r="W107">
        <v>2</v>
      </c>
      <c r="X107" t="s">
        <v>49</v>
      </c>
      <c r="Y107">
        <v>2024</v>
      </c>
      <c r="Z107" t="str">
        <f>TEXT(Table1[[#This Row],[Order Date]],"MMM")</f>
        <v>Jun</v>
      </c>
      <c r="AA107" s="5">
        <f>Table1[[#This Row],[Unit Price]]*Table1[[#This Row],[Quantity]]*(1-Table1[[#This Row],[Discount %]]/100)</f>
        <v>954.09999999999991</v>
      </c>
      <c r="AB107" s="5">
        <f>Table1[[#This Row],[Sales]]-Table1[[#This Row],[Cost]]</f>
        <v>362.59999999999991</v>
      </c>
    </row>
    <row r="108" spans="1:28" x14ac:dyDescent="0.3">
      <c r="A108" t="s">
        <v>383</v>
      </c>
      <c r="B108" s="1">
        <v>45706</v>
      </c>
      <c r="C108" t="s">
        <v>384</v>
      </c>
      <c r="D108" t="s">
        <v>2890</v>
      </c>
      <c r="E108" s="1">
        <v>45709</v>
      </c>
      <c r="F108" t="s">
        <v>122</v>
      </c>
      <c r="G108" t="s">
        <v>120</v>
      </c>
      <c r="H108" t="s">
        <v>121</v>
      </c>
      <c r="I108" t="s">
        <v>2675</v>
      </c>
      <c r="J108" t="s">
        <v>2703</v>
      </c>
      <c r="K108" t="s">
        <v>52</v>
      </c>
      <c r="L108">
        <v>57</v>
      </c>
      <c r="M108">
        <v>4</v>
      </c>
      <c r="N108">
        <v>10</v>
      </c>
      <c r="O108" t="s">
        <v>385</v>
      </c>
      <c r="P108" t="s">
        <v>33</v>
      </c>
      <c r="Q108" t="s">
        <v>58</v>
      </c>
      <c r="R108" t="s">
        <v>32</v>
      </c>
      <c r="S108" t="s">
        <v>123</v>
      </c>
      <c r="T108">
        <v>2</v>
      </c>
      <c r="U108" s="5">
        <v>768.8</v>
      </c>
      <c r="V108" s="5">
        <v>1594</v>
      </c>
      <c r="W108">
        <v>3</v>
      </c>
      <c r="X108" t="s">
        <v>34</v>
      </c>
      <c r="Y108">
        <v>2025</v>
      </c>
      <c r="Z108" t="str">
        <f>TEXT(Table1[[#This Row],[Order Date]],"MMM")</f>
        <v>Feb</v>
      </c>
      <c r="AA108" s="5">
        <f>Table1[[#This Row],[Unit Price]]*Table1[[#This Row],[Quantity]]*(1-Table1[[#This Row],[Discount %]]/100)</f>
        <v>2767.68</v>
      </c>
      <c r="AB108" s="5">
        <f>Table1[[#This Row],[Sales]]-Table1[[#This Row],[Cost]]</f>
        <v>1173.6799999999998</v>
      </c>
    </row>
    <row r="109" spans="1:28" x14ac:dyDescent="0.3">
      <c r="A109" t="s">
        <v>386</v>
      </c>
      <c r="B109" s="1">
        <v>45960</v>
      </c>
      <c r="C109" t="s">
        <v>387</v>
      </c>
      <c r="D109" t="s">
        <v>2891</v>
      </c>
      <c r="E109" s="1">
        <v>45963</v>
      </c>
      <c r="F109" t="s">
        <v>2617</v>
      </c>
      <c r="G109" t="s">
        <v>27</v>
      </c>
      <c r="H109" t="s">
        <v>28</v>
      </c>
      <c r="I109" t="s">
        <v>2650</v>
      </c>
      <c r="J109" t="s">
        <v>2680</v>
      </c>
      <c r="K109" t="s">
        <v>52</v>
      </c>
      <c r="L109">
        <v>59</v>
      </c>
      <c r="M109">
        <v>2</v>
      </c>
      <c r="N109">
        <v>5</v>
      </c>
      <c r="O109" t="s">
        <v>388</v>
      </c>
      <c r="P109" t="s">
        <v>33</v>
      </c>
      <c r="Q109" t="s">
        <v>58</v>
      </c>
      <c r="R109" t="s">
        <v>43</v>
      </c>
      <c r="S109" t="s">
        <v>30</v>
      </c>
      <c r="T109">
        <v>3</v>
      </c>
      <c r="U109" s="5">
        <v>907.65</v>
      </c>
      <c r="V109" s="5">
        <v>1389.01</v>
      </c>
      <c r="W109">
        <v>3</v>
      </c>
      <c r="X109" t="s">
        <v>94</v>
      </c>
      <c r="Y109">
        <v>2025</v>
      </c>
      <c r="Z109" t="str">
        <f>TEXT(Table1[[#This Row],[Order Date]],"MMM")</f>
        <v>Oct</v>
      </c>
      <c r="AA109" s="5">
        <f>Table1[[#This Row],[Unit Price]]*Table1[[#This Row],[Quantity]]*(1-Table1[[#This Row],[Discount %]]/100)</f>
        <v>1724.5349999999999</v>
      </c>
      <c r="AB109" s="5">
        <f>Table1[[#This Row],[Sales]]-Table1[[#This Row],[Cost]]</f>
        <v>335.52499999999986</v>
      </c>
    </row>
    <row r="110" spans="1:28" x14ac:dyDescent="0.3">
      <c r="A110" t="s">
        <v>389</v>
      </c>
      <c r="B110" s="1">
        <v>45916</v>
      </c>
      <c r="C110" t="s">
        <v>390</v>
      </c>
      <c r="D110" t="s">
        <v>2892</v>
      </c>
      <c r="E110" s="1">
        <v>45919</v>
      </c>
      <c r="F110" t="s">
        <v>128</v>
      </c>
      <c r="G110" t="s">
        <v>98</v>
      </c>
      <c r="H110" t="s">
        <v>127</v>
      </c>
      <c r="I110" t="s">
        <v>2625</v>
      </c>
      <c r="J110" t="s">
        <v>2685</v>
      </c>
      <c r="K110" t="s">
        <v>25</v>
      </c>
      <c r="L110">
        <v>39</v>
      </c>
      <c r="M110">
        <v>3</v>
      </c>
      <c r="N110">
        <v>0</v>
      </c>
      <c r="O110" t="s">
        <v>391</v>
      </c>
      <c r="P110" t="s">
        <v>33</v>
      </c>
      <c r="Q110" t="s">
        <v>58</v>
      </c>
      <c r="R110" t="s">
        <v>32</v>
      </c>
      <c r="S110" t="s">
        <v>129</v>
      </c>
      <c r="T110">
        <v>1</v>
      </c>
      <c r="U110" s="5">
        <v>932.33</v>
      </c>
      <c r="V110" s="5">
        <v>2335.0100000000002</v>
      </c>
      <c r="W110">
        <v>3</v>
      </c>
      <c r="X110" t="s">
        <v>45</v>
      </c>
      <c r="Y110">
        <v>2025</v>
      </c>
      <c r="Z110" t="str">
        <f>TEXT(Table1[[#This Row],[Order Date]],"MMM")</f>
        <v>Sep</v>
      </c>
      <c r="AA110" s="5">
        <f>Table1[[#This Row],[Unit Price]]*Table1[[#This Row],[Quantity]]*(1-Table1[[#This Row],[Discount %]]/100)</f>
        <v>2796.9900000000002</v>
      </c>
      <c r="AB110" s="5">
        <f>Table1[[#This Row],[Sales]]-Table1[[#This Row],[Cost]]</f>
        <v>461.98</v>
      </c>
    </row>
    <row r="111" spans="1:28" x14ac:dyDescent="0.3">
      <c r="A111" t="s">
        <v>392</v>
      </c>
      <c r="B111" s="1">
        <v>46030</v>
      </c>
      <c r="C111" t="s">
        <v>393</v>
      </c>
      <c r="D111" t="s">
        <v>2893</v>
      </c>
      <c r="E111" s="1">
        <v>46036</v>
      </c>
      <c r="F111" t="s">
        <v>56</v>
      </c>
      <c r="G111" t="s">
        <v>54</v>
      </c>
      <c r="H111" t="s">
        <v>55</v>
      </c>
      <c r="I111" t="s">
        <v>2675</v>
      </c>
      <c r="J111" t="s">
        <v>2676</v>
      </c>
      <c r="K111" t="s">
        <v>25</v>
      </c>
      <c r="L111">
        <v>46</v>
      </c>
      <c r="M111">
        <v>1</v>
      </c>
      <c r="N111">
        <v>25</v>
      </c>
      <c r="O111" t="s">
        <v>394</v>
      </c>
      <c r="P111" t="s">
        <v>44</v>
      </c>
      <c r="Q111" t="s">
        <v>117</v>
      </c>
      <c r="R111" t="s">
        <v>43</v>
      </c>
      <c r="S111" t="s">
        <v>57</v>
      </c>
      <c r="T111">
        <v>2</v>
      </c>
      <c r="U111" s="5">
        <v>144.76</v>
      </c>
      <c r="V111" s="5">
        <v>69.47</v>
      </c>
      <c r="W111">
        <v>6</v>
      </c>
      <c r="X111" t="s">
        <v>34</v>
      </c>
      <c r="Y111">
        <v>2026</v>
      </c>
      <c r="Z111" t="str">
        <f>TEXT(Table1[[#This Row],[Order Date]],"MMM")</f>
        <v>Jan</v>
      </c>
      <c r="AA111" s="5">
        <f>Table1[[#This Row],[Unit Price]]*Table1[[#This Row],[Quantity]]*(1-Table1[[#This Row],[Discount %]]/100)</f>
        <v>108.57</v>
      </c>
      <c r="AB111" s="5">
        <f>Table1[[#This Row],[Sales]]-Table1[[#This Row],[Cost]]</f>
        <v>39.099999999999994</v>
      </c>
    </row>
    <row r="112" spans="1:28" x14ac:dyDescent="0.3">
      <c r="A112" t="s">
        <v>395</v>
      </c>
      <c r="B112" s="1">
        <v>45506</v>
      </c>
      <c r="C112" t="s">
        <v>396</v>
      </c>
      <c r="D112" t="s">
        <v>2894</v>
      </c>
      <c r="E112" s="1">
        <v>45507</v>
      </c>
      <c r="F112" t="s">
        <v>122</v>
      </c>
      <c r="G112" t="s">
        <v>120</v>
      </c>
      <c r="H112" t="s">
        <v>121</v>
      </c>
      <c r="I112" t="s">
        <v>2657</v>
      </c>
      <c r="J112" t="s">
        <v>2667</v>
      </c>
      <c r="K112" t="s">
        <v>25</v>
      </c>
      <c r="L112">
        <v>63</v>
      </c>
      <c r="M112">
        <v>5</v>
      </c>
      <c r="N112">
        <v>5</v>
      </c>
      <c r="O112" t="s">
        <v>397</v>
      </c>
      <c r="P112" t="s">
        <v>75</v>
      </c>
      <c r="Q112" t="s">
        <v>42</v>
      </c>
      <c r="R112" t="s">
        <v>62</v>
      </c>
      <c r="S112" t="s">
        <v>123</v>
      </c>
      <c r="T112">
        <v>5</v>
      </c>
      <c r="U112" s="5">
        <v>75.59</v>
      </c>
      <c r="V112" s="5">
        <v>260.01</v>
      </c>
      <c r="W112">
        <v>1</v>
      </c>
      <c r="X112" t="s">
        <v>45</v>
      </c>
      <c r="Y112">
        <v>2024</v>
      </c>
      <c r="Z112" t="str">
        <f>TEXT(Table1[[#This Row],[Order Date]],"MMM")</f>
        <v>Aug</v>
      </c>
      <c r="AA112" s="5">
        <f>Table1[[#This Row],[Unit Price]]*Table1[[#This Row],[Quantity]]*(1-Table1[[#This Row],[Discount %]]/100)</f>
        <v>359.05250000000001</v>
      </c>
      <c r="AB112" s="5">
        <f>Table1[[#This Row],[Sales]]-Table1[[#This Row],[Cost]]</f>
        <v>99.042500000000018</v>
      </c>
    </row>
    <row r="113" spans="1:28" x14ac:dyDescent="0.3">
      <c r="A113" t="s">
        <v>398</v>
      </c>
      <c r="B113" s="1">
        <v>45362</v>
      </c>
      <c r="C113" t="s">
        <v>399</v>
      </c>
      <c r="D113" t="s">
        <v>2895</v>
      </c>
      <c r="E113" s="1">
        <v>45365</v>
      </c>
      <c r="F113" t="s">
        <v>128</v>
      </c>
      <c r="G113" t="s">
        <v>98</v>
      </c>
      <c r="H113" t="s">
        <v>127</v>
      </c>
      <c r="I113" t="s">
        <v>2655</v>
      </c>
      <c r="J113" t="s">
        <v>2656</v>
      </c>
      <c r="K113" t="s">
        <v>25</v>
      </c>
      <c r="L113">
        <v>28</v>
      </c>
      <c r="M113">
        <v>1</v>
      </c>
      <c r="N113">
        <v>10</v>
      </c>
      <c r="O113" t="s">
        <v>400</v>
      </c>
      <c r="P113" t="s">
        <v>44</v>
      </c>
      <c r="Q113" t="s">
        <v>70</v>
      </c>
      <c r="R113" t="s">
        <v>32</v>
      </c>
      <c r="S113" t="s">
        <v>129</v>
      </c>
      <c r="T113">
        <v>5</v>
      </c>
      <c r="U113" s="5">
        <v>130.5</v>
      </c>
      <c r="V113" s="5">
        <v>88.2</v>
      </c>
      <c r="W113">
        <v>3</v>
      </c>
      <c r="X113" t="s">
        <v>34</v>
      </c>
      <c r="Y113">
        <v>2024</v>
      </c>
      <c r="Z113" t="str">
        <f>TEXT(Table1[[#This Row],[Order Date]],"MMM")</f>
        <v>Mar</v>
      </c>
      <c r="AA113" s="5">
        <f>Table1[[#This Row],[Unit Price]]*Table1[[#This Row],[Quantity]]*(1-Table1[[#This Row],[Discount %]]/100)</f>
        <v>117.45</v>
      </c>
      <c r="AB113" s="5">
        <f>Table1[[#This Row],[Sales]]-Table1[[#This Row],[Cost]]</f>
        <v>29.25</v>
      </c>
    </row>
    <row r="114" spans="1:28" x14ac:dyDescent="0.3">
      <c r="A114" t="s">
        <v>401</v>
      </c>
      <c r="B114" s="1">
        <v>45524</v>
      </c>
      <c r="C114" t="s">
        <v>402</v>
      </c>
      <c r="D114" t="s">
        <v>2896</v>
      </c>
      <c r="E114" s="1">
        <v>45528</v>
      </c>
      <c r="F114" t="s">
        <v>2617</v>
      </c>
      <c r="G114" t="s">
        <v>27</v>
      </c>
      <c r="H114" t="s">
        <v>28</v>
      </c>
      <c r="I114" t="s">
        <v>2625</v>
      </c>
      <c r="J114" t="s">
        <v>2685</v>
      </c>
      <c r="K114" t="s">
        <v>52</v>
      </c>
      <c r="L114">
        <v>27</v>
      </c>
      <c r="M114">
        <v>4</v>
      </c>
      <c r="N114">
        <v>30</v>
      </c>
      <c r="O114" t="s">
        <v>403</v>
      </c>
      <c r="P114" t="s">
        <v>75</v>
      </c>
      <c r="Q114" t="s">
        <v>58</v>
      </c>
      <c r="R114" t="s">
        <v>32</v>
      </c>
      <c r="S114" t="s">
        <v>30</v>
      </c>
      <c r="T114">
        <v>1</v>
      </c>
      <c r="U114" s="5">
        <v>369.7</v>
      </c>
      <c r="V114" s="5">
        <v>609.29999999999995</v>
      </c>
      <c r="W114">
        <v>4</v>
      </c>
      <c r="X114" t="s">
        <v>45</v>
      </c>
      <c r="Y114">
        <v>2024</v>
      </c>
      <c r="Z114" t="str">
        <f>TEXT(Table1[[#This Row],[Order Date]],"MMM")</f>
        <v>Aug</v>
      </c>
      <c r="AA114" s="5">
        <f>Table1[[#This Row],[Unit Price]]*Table1[[#This Row],[Quantity]]*(1-Table1[[#This Row],[Discount %]]/100)</f>
        <v>1035.1599999999999</v>
      </c>
      <c r="AB114" s="5">
        <f>Table1[[#This Row],[Sales]]-Table1[[#This Row],[Cost]]</f>
        <v>425.8599999999999</v>
      </c>
    </row>
    <row r="115" spans="1:28" x14ac:dyDescent="0.3">
      <c r="A115" t="s">
        <v>404</v>
      </c>
      <c r="B115" s="1">
        <v>46125</v>
      </c>
      <c r="C115" t="s">
        <v>405</v>
      </c>
      <c r="D115" t="s">
        <v>2897</v>
      </c>
      <c r="E115" s="1">
        <v>46130</v>
      </c>
      <c r="F115" t="s">
        <v>128</v>
      </c>
      <c r="G115" t="s">
        <v>98</v>
      </c>
      <c r="H115" t="s">
        <v>127</v>
      </c>
      <c r="I115" t="s">
        <v>2618</v>
      </c>
      <c r="J115" t="s">
        <v>2700</v>
      </c>
      <c r="K115" t="s">
        <v>25</v>
      </c>
      <c r="L115">
        <v>40</v>
      </c>
      <c r="M115">
        <v>5</v>
      </c>
      <c r="N115">
        <v>10</v>
      </c>
      <c r="O115" t="s">
        <v>406</v>
      </c>
      <c r="P115" t="s">
        <v>44</v>
      </c>
      <c r="Q115" t="s">
        <v>42</v>
      </c>
      <c r="R115" t="s">
        <v>43</v>
      </c>
      <c r="S115" t="s">
        <v>129</v>
      </c>
      <c r="T115">
        <v>3</v>
      </c>
      <c r="U115" s="5">
        <v>308.11</v>
      </c>
      <c r="V115" s="5">
        <v>1169.07</v>
      </c>
      <c r="W115">
        <v>5</v>
      </c>
      <c r="X115" t="s">
        <v>49</v>
      </c>
      <c r="Y115">
        <v>2026</v>
      </c>
      <c r="Z115" t="str">
        <f>TEXT(Table1[[#This Row],[Order Date]],"MMM")</f>
        <v>Apr</v>
      </c>
      <c r="AA115" s="5">
        <f>Table1[[#This Row],[Unit Price]]*Table1[[#This Row],[Quantity]]*(1-Table1[[#This Row],[Discount %]]/100)</f>
        <v>1386.4950000000001</v>
      </c>
      <c r="AB115" s="5">
        <f>Table1[[#This Row],[Sales]]-Table1[[#This Row],[Cost]]</f>
        <v>217.42500000000018</v>
      </c>
    </row>
    <row r="116" spans="1:28" x14ac:dyDescent="0.3">
      <c r="A116" t="s">
        <v>407</v>
      </c>
      <c r="B116" s="1">
        <v>45846</v>
      </c>
      <c r="C116" t="s">
        <v>408</v>
      </c>
      <c r="D116" t="s">
        <v>2898</v>
      </c>
      <c r="E116" s="1">
        <v>45852</v>
      </c>
      <c r="F116" t="s">
        <v>115</v>
      </c>
      <c r="G116" t="s">
        <v>66</v>
      </c>
      <c r="H116" t="s">
        <v>114</v>
      </c>
      <c r="I116" t="s">
        <v>2619</v>
      </c>
      <c r="J116" t="s">
        <v>2687</v>
      </c>
      <c r="K116" t="s">
        <v>25</v>
      </c>
      <c r="L116">
        <v>54</v>
      </c>
      <c r="M116">
        <v>1</v>
      </c>
      <c r="N116">
        <v>10</v>
      </c>
      <c r="O116" t="s">
        <v>409</v>
      </c>
      <c r="P116" t="s">
        <v>33</v>
      </c>
      <c r="Q116" t="s">
        <v>70</v>
      </c>
      <c r="R116" t="s">
        <v>32</v>
      </c>
      <c r="S116" t="s">
        <v>116</v>
      </c>
      <c r="T116">
        <v>2</v>
      </c>
      <c r="U116" s="5">
        <v>388.1</v>
      </c>
      <c r="V116" s="5">
        <v>276.12</v>
      </c>
      <c r="W116">
        <v>6</v>
      </c>
      <c r="X116" t="s">
        <v>45</v>
      </c>
      <c r="Y116">
        <v>2025</v>
      </c>
      <c r="Z116" t="str">
        <f>TEXT(Table1[[#This Row],[Order Date]],"MMM")</f>
        <v>Jul</v>
      </c>
      <c r="AA116" s="5">
        <f>Table1[[#This Row],[Unit Price]]*Table1[[#This Row],[Quantity]]*(1-Table1[[#This Row],[Discount %]]/100)</f>
        <v>349.29</v>
      </c>
      <c r="AB116" s="5">
        <f>Table1[[#This Row],[Sales]]-Table1[[#This Row],[Cost]]</f>
        <v>73.170000000000016</v>
      </c>
    </row>
    <row r="117" spans="1:28" x14ac:dyDescent="0.3">
      <c r="A117" t="s">
        <v>410</v>
      </c>
      <c r="B117" s="1">
        <v>45973</v>
      </c>
      <c r="C117" t="s">
        <v>411</v>
      </c>
      <c r="D117" t="s">
        <v>2899</v>
      </c>
      <c r="E117" s="1">
        <v>45975</v>
      </c>
      <c r="F117" t="s">
        <v>56</v>
      </c>
      <c r="G117" t="s">
        <v>54</v>
      </c>
      <c r="H117" t="s">
        <v>55</v>
      </c>
      <c r="I117" t="s">
        <v>2648</v>
      </c>
      <c r="J117" t="s">
        <v>2684</v>
      </c>
      <c r="K117" t="s">
        <v>52</v>
      </c>
      <c r="L117">
        <v>60</v>
      </c>
      <c r="M117">
        <v>4</v>
      </c>
      <c r="N117">
        <v>20</v>
      </c>
      <c r="O117" t="s">
        <v>270</v>
      </c>
      <c r="P117" t="s">
        <v>44</v>
      </c>
      <c r="Q117" t="s">
        <v>42</v>
      </c>
      <c r="R117" t="s">
        <v>62</v>
      </c>
      <c r="S117" t="s">
        <v>57</v>
      </c>
      <c r="T117">
        <v>4</v>
      </c>
      <c r="U117" s="5">
        <v>584.17999999999995</v>
      </c>
      <c r="V117" s="5">
        <v>1537.11</v>
      </c>
      <c r="W117">
        <v>2</v>
      </c>
      <c r="X117" t="s">
        <v>94</v>
      </c>
      <c r="Y117">
        <v>2025</v>
      </c>
      <c r="Z117" t="str">
        <f>TEXT(Table1[[#This Row],[Order Date]],"MMM")</f>
        <v>Nov</v>
      </c>
      <c r="AA117" s="5">
        <f>Table1[[#This Row],[Unit Price]]*Table1[[#This Row],[Quantity]]*(1-Table1[[#This Row],[Discount %]]/100)</f>
        <v>1869.376</v>
      </c>
      <c r="AB117" s="5">
        <f>Table1[[#This Row],[Sales]]-Table1[[#This Row],[Cost]]</f>
        <v>332.26600000000008</v>
      </c>
    </row>
    <row r="118" spans="1:28" x14ac:dyDescent="0.3">
      <c r="A118" t="s">
        <v>412</v>
      </c>
      <c r="B118" s="1">
        <v>46042</v>
      </c>
      <c r="C118" t="s">
        <v>413</v>
      </c>
      <c r="D118" t="s">
        <v>2900</v>
      </c>
      <c r="E118" s="1">
        <v>46043</v>
      </c>
      <c r="F118" t="s">
        <v>140</v>
      </c>
      <c r="G118" t="s">
        <v>38</v>
      </c>
      <c r="H118" t="s">
        <v>139</v>
      </c>
      <c r="I118" t="s">
        <v>2621</v>
      </c>
      <c r="J118" t="s">
        <v>2663</v>
      </c>
      <c r="K118" t="s">
        <v>52</v>
      </c>
      <c r="L118">
        <v>38</v>
      </c>
      <c r="M118">
        <v>2</v>
      </c>
      <c r="N118">
        <v>15</v>
      </c>
      <c r="O118" t="s">
        <v>414</v>
      </c>
      <c r="P118" t="s">
        <v>33</v>
      </c>
      <c r="Q118" t="s">
        <v>117</v>
      </c>
      <c r="R118" t="s">
        <v>43</v>
      </c>
      <c r="S118" t="s">
        <v>141</v>
      </c>
      <c r="T118">
        <v>4</v>
      </c>
      <c r="U118" s="5">
        <v>247.48</v>
      </c>
      <c r="V118" s="5">
        <v>297.77999999999997</v>
      </c>
      <c r="W118">
        <v>1</v>
      </c>
      <c r="X118" t="s">
        <v>34</v>
      </c>
      <c r="Y118">
        <v>2026</v>
      </c>
      <c r="Z118" t="str">
        <f>TEXT(Table1[[#This Row],[Order Date]],"MMM")</f>
        <v>Jan</v>
      </c>
      <c r="AA118" s="5">
        <f>Table1[[#This Row],[Unit Price]]*Table1[[#This Row],[Quantity]]*(1-Table1[[#This Row],[Discount %]]/100)</f>
        <v>420.71599999999995</v>
      </c>
      <c r="AB118" s="5">
        <f>Table1[[#This Row],[Sales]]-Table1[[#This Row],[Cost]]</f>
        <v>122.93599999999998</v>
      </c>
    </row>
    <row r="119" spans="1:28" x14ac:dyDescent="0.3">
      <c r="A119" t="s">
        <v>415</v>
      </c>
      <c r="B119" s="1">
        <v>46034</v>
      </c>
      <c r="C119" t="s">
        <v>416</v>
      </c>
      <c r="D119" t="s">
        <v>2901</v>
      </c>
      <c r="E119" s="1">
        <v>46039</v>
      </c>
      <c r="F119" t="s">
        <v>2617</v>
      </c>
      <c r="G119" t="s">
        <v>27</v>
      </c>
      <c r="H119" t="s">
        <v>28</v>
      </c>
      <c r="I119" t="s">
        <v>2628</v>
      </c>
      <c r="J119" t="s">
        <v>2711</v>
      </c>
      <c r="K119" t="s">
        <v>52</v>
      </c>
      <c r="L119">
        <v>42</v>
      </c>
      <c r="M119">
        <v>4</v>
      </c>
      <c r="N119">
        <v>5</v>
      </c>
      <c r="O119" t="s">
        <v>417</v>
      </c>
      <c r="P119" t="s">
        <v>75</v>
      </c>
      <c r="Q119" t="s">
        <v>58</v>
      </c>
      <c r="R119" t="s">
        <v>32</v>
      </c>
      <c r="S119" t="s">
        <v>30</v>
      </c>
      <c r="T119">
        <v>4</v>
      </c>
      <c r="U119" s="5">
        <v>762.62</v>
      </c>
      <c r="V119" s="5">
        <v>1818.47</v>
      </c>
      <c r="W119">
        <v>5</v>
      </c>
      <c r="X119" t="s">
        <v>34</v>
      </c>
      <c r="Y119">
        <v>2026</v>
      </c>
      <c r="Z119" t="str">
        <f>TEXT(Table1[[#This Row],[Order Date]],"MMM")</f>
        <v>Jan</v>
      </c>
      <c r="AA119" s="5">
        <f>Table1[[#This Row],[Unit Price]]*Table1[[#This Row],[Quantity]]*(1-Table1[[#This Row],[Discount %]]/100)</f>
        <v>2897.9559999999997</v>
      </c>
      <c r="AB119" s="5">
        <f>Table1[[#This Row],[Sales]]-Table1[[#This Row],[Cost]]</f>
        <v>1079.4859999999996</v>
      </c>
    </row>
    <row r="120" spans="1:28" x14ac:dyDescent="0.3">
      <c r="A120" t="s">
        <v>418</v>
      </c>
      <c r="B120" s="1">
        <v>46138</v>
      </c>
      <c r="C120" t="s">
        <v>419</v>
      </c>
      <c r="D120" t="s">
        <v>2902</v>
      </c>
      <c r="E120" s="1">
        <v>46142</v>
      </c>
      <c r="F120" t="s">
        <v>122</v>
      </c>
      <c r="G120" t="s">
        <v>120</v>
      </c>
      <c r="H120" t="s">
        <v>121</v>
      </c>
      <c r="I120" t="s">
        <v>2659</v>
      </c>
      <c r="J120" t="s">
        <v>2666</v>
      </c>
      <c r="K120" t="s">
        <v>52</v>
      </c>
      <c r="L120">
        <v>48</v>
      </c>
      <c r="M120">
        <v>2</v>
      </c>
      <c r="N120">
        <v>10</v>
      </c>
      <c r="O120" t="s">
        <v>420</v>
      </c>
      <c r="P120" t="s">
        <v>75</v>
      </c>
      <c r="Q120" t="s">
        <v>58</v>
      </c>
      <c r="R120" t="s">
        <v>71</v>
      </c>
      <c r="S120" t="s">
        <v>123</v>
      </c>
      <c r="T120">
        <v>3</v>
      </c>
      <c r="U120" s="5">
        <v>515.66</v>
      </c>
      <c r="V120" s="5">
        <v>528.78</v>
      </c>
      <c r="W120">
        <v>4</v>
      </c>
      <c r="X120" t="s">
        <v>49</v>
      </c>
      <c r="Y120">
        <v>2026</v>
      </c>
      <c r="Z120" t="str">
        <f>TEXT(Table1[[#This Row],[Order Date]],"MMM")</f>
        <v>Apr</v>
      </c>
      <c r="AA120" s="5">
        <f>Table1[[#This Row],[Unit Price]]*Table1[[#This Row],[Quantity]]*(1-Table1[[#This Row],[Discount %]]/100)</f>
        <v>928.18799999999999</v>
      </c>
      <c r="AB120" s="5">
        <f>Table1[[#This Row],[Sales]]-Table1[[#This Row],[Cost]]</f>
        <v>399.40800000000002</v>
      </c>
    </row>
    <row r="121" spans="1:28" x14ac:dyDescent="0.3">
      <c r="A121" t="s">
        <v>421</v>
      </c>
      <c r="B121" s="1">
        <v>46036</v>
      </c>
      <c r="C121" t="s">
        <v>422</v>
      </c>
      <c r="D121" t="s">
        <v>2903</v>
      </c>
      <c r="E121" s="1">
        <v>46040</v>
      </c>
      <c r="F121" t="s">
        <v>122</v>
      </c>
      <c r="G121" t="s">
        <v>120</v>
      </c>
      <c r="H121" t="s">
        <v>121</v>
      </c>
      <c r="I121" t="s">
        <v>2668</v>
      </c>
      <c r="J121" t="s">
        <v>2712</v>
      </c>
      <c r="K121" t="s">
        <v>25</v>
      </c>
      <c r="L121">
        <v>34</v>
      </c>
      <c r="M121">
        <v>2</v>
      </c>
      <c r="N121">
        <v>25</v>
      </c>
      <c r="O121" t="s">
        <v>180</v>
      </c>
      <c r="P121" t="s">
        <v>44</v>
      </c>
      <c r="Q121" t="s">
        <v>70</v>
      </c>
      <c r="R121" t="s">
        <v>62</v>
      </c>
      <c r="S121" t="s">
        <v>123</v>
      </c>
      <c r="T121">
        <v>3</v>
      </c>
      <c r="U121" s="5">
        <v>961.36</v>
      </c>
      <c r="V121" s="5">
        <v>1066.18</v>
      </c>
      <c r="W121">
        <v>4</v>
      </c>
      <c r="X121" t="s">
        <v>34</v>
      </c>
      <c r="Y121">
        <v>2026</v>
      </c>
      <c r="Z121" t="str">
        <f>TEXT(Table1[[#This Row],[Order Date]],"MMM")</f>
        <v>Jan</v>
      </c>
      <c r="AA121" s="5">
        <f>Table1[[#This Row],[Unit Price]]*Table1[[#This Row],[Quantity]]*(1-Table1[[#This Row],[Discount %]]/100)</f>
        <v>1442.04</v>
      </c>
      <c r="AB121" s="5">
        <f>Table1[[#This Row],[Sales]]-Table1[[#This Row],[Cost]]</f>
        <v>375.8599999999999</v>
      </c>
    </row>
    <row r="122" spans="1:28" x14ac:dyDescent="0.3">
      <c r="A122" t="s">
        <v>423</v>
      </c>
      <c r="B122" s="1">
        <v>46048</v>
      </c>
      <c r="C122" t="s">
        <v>424</v>
      </c>
      <c r="D122" t="s">
        <v>2904</v>
      </c>
      <c r="E122" s="1">
        <v>46055</v>
      </c>
      <c r="F122" t="s">
        <v>56</v>
      </c>
      <c r="G122" t="s">
        <v>54</v>
      </c>
      <c r="H122" t="s">
        <v>55</v>
      </c>
      <c r="I122" t="s">
        <v>2623</v>
      </c>
      <c r="J122" t="s">
        <v>2713</v>
      </c>
      <c r="K122" t="s">
        <v>25</v>
      </c>
      <c r="L122">
        <v>55</v>
      </c>
      <c r="M122">
        <v>5</v>
      </c>
      <c r="N122">
        <v>25</v>
      </c>
      <c r="O122" t="s">
        <v>425</v>
      </c>
      <c r="P122" t="s">
        <v>44</v>
      </c>
      <c r="Q122" t="s">
        <v>117</v>
      </c>
      <c r="R122" t="s">
        <v>43</v>
      </c>
      <c r="S122" t="s">
        <v>57</v>
      </c>
      <c r="T122">
        <v>3</v>
      </c>
      <c r="U122" s="5">
        <v>451.63</v>
      </c>
      <c r="V122" s="5">
        <v>1011.27</v>
      </c>
      <c r="W122">
        <v>7</v>
      </c>
      <c r="X122" t="s">
        <v>34</v>
      </c>
      <c r="Y122">
        <v>2026</v>
      </c>
      <c r="Z122" t="str">
        <f>TEXT(Table1[[#This Row],[Order Date]],"MMM")</f>
        <v>Jan</v>
      </c>
      <c r="AA122" s="5">
        <f>Table1[[#This Row],[Unit Price]]*Table1[[#This Row],[Quantity]]*(1-Table1[[#This Row],[Discount %]]/100)</f>
        <v>1693.6125000000002</v>
      </c>
      <c r="AB122" s="5">
        <f>Table1[[#This Row],[Sales]]-Table1[[#This Row],[Cost]]</f>
        <v>682.3425000000002</v>
      </c>
    </row>
    <row r="123" spans="1:28" x14ac:dyDescent="0.3">
      <c r="A123" t="s">
        <v>426</v>
      </c>
      <c r="B123" s="1">
        <v>45811</v>
      </c>
      <c r="C123" t="s">
        <v>427</v>
      </c>
      <c r="D123" t="s">
        <v>2905</v>
      </c>
      <c r="E123" s="1">
        <v>45813</v>
      </c>
      <c r="F123" t="s">
        <v>100</v>
      </c>
      <c r="G123" t="s">
        <v>98</v>
      </c>
      <c r="H123" t="s">
        <v>99</v>
      </c>
      <c r="I123" t="s">
        <v>2652</v>
      </c>
      <c r="J123" t="s">
        <v>2679</v>
      </c>
      <c r="K123" t="s">
        <v>25</v>
      </c>
      <c r="L123">
        <v>28</v>
      </c>
      <c r="M123">
        <v>3</v>
      </c>
      <c r="N123">
        <v>15</v>
      </c>
      <c r="O123" t="s">
        <v>428</v>
      </c>
      <c r="P123" t="s">
        <v>33</v>
      </c>
      <c r="Q123" t="s">
        <v>31</v>
      </c>
      <c r="R123" t="s">
        <v>62</v>
      </c>
      <c r="S123" t="s">
        <v>101</v>
      </c>
      <c r="T123">
        <v>2</v>
      </c>
      <c r="U123" s="5">
        <v>13.21</v>
      </c>
      <c r="V123" s="5">
        <v>22.23</v>
      </c>
      <c r="W123">
        <v>2</v>
      </c>
      <c r="X123" t="s">
        <v>49</v>
      </c>
      <c r="Y123">
        <v>2025</v>
      </c>
      <c r="Z123" t="str">
        <f>TEXT(Table1[[#This Row],[Order Date]],"MMM")</f>
        <v>Jun</v>
      </c>
      <c r="AA123" s="5">
        <f>Table1[[#This Row],[Unit Price]]*Table1[[#This Row],[Quantity]]*(1-Table1[[#This Row],[Discount %]]/100)</f>
        <v>33.685500000000005</v>
      </c>
      <c r="AB123" s="5">
        <f>Table1[[#This Row],[Sales]]-Table1[[#This Row],[Cost]]</f>
        <v>11.455500000000004</v>
      </c>
    </row>
    <row r="124" spans="1:28" x14ac:dyDescent="0.3">
      <c r="A124" t="s">
        <v>429</v>
      </c>
      <c r="B124" s="1">
        <v>45773</v>
      </c>
      <c r="C124" t="s">
        <v>430</v>
      </c>
      <c r="D124" t="s">
        <v>2906</v>
      </c>
      <c r="E124" s="1">
        <v>45774</v>
      </c>
      <c r="F124" t="s">
        <v>115</v>
      </c>
      <c r="G124" t="s">
        <v>66</v>
      </c>
      <c r="H124" t="s">
        <v>114</v>
      </c>
      <c r="I124" t="s">
        <v>2650</v>
      </c>
      <c r="J124" t="s">
        <v>2651</v>
      </c>
      <c r="K124" t="s">
        <v>25</v>
      </c>
      <c r="L124">
        <v>53</v>
      </c>
      <c r="M124">
        <v>5</v>
      </c>
      <c r="N124">
        <v>5</v>
      </c>
      <c r="O124" t="s">
        <v>431</v>
      </c>
      <c r="P124" t="s">
        <v>44</v>
      </c>
      <c r="Q124" t="s">
        <v>117</v>
      </c>
      <c r="R124" t="s">
        <v>43</v>
      </c>
      <c r="S124" t="s">
        <v>116</v>
      </c>
      <c r="T124">
        <v>1</v>
      </c>
      <c r="U124" s="5">
        <v>773.09</v>
      </c>
      <c r="V124" s="5">
        <v>2088.58</v>
      </c>
      <c r="W124">
        <v>1</v>
      </c>
      <c r="X124" t="s">
        <v>49</v>
      </c>
      <c r="Y124">
        <v>2025</v>
      </c>
      <c r="Z124" t="str">
        <f>TEXT(Table1[[#This Row],[Order Date]],"MMM")</f>
        <v>Apr</v>
      </c>
      <c r="AA124" s="5">
        <f>Table1[[#This Row],[Unit Price]]*Table1[[#This Row],[Quantity]]*(1-Table1[[#This Row],[Discount %]]/100)</f>
        <v>3672.1775000000002</v>
      </c>
      <c r="AB124" s="5">
        <f>Table1[[#This Row],[Sales]]-Table1[[#This Row],[Cost]]</f>
        <v>1583.5975000000003</v>
      </c>
    </row>
    <row r="125" spans="1:28" x14ac:dyDescent="0.3">
      <c r="A125" t="s">
        <v>432</v>
      </c>
      <c r="B125" s="1">
        <v>46123</v>
      </c>
      <c r="C125" t="s">
        <v>433</v>
      </c>
      <c r="D125" t="s">
        <v>2907</v>
      </c>
      <c r="E125" s="1">
        <v>46125</v>
      </c>
      <c r="F125" t="s">
        <v>140</v>
      </c>
      <c r="G125" t="s">
        <v>38</v>
      </c>
      <c r="H125" t="s">
        <v>139</v>
      </c>
      <c r="I125" t="s">
        <v>2671</v>
      </c>
      <c r="J125" t="s">
        <v>2706</v>
      </c>
      <c r="K125" t="s">
        <v>25</v>
      </c>
      <c r="L125">
        <v>54</v>
      </c>
      <c r="M125">
        <v>4</v>
      </c>
      <c r="N125">
        <v>30</v>
      </c>
      <c r="O125" t="s">
        <v>434</v>
      </c>
      <c r="P125" t="s">
        <v>44</v>
      </c>
      <c r="Q125" t="s">
        <v>70</v>
      </c>
      <c r="R125" t="s">
        <v>43</v>
      </c>
      <c r="S125" t="s">
        <v>141</v>
      </c>
      <c r="T125">
        <v>1</v>
      </c>
      <c r="U125" s="5">
        <v>952.95</v>
      </c>
      <c r="V125" s="5">
        <v>1921.72</v>
      </c>
      <c r="W125">
        <v>2</v>
      </c>
      <c r="X125" t="s">
        <v>49</v>
      </c>
      <c r="Y125">
        <v>2026</v>
      </c>
      <c r="Z125" t="str">
        <f>TEXT(Table1[[#This Row],[Order Date]],"MMM")</f>
        <v>Apr</v>
      </c>
      <c r="AA125" s="5">
        <f>Table1[[#This Row],[Unit Price]]*Table1[[#This Row],[Quantity]]*(1-Table1[[#This Row],[Discount %]]/100)</f>
        <v>2668.2599999999998</v>
      </c>
      <c r="AB125" s="5">
        <f>Table1[[#This Row],[Sales]]-Table1[[#This Row],[Cost]]</f>
        <v>746.53999999999974</v>
      </c>
    </row>
    <row r="126" spans="1:28" x14ac:dyDescent="0.3">
      <c r="A126" t="s">
        <v>435</v>
      </c>
      <c r="B126" s="1">
        <v>45431</v>
      </c>
      <c r="C126" t="s">
        <v>436</v>
      </c>
      <c r="D126" t="s">
        <v>2908</v>
      </c>
      <c r="E126" s="1">
        <v>45433</v>
      </c>
      <c r="F126" t="s">
        <v>100</v>
      </c>
      <c r="G126" t="s">
        <v>98</v>
      </c>
      <c r="H126" t="s">
        <v>99</v>
      </c>
      <c r="I126" t="s">
        <v>2621</v>
      </c>
      <c r="J126" t="s">
        <v>2647</v>
      </c>
      <c r="K126" t="s">
        <v>25</v>
      </c>
      <c r="L126">
        <v>29</v>
      </c>
      <c r="M126">
        <v>1</v>
      </c>
      <c r="N126">
        <v>20</v>
      </c>
      <c r="O126" t="s">
        <v>437</v>
      </c>
      <c r="P126" t="s">
        <v>33</v>
      </c>
      <c r="Q126" t="s">
        <v>42</v>
      </c>
      <c r="R126" t="s">
        <v>62</v>
      </c>
      <c r="S126" t="s">
        <v>101</v>
      </c>
      <c r="T126">
        <v>5</v>
      </c>
      <c r="U126" s="5">
        <v>307.58999999999997</v>
      </c>
      <c r="V126" s="5">
        <v>135.82</v>
      </c>
      <c r="W126">
        <v>2</v>
      </c>
      <c r="X126" t="s">
        <v>49</v>
      </c>
      <c r="Y126">
        <v>2024</v>
      </c>
      <c r="Z126" t="str">
        <f>TEXT(Table1[[#This Row],[Order Date]],"MMM")</f>
        <v>May</v>
      </c>
      <c r="AA126" s="5">
        <f>Table1[[#This Row],[Unit Price]]*Table1[[#This Row],[Quantity]]*(1-Table1[[#This Row],[Discount %]]/100)</f>
        <v>246.072</v>
      </c>
      <c r="AB126" s="5">
        <f>Table1[[#This Row],[Sales]]-Table1[[#This Row],[Cost]]</f>
        <v>110.25200000000001</v>
      </c>
    </row>
    <row r="127" spans="1:28" x14ac:dyDescent="0.3">
      <c r="A127" t="s">
        <v>438</v>
      </c>
      <c r="B127" s="1">
        <v>45613</v>
      </c>
      <c r="C127" t="s">
        <v>439</v>
      </c>
      <c r="D127" t="s">
        <v>2909</v>
      </c>
      <c r="E127" s="1">
        <v>45617</v>
      </c>
      <c r="F127" t="s">
        <v>140</v>
      </c>
      <c r="G127" t="s">
        <v>38</v>
      </c>
      <c r="H127" t="s">
        <v>139</v>
      </c>
      <c r="I127" t="s">
        <v>2650</v>
      </c>
      <c r="J127" t="s">
        <v>2680</v>
      </c>
      <c r="K127" t="s">
        <v>52</v>
      </c>
      <c r="L127">
        <v>52</v>
      </c>
      <c r="M127">
        <v>3</v>
      </c>
      <c r="N127">
        <v>15</v>
      </c>
      <c r="O127" t="s">
        <v>440</v>
      </c>
      <c r="P127" t="s">
        <v>75</v>
      </c>
      <c r="Q127" t="s">
        <v>42</v>
      </c>
      <c r="R127" t="s">
        <v>32</v>
      </c>
      <c r="S127" t="s">
        <v>141</v>
      </c>
      <c r="T127">
        <v>4</v>
      </c>
      <c r="U127" s="5">
        <v>818.3</v>
      </c>
      <c r="V127" s="5">
        <v>1080.3599999999999</v>
      </c>
      <c r="W127">
        <v>4</v>
      </c>
      <c r="X127" t="s">
        <v>94</v>
      </c>
      <c r="Y127">
        <v>2024</v>
      </c>
      <c r="Z127" t="str">
        <f>TEXT(Table1[[#This Row],[Order Date]],"MMM")</f>
        <v>Nov</v>
      </c>
      <c r="AA127" s="5">
        <f>Table1[[#This Row],[Unit Price]]*Table1[[#This Row],[Quantity]]*(1-Table1[[#This Row],[Discount %]]/100)</f>
        <v>2086.6649999999995</v>
      </c>
      <c r="AB127" s="5">
        <f>Table1[[#This Row],[Sales]]-Table1[[#This Row],[Cost]]</f>
        <v>1006.3049999999996</v>
      </c>
    </row>
    <row r="128" spans="1:28" x14ac:dyDescent="0.3">
      <c r="A128" t="s">
        <v>441</v>
      </c>
      <c r="B128" s="1">
        <v>45647</v>
      </c>
      <c r="C128" t="s">
        <v>442</v>
      </c>
      <c r="D128" t="s">
        <v>2910</v>
      </c>
      <c r="E128" s="1">
        <v>45652</v>
      </c>
      <c r="F128" t="s">
        <v>140</v>
      </c>
      <c r="G128" t="s">
        <v>38</v>
      </c>
      <c r="H128" t="s">
        <v>139</v>
      </c>
      <c r="I128" t="s">
        <v>2631</v>
      </c>
      <c r="J128" t="s">
        <v>2673</v>
      </c>
      <c r="K128" t="s">
        <v>25</v>
      </c>
      <c r="L128">
        <v>23</v>
      </c>
      <c r="M128">
        <v>1</v>
      </c>
      <c r="N128">
        <v>10</v>
      </c>
      <c r="O128" t="s">
        <v>443</v>
      </c>
      <c r="P128" t="s">
        <v>75</v>
      </c>
      <c r="Q128" t="s">
        <v>117</v>
      </c>
      <c r="R128" t="s">
        <v>62</v>
      </c>
      <c r="S128" t="s">
        <v>141</v>
      </c>
      <c r="T128">
        <v>5</v>
      </c>
      <c r="U128" s="5">
        <v>310.38</v>
      </c>
      <c r="V128" s="5">
        <v>225.49</v>
      </c>
      <c r="W128">
        <v>5</v>
      </c>
      <c r="X128" t="s">
        <v>94</v>
      </c>
      <c r="Y128">
        <v>2024</v>
      </c>
      <c r="Z128" t="str">
        <f>TEXT(Table1[[#This Row],[Order Date]],"MMM")</f>
        <v>Dec</v>
      </c>
      <c r="AA128" s="5">
        <f>Table1[[#This Row],[Unit Price]]*Table1[[#This Row],[Quantity]]*(1-Table1[[#This Row],[Discount %]]/100)</f>
        <v>279.34199999999998</v>
      </c>
      <c r="AB128" s="5">
        <f>Table1[[#This Row],[Sales]]-Table1[[#This Row],[Cost]]</f>
        <v>53.851999999999975</v>
      </c>
    </row>
    <row r="129" spans="1:28" x14ac:dyDescent="0.3">
      <c r="A129" t="s">
        <v>444</v>
      </c>
      <c r="B129" s="1">
        <v>45632</v>
      </c>
      <c r="C129" t="s">
        <v>445</v>
      </c>
      <c r="D129" t="s">
        <v>2911</v>
      </c>
      <c r="E129" s="1">
        <v>45638</v>
      </c>
      <c r="F129" t="s">
        <v>56</v>
      </c>
      <c r="G129" t="s">
        <v>54</v>
      </c>
      <c r="H129" t="s">
        <v>55</v>
      </c>
      <c r="I129" t="s">
        <v>2661</v>
      </c>
      <c r="J129" t="s">
        <v>2662</v>
      </c>
      <c r="K129" t="s">
        <v>25</v>
      </c>
      <c r="L129">
        <v>63</v>
      </c>
      <c r="M129">
        <v>3</v>
      </c>
      <c r="N129">
        <v>25</v>
      </c>
      <c r="O129" t="s">
        <v>446</v>
      </c>
      <c r="P129" t="s">
        <v>75</v>
      </c>
      <c r="Q129" t="s">
        <v>42</v>
      </c>
      <c r="R129" t="s">
        <v>43</v>
      </c>
      <c r="S129" t="s">
        <v>57</v>
      </c>
      <c r="T129">
        <v>4</v>
      </c>
      <c r="U129" s="5">
        <v>903.29</v>
      </c>
      <c r="V129" s="5">
        <v>1427.85</v>
      </c>
      <c r="W129">
        <v>6</v>
      </c>
      <c r="X129" t="s">
        <v>94</v>
      </c>
      <c r="Y129">
        <v>2024</v>
      </c>
      <c r="Z129" t="str">
        <f>TEXT(Table1[[#This Row],[Order Date]],"MMM")</f>
        <v>Dec</v>
      </c>
      <c r="AA129" s="5">
        <f>Table1[[#This Row],[Unit Price]]*Table1[[#This Row],[Quantity]]*(1-Table1[[#This Row],[Discount %]]/100)</f>
        <v>2032.4024999999999</v>
      </c>
      <c r="AB129" s="5">
        <f>Table1[[#This Row],[Sales]]-Table1[[#This Row],[Cost]]</f>
        <v>604.55250000000001</v>
      </c>
    </row>
    <row r="130" spans="1:28" x14ac:dyDescent="0.3">
      <c r="A130" t="s">
        <v>447</v>
      </c>
      <c r="B130" s="1">
        <v>45992</v>
      </c>
      <c r="C130" t="s">
        <v>448</v>
      </c>
      <c r="D130" t="s">
        <v>2912</v>
      </c>
      <c r="E130" s="1">
        <v>45994</v>
      </c>
      <c r="F130" t="s">
        <v>128</v>
      </c>
      <c r="G130" t="s">
        <v>98</v>
      </c>
      <c r="H130" t="s">
        <v>127</v>
      </c>
      <c r="I130" t="s">
        <v>2625</v>
      </c>
      <c r="J130" t="s">
        <v>2626</v>
      </c>
      <c r="K130" t="s">
        <v>25</v>
      </c>
      <c r="L130">
        <v>20</v>
      </c>
      <c r="M130">
        <v>2</v>
      </c>
      <c r="N130">
        <v>5</v>
      </c>
      <c r="O130" t="s">
        <v>449</v>
      </c>
      <c r="P130" t="s">
        <v>44</v>
      </c>
      <c r="Q130" t="s">
        <v>70</v>
      </c>
      <c r="R130" t="s">
        <v>71</v>
      </c>
      <c r="S130" t="s">
        <v>129</v>
      </c>
      <c r="T130">
        <v>2</v>
      </c>
      <c r="U130" s="5">
        <v>356.72</v>
      </c>
      <c r="V130" s="5">
        <v>562.77</v>
      </c>
      <c r="W130">
        <v>2</v>
      </c>
      <c r="X130" t="s">
        <v>94</v>
      </c>
      <c r="Y130">
        <v>2025</v>
      </c>
      <c r="Z130" t="str">
        <f>TEXT(Table1[[#This Row],[Order Date]],"MMM")</f>
        <v>Dec</v>
      </c>
      <c r="AA130" s="5">
        <f>Table1[[#This Row],[Unit Price]]*Table1[[#This Row],[Quantity]]*(1-Table1[[#This Row],[Discount %]]/100)</f>
        <v>677.76800000000003</v>
      </c>
      <c r="AB130" s="5">
        <f>Table1[[#This Row],[Sales]]-Table1[[#This Row],[Cost]]</f>
        <v>114.99800000000005</v>
      </c>
    </row>
    <row r="131" spans="1:28" x14ac:dyDescent="0.3">
      <c r="A131" t="s">
        <v>450</v>
      </c>
      <c r="B131" s="1">
        <v>45760</v>
      </c>
      <c r="C131" t="s">
        <v>451</v>
      </c>
      <c r="D131" t="s">
        <v>2913</v>
      </c>
      <c r="E131" s="1">
        <v>45764</v>
      </c>
      <c r="F131" t="s">
        <v>115</v>
      </c>
      <c r="G131" t="s">
        <v>66</v>
      </c>
      <c r="H131" t="s">
        <v>114</v>
      </c>
      <c r="I131" t="s">
        <v>2625</v>
      </c>
      <c r="J131" t="s">
        <v>2626</v>
      </c>
      <c r="K131" t="s">
        <v>52</v>
      </c>
      <c r="L131">
        <v>29</v>
      </c>
      <c r="M131">
        <v>3</v>
      </c>
      <c r="N131">
        <v>15</v>
      </c>
      <c r="O131" t="s">
        <v>452</v>
      </c>
      <c r="P131" t="s">
        <v>33</v>
      </c>
      <c r="Q131" t="s">
        <v>42</v>
      </c>
      <c r="R131" t="s">
        <v>32</v>
      </c>
      <c r="S131" t="s">
        <v>116</v>
      </c>
      <c r="T131">
        <v>5</v>
      </c>
      <c r="U131" s="5">
        <v>346.09</v>
      </c>
      <c r="V131" s="5">
        <v>480.72</v>
      </c>
      <c r="W131">
        <v>4</v>
      </c>
      <c r="X131" t="s">
        <v>49</v>
      </c>
      <c r="Y131">
        <v>2025</v>
      </c>
      <c r="Z131" t="str">
        <f>TEXT(Table1[[#This Row],[Order Date]],"MMM")</f>
        <v>Apr</v>
      </c>
      <c r="AA131" s="5">
        <f>Table1[[#This Row],[Unit Price]]*Table1[[#This Row],[Quantity]]*(1-Table1[[#This Row],[Discount %]]/100)</f>
        <v>882.52949999999998</v>
      </c>
      <c r="AB131" s="5">
        <f>Table1[[#This Row],[Sales]]-Table1[[#This Row],[Cost]]</f>
        <v>401.80949999999996</v>
      </c>
    </row>
    <row r="132" spans="1:28" x14ac:dyDescent="0.3">
      <c r="A132" t="s">
        <v>453</v>
      </c>
      <c r="B132" s="1">
        <v>45958</v>
      </c>
      <c r="C132" t="s">
        <v>454</v>
      </c>
      <c r="D132" t="s">
        <v>2914</v>
      </c>
      <c r="E132" s="1">
        <v>45963</v>
      </c>
      <c r="F132" t="s">
        <v>122</v>
      </c>
      <c r="G132" t="s">
        <v>120</v>
      </c>
      <c r="H132" t="s">
        <v>121</v>
      </c>
      <c r="I132" t="s">
        <v>2619</v>
      </c>
      <c r="J132" t="s">
        <v>2620</v>
      </c>
      <c r="K132" t="s">
        <v>52</v>
      </c>
      <c r="L132">
        <v>60</v>
      </c>
      <c r="M132">
        <v>3</v>
      </c>
      <c r="N132">
        <v>20</v>
      </c>
      <c r="O132" t="s">
        <v>455</v>
      </c>
      <c r="P132" t="s">
        <v>44</v>
      </c>
      <c r="Q132" t="s">
        <v>31</v>
      </c>
      <c r="R132" t="s">
        <v>71</v>
      </c>
      <c r="S132" t="s">
        <v>123</v>
      </c>
      <c r="T132">
        <v>3</v>
      </c>
      <c r="U132" s="5">
        <v>257.86</v>
      </c>
      <c r="V132" s="5">
        <v>371.99</v>
      </c>
      <c r="W132">
        <v>5</v>
      </c>
      <c r="X132" t="s">
        <v>94</v>
      </c>
      <c r="Y132">
        <v>2025</v>
      </c>
      <c r="Z132" t="str">
        <f>TEXT(Table1[[#This Row],[Order Date]],"MMM")</f>
        <v>Oct</v>
      </c>
      <c r="AA132" s="5">
        <f>Table1[[#This Row],[Unit Price]]*Table1[[#This Row],[Quantity]]*(1-Table1[[#This Row],[Discount %]]/100)</f>
        <v>618.86400000000003</v>
      </c>
      <c r="AB132" s="5">
        <f>Table1[[#This Row],[Sales]]-Table1[[#This Row],[Cost]]</f>
        <v>246.87400000000002</v>
      </c>
    </row>
    <row r="133" spans="1:28" x14ac:dyDescent="0.3">
      <c r="A133" t="s">
        <v>456</v>
      </c>
      <c r="B133" s="1">
        <v>46056</v>
      </c>
      <c r="C133" t="s">
        <v>457</v>
      </c>
      <c r="D133" t="s">
        <v>2915</v>
      </c>
      <c r="E133" s="1">
        <v>46061</v>
      </c>
      <c r="F133" t="s">
        <v>100</v>
      </c>
      <c r="G133" t="s">
        <v>98</v>
      </c>
      <c r="H133" t="s">
        <v>99</v>
      </c>
      <c r="I133" t="s">
        <v>2618</v>
      </c>
      <c r="J133" t="s">
        <v>2701</v>
      </c>
      <c r="K133" t="s">
        <v>52</v>
      </c>
      <c r="L133">
        <v>21</v>
      </c>
      <c r="M133">
        <v>3</v>
      </c>
      <c r="N133">
        <v>0</v>
      </c>
      <c r="O133" t="s">
        <v>458</v>
      </c>
      <c r="P133" t="s">
        <v>75</v>
      </c>
      <c r="Q133" t="s">
        <v>58</v>
      </c>
      <c r="R133" t="s">
        <v>62</v>
      </c>
      <c r="S133" t="s">
        <v>101</v>
      </c>
      <c r="T133">
        <v>5</v>
      </c>
      <c r="U133" s="5">
        <v>566.97</v>
      </c>
      <c r="V133" s="5">
        <v>921.05</v>
      </c>
      <c r="W133">
        <v>5</v>
      </c>
      <c r="X133" t="s">
        <v>34</v>
      </c>
      <c r="Y133">
        <v>2026</v>
      </c>
      <c r="Z133" t="str">
        <f>TEXT(Table1[[#This Row],[Order Date]],"MMM")</f>
        <v>Feb</v>
      </c>
      <c r="AA133" s="5">
        <f>Table1[[#This Row],[Unit Price]]*Table1[[#This Row],[Quantity]]*(1-Table1[[#This Row],[Discount %]]/100)</f>
        <v>1700.91</v>
      </c>
      <c r="AB133" s="5">
        <f>Table1[[#This Row],[Sales]]-Table1[[#This Row],[Cost]]</f>
        <v>779.86000000000013</v>
      </c>
    </row>
    <row r="134" spans="1:28" x14ac:dyDescent="0.3">
      <c r="A134" t="s">
        <v>459</v>
      </c>
      <c r="B134" s="1">
        <v>45557</v>
      </c>
      <c r="C134" t="s">
        <v>460</v>
      </c>
      <c r="D134" t="s">
        <v>2916</v>
      </c>
      <c r="E134" s="1">
        <v>45564</v>
      </c>
      <c r="F134" t="s">
        <v>115</v>
      </c>
      <c r="G134" t="s">
        <v>66</v>
      </c>
      <c r="H134" t="s">
        <v>114</v>
      </c>
      <c r="I134" t="s">
        <v>2625</v>
      </c>
      <c r="J134" t="s">
        <v>2705</v>
      </c>
      <c r="K134" t="s">
        <v>52</v>
      </c>
      <c r="L134">
        <v>56</v>
      </c>
      <c r="M134">
        <v>1</v>
      </c>
      <c r="N134">
        <v>25</v>
      </c>
      <c r="O134" t="s">
        <v>461</v>
      </c>
      <c r="P134" t="s">
        <v>75</v>
      </c>
      <c r="Q134" t="s">
        <v>31</v>
      </c>
      <c r="R134" t="s">
        <v>43</v>
      </c>
      <c r="S134" t="s">
        <v>116</v>
      </c>
      <c r="T134">
        <v>2</v>
      </c>
      <c r="U134" s="5">
        <v>109.69</v>
      </c>
      <c r="V134" s="5">
        <v>42.25</v>
      </c>
      <c r="W134">
        <v>7</v>
      </c>
      <c r="X134" t="s">
        <v>45</v>
      </c>
      <c r="Y134">
        <v>2024</v>
      </c>
      <c r="Z134" t="str">
        <f>TEXT(Table1[[#This Row],[Order Date]],"MMM")</f>
        <v>Sep</v>
      </c>
      <c r="AA134" s="5">
        <f>Table1[[#This Row],[Unit Price]]*Table1[[#This Row],[Quantity]]*(1-Table1[[#This Row],[Discount %]]/100)</f>
        <v>82.267499999999998</v>
      </c>
      <c r="AB134" s="5">
        <f>Table1[[#This Row],[Sales]]-Table1[[#This Row],[Cost]]</f>
        <v>40.017499999999998</v>
      </c>
    </row>
    <row r="135" spans="1:28" x14ac:dyDescent="0.3">
      <c r="A135" t="s">
        <v>462</v>
      </c>
      <c r="B135" s="1">
        <v>45849</v>
      </c>
      <c r="C135" t="s">
        <v>463</v>
      </c>
      <c r="D135" t="s">
        <v>2917</v>
      </c>
      <c r="E135" s="1">
        <v>45855</v>
      </c>
      <c r="F135" t="s">
        <v>128</v>
      </c>
      <c r="G135" t="s">
        <v>98</v>
      </c>
      <c r="H135" t="s">
        <v>127</v>
      </c>
      <c r="I135" t="s">
        <v>2633</v>
      </c>
      <c r="J135" t="s">
        <v>2645</v>
      </c>
      <c r="K135" t="s">
        <v>52</v>
      </c>
      <c r="L135">
        <v>45</v>
      </c>
      <c r="M135">
        <v>5</v>
      </c>
      <c r="N135">
        <v>10</v>
      </c>
      <c r="O135" t="s">
        <v>464</v>
      </c>
      <c r="P135" t="s">
        <v>33</v>
      </c>
      <c r="Q135" t="s">
        <v>31</v>
      </c>
      <c r="R135" t="s">
        <v>43</v>
      </c>
      <c r="S135" t="s">
        <v>129</v>
      </c>
      <c r="T135">
        <v>5</v>
      </c>
      <c r="U135" s="5">
        <v>694.87</v>
      </c>
      <c r="V135" s="5">
        <v>2472.0700000000002</v>
      </c>
      <c r="W135">
        <v>6</v>
      </c>
      <c r="X135" t="s">
        <v>45</v>
      </c>
      <c r="Y135">
        <v>2025</v>
      </c>
      <c r="Z135" t="str">
        <f>TEXT(Table1[[#This Row],[Order Date]],"MMM")</f>
        <v>Jul</v>
      </c>
      <c r="AA135" s="5">
        <f>Table1[[#This Row],[Unit Price]]*Table1[[#This Row],[Quantity]]*(1-Table1[[#This Row],[Discount %]]/100)</f>
        <v>3126.915</v>
      </c>
      <c r="AB135" s="5">
        <f>Table1[[#This Row],[Sales]]-Table1[[#This Row],[Cost]]</f>
        <v>654.8449999999998</v>
      </c>
    </row>
    <row r="136" spans="1:28" x14ac:dyDescent="0.3">
      <c r="A136" t="s">
        <v>465</v>
      </c>
      <c r="B136" s="1">
        <v>46129</v>
      </c>
      <c r="C136" t="s">
        <v>466</v>
      </c>
      <c r="D136" t="s">
        <v>2918</v>
      </c>
      <c r="E136" s="1">
        <v>46133</v>
      </c>
      <c r="F136" t="s">
        <v>68</v>
      </c>
      <c r="G136" t="s">
        <v>66</v>
      </c>
      <c r="H136" t="s">
        <v>67</v>
      </c>
      <c r="I136" t="s">
        <v>2659</v>
      </c>
      <c r="J136" t="s">
        <v>2666</v>
      </c>
      <c r="K136" t="s">
        <v>52</v>
      </c>
      <c r="L136">
        <v>37</v>
      </c>
      <c r="M136">
        <v>3</v>
      </c>
      <c r="N136">
        <v>0</v>
      </c>
      <c r="O136" t="s">
        <v>467</v>
      </c>
      <c r="P136" t="s">
        <v>44</v>
      </c>
      <c r="Q136" t="s">
        <v>70</v>
      </c>
      <c r="R136" t="s">
        <v>71</v>
      </c>
      <c r="S136" t="s">
        <v>69</v>
      </c>
      <c r="T136">
        <v>4</v>
      </c>
      <c r="U136" s="5">
        <v>867.99</v>
      </c>
      <c r="V136" s="5">
        <v>1798.51</v>
      </c>
      <c r="W136">
        <v>4</v>
      </c>
      <c r="X136" t="s">
        <v>49</v>
      </c>
      <c r="Y136">
        <v>2026</v>
      </c>
      <c r="Z136" t="str">
        <f>TEXT(Table1[[#This Row],[Order Date]],"MMM")</f>
        <v>Apr</v>
      </c>
      <c r="AA136" s="5">
        <f>Table1[[#This Row],[Unit Price]]*Table1[[#This Row],[Quantity]]*(1-Table1[[#This Row],[Discount %]]/100)</f>
        <v>2603.9700000000003</v>
      </c>
      <c r="AB136" s="5">
        <f>Table1[[#This Row],[Sales]]-Table1[[#This Row],[Cost]]</f>
        <v>805.46000000000026</v>
      </c>
    </row>
    <row r="137" spans="1:28" x14ac:dyDescent="0.3">
      <c r="A137" t="s">
        <v>468</v>
      </c>
      <c r="B137" s="1">
        <v>45876</v>
      </c>
      <c r="C137" t="s">
        <v>469</v>
      </c>
      <c r="D137" t="s">
        <v>2919</v>
      </c>
      <c r="E137" s="1">
        <v>45878</v>
      </c>
      <c r="F137" t="s">
        <v>115</v>
      </c>
      <c r="G137" t="s">
        <v>66</v>
      </c>
      <c r="H137" t="s">
        <v>114</v>
      </c>
      <c r="I137" t="s">
        <v>2621</v>
      </c>
      <c r="J137" t="s">
        <v>2647</v>
      </c>
      <c r="K137" t="s">
        <v>52</v>
      </c>
      <c r="L137">
        <v>38</v>
      </c>
      <c r="M137">
        <v>2</v>
      </c>
      <c r="N137">
        <v>10</v>
      </c>
      <c r="O137" t="s">
        <v>470</v>
      </c>
      <c r="P137" t="s">
        <v>75</v>
      </c>
      <c r="Q137" t="s">
        <v>58</v>
      </c>
      <c r="R137" t="s">
        <v>62</v>
      </c>
      <c r="S137" t="s">
        <v>116</v>
      </c>
      <c r="T137">
        <v>1</v>
      </c>
      <c r="U137" s="5">
        <v>533.57000000000005</v>
      </c>
      <c r="V137" s="5">
        <v>737.78</v>
      </c>
      <c r="W137">
        <v>2</v>
      </c>
      <c r="X137" t="s">
        <v>45</v>
      </c>
      <c r="Y137">
        <v>2025</v>
      </c>
      <c r="Z137" t="str">
        <f>TEXT(Table1[[#This Row],[Order Date]],"MMM")</f>
        <v>Aug</v>
      </c>
      <c r="AA137" s="5">
        <f>Table1[[#This Row],[Unit Price]]*Table1[[#This Row],[Quantity]]*(1-Table1[[#This Row],[Discount %]]/100)</f>
        <v>960.42600000000016</v>
      </c>
      <c r="AB137" s="5">
        <f>Table1[[#This Row],[Sales]]-Table1[[#This Row],[Cost]]</f>
        <v>222.64600000000019</v>
      </c>
    </row>
    <row r="138" spans="1:28" x14ac:dyDescent="0.3">
      <c r="A138" t="s">
        <v>471</v>
      </c>
      <c r="B138" s="1">
        <v>46036</v>
      </c>
      <c r="C138" t="s">
        <v>472</v>
      </c>
      <c r="D138" t="s">
        <v>2920</v>
      </c>
      <c r="E138" s="1">
        <v>46039</v>
      </c>
      <c r="F138" t="s">
        <v>140</v>
      </c>
      <c r="G138" t="s">
        <v>38</v>
      </c>
      <c r="H138" t="s">
        <v>139</v>
      </c>
      <c r="I138" t="s">
        <v>2619</v>
      </c>
      <c r="J138" t="s">
        <v>2697</v>
      </c>
      <c r="K138" t="s">
        <v>52</v>
      </c>
      <c r="L138">
        <v>22</v>
      </c>
      <c r="M138">
        <v>4</v>
      </c>
      <c r="N138">
        <v>15</v>
      </c>
      <c r="O138" t="s">
        <v>473</v>
      </c>
      <c r="P138" t="s">
        <v>75</v>
      </c>
      <c r="Q138" t="s">
        <v>70</v>
      </c>
      <c r="R138" t="s">
        <v>32</v>
      </c>
      <c r="S138" t="s">
        <v>141</v>
      </c>
      <c r="T138">
        <v>1</v>
      </c>
      <c r="U138" s="5">
        <v>119.08</v>
      </c>
      <c r="V138" s="5">
        <v>288.19</v>
      </c>
      <c r="W138">
        <v>3</v>
      </c>
      <c r="X138" t="s">
        <v>34</v>
      </c>
      <c r="Y138">
        <v>2026</v>
      </c>
      <c r="Z138" t="str">
        <f>TEXT(Table1[[#This Row],[Order Date]],"MMM")</f>
        <v>Jan</v>
      </c>
      <c r="AA138" s="5">
        <f>Table1[[#This Row],[Unit Price]]*Table1[[#This Row],[Quantity]]*(1-Table1[[#This Row],[Discount %]]/100)</f>
        <v>404.87199999999996</v>
      </c>
      <c r="AB138" s="5">
        <f>Table1[[#This Row],[Sales]]-Table1[[#This Row],[Cost]]</f>
        <v>116.68199999999996</v>
      </c>
    </row>
    <row r="139" spans="1:28" x14ac:dyDescent="0.3">
      <c r="A139" t="s">
        <v>474</v>
      </c>
      <c r="B139" s="1">
        <v>46040</v>
      </c>
      <c r="C139" t="s">
        <v>475</v>
      </c>
      <c r="D139" t="s">
        <v>2921</v>
      </c>
      <c r="E139" s="1">
        <v>46041</v>
      </c>
      <c r="F139" t="s">
        <v>56</v>
      </c>
      <c r="G139" t="s">
        <v>54</v>
      </c>
      <c r="H139" t="s">
        <v>55</v>
      </c>
      <c r="I139" t="s">
        <v>2621</v>
      </c>
      <c r="J139" t="s">
        <v>2622</v>
      </c>
      <c r="K139" t="s">
        <v>52</v>
      </c>
      <c r="L139">
        <v>19</v>
      </c>
      <c r="M139">
        <v>5</v>
      </c>
      <c r="N139">
        <v>30</v>
      </c>
      <c r="O139" t="s">
        <v>476</v>
      </c>
      <c r="P139" t="s">
        <v>44</v>
      </c>
      <c r="Q139" t="s">
        <v>42</v>
      </c>
      <c r="R139" t="s">
        <v>62</v>
      </c>
      <c r="S139" t="s">
        <v>57</v>
      </c>
      <c r="T139">
        <v>4</v>
      </c>
      <c r="U139" s="5">
        <v>852.41</v>
      </c>
      <c r="V139" s="5">
        <v>2157.14</v>
      </c>
      <c r="W139">
        <v>1</v>
      </c>
      <c r="X139" t="s">
        <v>34</v>
      </c>
      <c r="Y139">
        <v>2026</v>
      </c>
      <c r="Z139" t="str">
        <f>TEXT(Table1[[#This Row],[Order Date]],"MMM")</f>
        <v>Jan</v>
      </c>
      <c r="AA139" s="5">
        <f>Table1[[#This Row],[Unit Price]]*Table1[[#This Row],[Quantity]]*(1-Table1[[#This Row],[Discount %]]/100)</f>
        <v>2983.4349999999999</v>
      </c>
      <c r="AB139" s="5">
        <f>Table1[[#This Row],[Sales]]-Table1[[#This Row],[Cost]]</f>
        <v>826.29500000000007</v>
      </c>
    </row>
    <row r="140" spans="1:28" x14ac:dyDescent="0.3">
      <c r="A140" t="s">
        <v>477</v>
      </c>
      <c r="B140" s="1">
        <v>45761</v>
      </c>
      <c r="C140" t="s">
        <v>478</v>
      </c>
      <c r="D140" t="s">
        <v>2922</v>
      </c>
      <c r="E140" s="1">
        <v>45763</v>
      </c>
      <c r="F140" t="s">
        <v>40</v>
      </c>
      <c r="G140" t="s">
        <v>38</v>
      </c>
      <c r="H140" t="s">
        <v>39</v>
      </c>
      <c r="I140" t="s">
        <v>2675</v>
      </c>
      <c r="J140" t="s">
        <v>2676</v>
      </c>
      <c r="K140" t="s">
        <v>25</v>
      </c>
      <c r="L140">
        <v>50</v>
      </c>
      <c r="M140">
        <v>5</v>
      </c>
      <c r="N140">
        <v>25</v>
      </c>
      <c r="O140" t="s">
        <v>479</v>
      </c>
      <c r="P140" t="s">
        <v>33</v>
      </c>
      <c r="Q140" t="s">
        <v>70</v>
      </c>
      <c r="R140" t="s">
        <v>43</v>
      </c>
      <c r="S140" t="s">
        <v>41</v>
      </c>
      <c r="T140">
        <v>3</v>
      </c>
      <c r="U140" s="5">
        <v>508.13</v>
      </c>
      <c r="V140" s="5">
        <v>1020.7</v>
      </c>
      <c r="W140">
        <v>2</v>
      </c>
      <c r="X140" t="s">
        <v>49</v>
      </c>
      <c r="Y140">
        <v>2025</v>
      </c>
      <c r="Z140" t="str">
        <f>TEXT(Table1[[#This Row],[Order Date]],"MMM")</f>
        <v>Apr</v>
      </c>
      <c r="AA140" s="5">
        <f>Table1[[#This Row],[Unit Price]]*Table1[[#This Row],[Quantity]]*(1-Table1[[#This Row],[Discount %]]/100)</f>
        <v>1905.4875000000002</v>
      </c>
      <c r="AB140" s="5">
        <f>Table1[[#This Row],[Sales]]-Table1[[#This Row],[Cost]]</f>
        <v>884.78750000000014</v>
      </c>
    </row>
    <row r="141" spans="1:28" x14ac:dyDescent="0.3">
      <c r="A141" t="s">
        <v>480</v>
      </c>
      <c r="B141" s="1">
        <v>46190</v>
      </c>
      <c r="C141" t="s">
        <v>481</v>
      </c>
      <c r="D141" t="s">
        <v>2923</v>
      </c>
      <c r="E141" s="1">
        <v>46195</v>
      </c>
      <c r="F141" t="s">
        <v>122</v>
      </c>
      <c r="G141" t="s">
        <v>120</v>
      </c>
      <c r="H141" t="s">
        <v>121</v>
      </c>
      <c r="I141" t="s">
        <v>2623</v>
      </c>
      <c r="J141" t="s">
        <v>2713</v>
      </c>
      <c r="K141" t="s">
        <v>25</v>
      </c>
      <c r="L141">
        <v>27</v>
      </c>
      <c r="M141">
        <v>4</v>
      </c>
      <c r="N141">
        <v>0</v>
      </c>
      <c r="O141" t="s">
        <v>81</v>
      </c>
      <c r="P141" t="s">
        <v>44</v>
      </c>
      <c r="Q141" t="s">
        <v>70</v>
      </c>
      <c r="R141" t="s">
        <v>43</v>
      </c>
      <c r="S141" t="s">
        <v>123</v>
      </c>
      <c r="T141">
        <v>3</v>
      </c>
      <c r="U141" s="5">
        <v>582.79</v>
      </c>
      <c r="V141" s="5">
        <v>1416.81</v>
      </c>
      <c r="W141">
        <v>5</v>
      </c>
      <c r="X141" t="s">
        <v>49</v>
      </c>
      <c r="Y141">
        <v>2026</v>
      </c>
      <c r="Z141" t="str">
        <f>TEXT(Table1[[#This Row],[Order Date]],"MMM")</f>
        <v>Jun</v>
      </c>
      <c r="AA141" s="5">
        <f>Table1[[#This Row],[Unit Price]]*Table1[[#This Row],[Quantity]]*(1-Table1[[#This Row],[Discount %]]/100)</f>
        <v>2331.16</v>
      </c>
      <c r="AB141" s="5">
        <f>Table1[[#This Row],[Sales]]-Table1[[#This Row],[Cost]]</f>
        <v>914.34999999999991</v>
      </c>
    </row>
    <row r="142" spans="1:28" x14ac:dyDescent="0.3">
      <c r="A142" t="s">
        <v>482</v>
      </c>
      <c r="B142" s="1">
        <v>45369</v>
      </c>
      <c r="C142" t="s">
        <v>483</v>
      </c>
      <c r="D142" t="s">
        <v>2924</v>
      </c>
      <c r="E142" s="1">
        <v>45373</v>
      </c>
      <c r="F142" t="s">
        <v>2617</v>
      </c>
      <c r="G142" t="s">
        <v>27</v>
      </c>
      <c r="H142" t="s">
        <v>28</v>
      </c>
      <c r="I142" t="s">
        <v>2657</v>
      </c>
      <c r="J142" t="s">
        <v>2667</v>
      </c>
      <c r="K142" t="s">
        <v>52</v>
      </c>
      <c r="L142">
        <v>28</v>
      </c>
      <c r="M142">
        <v>3</v>
      </c>
      <c r="N142">
        <v>25</v>
      </c>
      <c r="O142" t="s">
        <v>484</v>
      </c>
      <c r="P142" t="s">
        <v>75</v>
      </c>
      <c r="Q142" t="s">
        <v>42</v>
      </c>
      <c r="R142" t="s">
        <v>43</v>
      </c>
      <c r="S142" t="s">
        <v>30</v>
      </c>
      <c r="T142">
        <v>4</v>
      </c>
      <c r="U142" s="5">
        <v>123.99</v>
      </c>
      <c r="V142" s="5">
        <v>212.47</v>
      </c>
      <c r="W142">
        <v>4</v>
      </c>
      <c r="X142" t="s">
        <v>34</v>
      </c>
      <c r="Y142">
        <v>2024</v>
      </c>
      <c r="Z142" t="str">
        <f>TEXT(Table1[[#This Row],[Order Date]],"MMM")</f>
        <v>Mar</v>
      </c>
      <c r="AA142" s="5">
        <f>Table1[[#This Row],[Unit Price]]*Table1[[#This Row],[Quantity]]*(1-Table1[[#This Row],[Discount %]]/100)</f>
        <v>278.97749999999996</v>
      </c>
      <c r="AB142" s="5">
        <f>Table1[[#This Row],[Sales]]-Table1[[#This Row],[Cost]]</f>
        <v>66.507499999999965</v>
      </c>
    </row>
    <row r="143" spans="1:28" x14ac:dyDescent="0.3">
      <c r="A143" t="s">
        <v>485</v>
      </c>
      <c r="B143" s="1">
        <v>45864</v>
      </c>
      <c r="C143" t="s">
        <v>486</v>
      </c>
      <c r="D143" t="s">
        <v>2925</v>
      </c>
      <c r="E143" s="1">
        <v>45868</v>
      </c>
      <c r="F143" t="s">
        <v>40</v>
      </c>
      <c r="G143" t="s">
        <v>38</v>
      </c>
      <c r="H143" t="s">
        <v>39</v>
      </c>
      <c r="I143" t="s">
        <v>2664</v>
      </c>
      <c r="J143" t="s">
        <v>2665</v>
      </c>
      <c r="K143" t="s">
        <v>25</v>
      </c>
      <c r="L143">
        <v>61</v>
      </c>
      <c r="M143">
        <v>2</v>
      </c>
      <c r="N143">
        <v>15</v>
      </c>
      <c r="O143" t="s">
        <v>487</v>
      </c>
      <c r="P143" t="s">
        <v>75</v>
      </c>
      <c r="Q143" t="s">
        <v>70</v>
      </c>
      <c r="R143" t="s">
        <v>71</v>
      </c>
      <c r="S143" t="s">
        <v>41</v>
      </c>
      <c r="T143">
        <v>1</v>
      </c>
      <c r="U143" s="5">
        <v>189.72</v>
      </c>
      <c r="V143" s="5">
        <v>241.89</v>
      </c>
      <c r="W143">
        <v>4</v>
      </c>
      <c r="X143" t="s">
        <v>45</v>
      </c>
      <c r="Y143">
        <v>2025</v>
      </c>
      <c r="Z143" t="str">
        <f>TEXT(Table1[[#This Row],[Order Date]],"MMM")</f>
        <v>Jul</v>
      </c>
      <c r="AA143" s="5">
        <f>Table1[[#This Row],[Unit Price]]*Table1[[#This Row],[Quantity]]*(1-Table1[[#This Row],[Discount %]]/100)</f>
        <v>322.524</v>
      </c>
      <c r="AB143" s="5">
        <f>Table1[[#This Row],[Sales]]-Table1[[#This Row],[Cost]]</f>
        <v>80.634000000000015</v>
      </c>
    </row>
    <row r="144" spans="1:28" x14ac:dyDescent="0.3">
      <c r="A144" t="s">
        <v>488</v>
      </c>
      <c r="B144" s="1">
        <v>45810</v>
      </c>
      <c r="C144" t="s">
        <v>489</v>
      </c>
      <c r="D144" t="s">
        <v>2926</v>
      </c>
      <c r="E144" s="1">
        <v>45815</v>
      </c>
      <c r="F144" t="s">
        <v>100</v>
      </c>
      <c r="G144" t="s">
        <v>98</v>
      </c>
      <c r="H144" t="s">
        <v>99</v>
      </c>
      <c r="I144" t="s">
        <v>2664</v>
      </c>
      <c r="J144" t="s">
        <v>2665</v>
      </c>
      <c r="K144" t="s">
        <v>52</v>
      </c>
      <c r="L144">
        <v>23</v>
      </c>
      <c r="M144">
        <v>4</v>
      </c>
      <c r="N144">
        <v>30</v>
      </c>
      <c r="O144" t="s">
        <v>490</v>
      </c>
      <c r="P144" t="s">
        <v>44</v>
      </c>
      <c r="Q144" t="s">
        <v>31</v>
      </c>
      <c r="R144" t="s">
        <v>32</v>
      </c>
      <c r="S144" t="s">
        <v>101</v>
      </c>
      <c r="T144">
        <v>3</v>
      </c>
      <c r="U144" s="5">
        <v>301.04000000000002</v>
      </c>
      <c r="V144" s="5">
        <v>469.83</v>
      </c>
      <c r="W144">
        <v>5</v>
      </c>
      <c r="X144" t="s">
        <v>49</v>
      </c>
      <c r="Y144">
        <v>2025</v>
      </c>
      <c r="Z144" t="str">
        <f>TEXT(Table1[[#This Row],[Order Date]],"MMM")</f>
        <v>Jun</v>
      </c>
      <c r="AA144" s="5">
        <f>Table1[[#This Row],[Unit Price]]*Table1[[#This Row],[Quantity]]*(1-Table1[[#This Row],[Discount %]]/100)</f>
        <v>842.91200000000003</v>
      </c>
      <c r="AB144" s="5">
        <f>Table1[[#This Row],[Sales]]-Table1[[#This Row],[Cost]]</f>
        <v>373.08200000000005</v>
      </c>
    </row>
    <row r="145" spans="1:28" x14ac:dyDescent="0.3">
      <c r="A145" t="s">
        <v>491</v>
      </c>
      <c r="B145" s="1">
        <v>45867</v>
      </c>
      <c r="C145" t="s">
        <v>492</v>
      </c>
      <c r="D145" t="s">
        <v>2927</v>
      </c>
      <c r="E145" s="1">
        <v>45871</v>
      </c>
      <c r="F145" t="s">
        <v>128</v>
      </c>
      <c r="G145" t="s">
        <v>98</v>
      </c>
      <c r="H145" t="s">
        <v>127</v>
      </c>
      <c r="I145" t="s">
        <v>2618</v>
      </c>
      <c r="J145" t="s">
        <v>2618</v>
      </c>
      <c r="K145" t="s">
        <v>52</v>
      </c>
      <c r="L145">
        <v>38</v>
      </c>
      <c r="M145">
        <v>3</v>
      </c>
      <c r="N145">
        <v>15</v>
      </c>
      <c r="O145" t="s">
        <v>493</v>
      </c>
      <c r="P145" t="s">
        <v>75</v>
      </c>
      <c r="Q145" t="s">
        <v>58</v>
      </c>
      <c r="R145" t="s">
        <v>43</v>
      </c>
      <c r="S145" t="s">
        <v>129</v>
      </c>
      <c r="T145">
        <v>1</v>
      </c>
      <c r="U145" s="5">
        <v>164.59</v>
      </c>
      <c r="V145" s="5">
        <v>305.98</v>
      </c>
      <c r="W145">
        <v>4</v>
      </c>
      <c r="X145" t="s">
        <v>45</v>
      </c>
      <c r="Y145">
        <v>2025</v>
      </c>
      <c r="Z145" t="str">
        <f>TEXT(Table1[[#This Row],[Order Date]],"MMM")</f>
        <v>Jul</v>
      </c>
      <c r="AA145" s="5">
        <f>Table1[[#This Row],[Unit Price]]*Table1[[#This Row],[Quantity]]*(1-Table1[[#This Row],[Discount %]]/100)</f>
        <v>419.7045</v>
      </c>
      <c r="AB145" s="5">
        <f>Table1[[#This Row],[Sales]]-Table1[[#This Row],[Cost]]</f>
        <v>113.72449999999998</v>
      </c>
    </row>
    <row r="146" spans="1:28" x14ac:dyDescent="0.3">
      <c r="A146" t="s">
        <v>494</v>
      </c>
      <c r="B146" s="1">
        <v>46037</v>
      </c>
      <c r="C146" t="s">
        <v>495</v>
      </c>
      <c r="D146" t="s">
        <v>2928</v>
      </c>
      <c r="E146" s="1">
        <v>46038</v>
      </c>
      <c r="F146" t="s">
        <v>40</v>
      </c>
      <c r="G146" t="s">
        <v>38</v>
      </c>
      <c r="H146" t="s">
        <v>39</v>
      </c>
      <c r="I146" t="s">
        <v>2625</v>
      </c>
      <c r="J146" t="s">
        <v>2705</v>
      </c>
      <c r="K146" t="s">
        <v>52</v>
      </c>
      <c r="L146">
        <v>32</v>
      </c>
      <c r="M146">
        <v>3</v>
      </c>
      <c r="N146">
        <v>15</v>
      </c>
      <c r="O146" t="s">
        <v>496</v>
      </c>
      <c r="P146" t="s">
        <v>33</v>
      </c>
      <c r="Q146" t="s">
        <v>70</v>
      </c>
      <c r="R146" t="s">
        <v>62</v>
      </c>
      <c r="S146" t="s">
        <v>41</v>
      </c>
      <c r="T146">
        <v>3</v>
      </c>
      <c r="U146" s="5">
        <v>731.52</v>
      </c>
      <c r="V146" s="5">
        <v>1039.6099999999999</v>
      </c>
      <c r="W146">
        <v>1</v>
      </c>
      <c r="X146" t="s">
        <v>34</v>
      </c>
      <c r="Y146">
        <v>2026</v>
      </c>
      <c r="Z146" t="str">
        <f>TEXT(Table1[[#This Row],[Order Date]],"MMM")</f>
        <v>Jan</v>
      </c>
      <c r="AA146" s="5">
        <f>Table1[[#This Row],[Unit Price]]*Table1[[#This Row],[Quantity]]*(1-Table1[[#This Row],[Discount %]]/100)</f>
        <v>1865.376</v>
      </c>
      <c r="AB146" s="5">
        <f>Table1[[#This Row],[Sales]]-Table1[[#This Row],[Cost]]</f>
        <v>825.76600000000008</v>
      </c>
    </row>
    <row r="147" spans="1:28" x14ac:dyDescent="0.3">
      <c r="A147" t="s">
        <v>497</v>
      </c>
      <c r="B147" s="1">
        <v>45838</v>
      </c>
      <c r="C147" t="s">
        <v>498</v>
      </c>
      <c r="D147" t="s">
        <v>2929</v>
      </c>
      <c r="E147" s="1">
        <v>45843</v>
      </c>
      <c r="F147" t="s">
        <v>140</v>
      </c>
      <c r="G147" t="s">
        <v>38</v>
      </c>
      <c r="H147" t="s">
        <v>139</v>
      </c>
      <c r="I147" t="s">
        <v>2675</v>
      </c>
      <c r="J147" t="s">
        <v>2681</v>
      </c>
      <c r="K147" t="s">
        <v>52</v>
      </c>
      <c r="L147">
        <v>63</v>
      </c>
      <c r="M147">
        <v>4</v>
      </c>
      <c r="N147">
        <v>0</v>
      </c>
      <c r="O147" t="s">
        <v>499</v>
      </c>
      <c r="P147" t="s">
        <v>44</v>
      </c>
      <c r="Q147" t="s">
        <v>58</v>
      </c>
      <c r="R147" t="s">
        <v>71</v>
      </c>
      <c r="S147" t="s">
        <v>141</v>
      </c>
      <c r="T147">
        <v>3</v>
      </c>
      <c r="U147" s="5">
        <v>630.26</v>
      </c>
      <c r="V147" s="5">
        <v>1574.12</v>
      </c>
      <c r="W147">
        <v>5</v>
      </c>
      <c r="X147" t="s">
        <v>49</v>
      </c>
      <c r="Y147">
        <v>2025</v>
      </c>
      <c r="Z147" t="str">
        <f>TEXT(Table1[[#This Row],[Order Date]],"MMM")</f>
        <v>Jun</v>
      </c>
      <c r="AA147" s="5">
        <f>Table1[[#This Row],[Unit Price]]*Table1[[#This Row],[Quantity]]*(1-Table1[[#This Row],[Discount %]]/100)</f>
        <v>2521.04</v>
      </c>
      <c r="AB147" s="5">
        <f>Table1[[#This Row],[Sales]]-Table1[[#This Row],[Cost]]</f>
        <v>946.92000000000007</v>
      </c>
    </row>
    <row r="148" spans="1:28" x14ac:dyDescent="0.3">
      <c r="A148" t="s">
        <v>500</v>
      </c>
      <c r="B148" s="1">
        <v>46031</v>
      </c>
      <c r="C148" t="s">
        <v>501</v>
      </c>
      <c r="D148" t="s">
        <v>2930</v>
      </c>
      <c r="E148" s="1">
        <v>46036</v>
      </c>
      <c r="F148" t="s">
        <v>122</v>
      </c>
      <c r="G148" t="s">
        <v>120</v>
      </c>
      <c r="H148" t="s">
        <v>121</v>
      </c>
      <c r="I148" t="s">
        <v>2625</v>
      </c>
      <c r="J148" t="s">
        <v>2626</v>
      </c>
      <c r="K148" t="s">
        <v>25</v>
      </c>
      <c r="L148">
        <v>21</v>
      </c>
      <c r="M148">
        <v>3</v>
      </c>
      <c r="N148">
        <v>30</v>
      </c>
      <c r="O148" t="s">
        <v>226</v>
      </c>
      <c r="P148" t="s">
        <v>75</v>
      </c>
      <c r="Q148" t="s">
        <v>42</v>
      </c>
      <c r="R148" t="s">
        <v>43</v>
      </c>
      <c r="S148" t="s">
        <v>123</v>
      </c>
      <c r="T148">
        <v>1</v>
      </c>
      <c r="U148" s="5">
        <v>216.06</v>
      </c>
      <c r="V148" s="5">
        <v>228.23</v>
      </c>
      <c r="W148">
        <v>5</v>
      </c>
      <c r="X148" t="s">
        <v>34</v>
      </c>
      <c r="Y148">
        <v>2026</v>
      </c>
      <c r="Z148" t="str">
        <f>TEXT(Table1[[#This Row],[Order Date]],"MMM")</f>
        <v>Jan</v>
      </c>
      <c r="AA148" s="5">
        <f>Table1[[#This Row],[Unit Price]]*Table1[[#This Row],[Quantity]]*(1-Table1[[#This Row],[Discount %]]/100)</f>
        <v>453.726</v>
      </c>
      <c r="AB148" s="5">
        <f>Table1[[#This Row],[Sales]]-Table1[[#This Row],[Cost]]</f>
        <v>225.49600000000001</v>
      </c>
    </row>
    <row r="149" spans="1:28" x14ac:dyDescent="0.3">
      <c r="A149" t="s">
        <v>502</v>
      </c>
      <c r="B149" s="1">
        <v>46032</v>
      </c>
      <c r="C149" t="s">
        <v>503</v>
      </c>
      <c r="D149" t="s">
        <v>2931</v>
      </c>
      <c r="E149" s="1">
        <v>46038</v>
      </c>
      <c r="F149" t="s">
        <v>56</v>
      </c>
      <c r="G149" t="s">
        <v>54</v>
      </c>
      <c r="H149" t="s">
        <v>55</v>
      </c>
      <c r="I149" t="s">
        <v>2637</v>
      </c>
      <c r="J149" t="s">
        <v>2638</v>
      </c>
      <c r="K149" t="s">
        <v>25</v>
      </c>
      <c r="L149">
        <v>54</v>
      </c>
      <c r="M149">
        <v>3</v>
      </c>
      <c r="N149">
        <v>0</v>
      </c>
      <c r="O149" t="s">
        <v>223</v>
      </c>
      <c r="P149" t="s">
        <v>75</v>
      </c>
      <c r="Q149" t="s">
        <v>117</v>
      </c>
      <c r="R149" t="s">
        <v>62</v>
      </c>
      <c r="S149" t="s">
        <v>57</v>
      </c>
      <c r="T149">
        <v>5</v>
      </c>
      <c r="U149" s="5">
        <v>113.37</v>
      </c>
      <c r="V149" s="5">
        <v>202.51</v>
      </c>
      <c r="W149">
        <v>6</v>
      </c>
      <c r="X149" t="s">
        <v>34</v>
      </c>
      <c r="Y149">
        <v>2026</v>
      </c>
      <c r="Z149" t="str">
        <f>TEXT(Table1[[#This Row],[Order Date]],"MMM")</f>
        <v>Jan</v>
      </c>
      <c r="AA149" s="5">
        <f>Table1[[#This Row],[Unit Price]]*Table1[[#This Row],[Quantity]]*(1-Table1[[#This Row],[Discount %]]/100)</f>
        <v>340.11</v>
      </c>
      <c r="AB149" s="5">
        <f>Table1[[#This Row],[Sales]]-Table1[[#This Row],[Cost]]</f>
        <v>137.60000000000002</v>
      </c>
    </row>
    <row r="150" spans="1:28" x14ac:dyDescent="0.3">
      <c r="A150" t="s">
        <v>504</v>
      </c>
      <c r="B150" s="1">
        <v>45670</v>
      </c>
      <c r="C150" t="s">
        <v>505</v>
      </c>
      <c r="D150" t="s">
        <v>2932</v>
      </c>
      <c r="E150" s="1">
        <v>45675</v>
      </c>
      <c r="F150" t="s">
        <v>56</v>
      </c>
      <c r="G150" t="s">
        <v>54</v>
      </c>
      <c r="H150" t="s">
        <v>55</v>
      </c>
      <c r="I150" t="s">
        <v>2618</v>
      </c>
      <c r="J150" t="s">
        <v>2700</v>
      </c>
      <c r="K150" t="s">
        <v>25</v>
      </c>
      <c r="L150">
        <v>25</v>
      </c>
      <c r="M150">
        <v>1</v>
      </c>
      <c r="N150">
        <v>20</v>
      </c>
      <c r="O150" t="s">
        <v>506</v>
      </c>
      <c r="P150" t="s">
        <v>44</v>
      </c>
      <c r="Q150" t="s">
        <v>70</v>
      </c>
      <c r="R150" t="s">
        <v>71</v>
      </c>
      <c r="S150" t="s">
        <v>57</v>
      </c>
      <c r="T150">
        <v>2</v>
      </c>
      <c r="U150" s="5">
        <v>50.96</v>
      </c>
      <c r="V150" s="5">
        <v>28.02</v>
      </c>
      <c r="W150">
        <v>5</v>
      </c>
      <c r="X150" t="s">
        <v>34</v>
      </c>
      <c r="Y150">
        <v>2025</v>
      </c>
      <c r="Z150" t="str">
        <f>TEXT(Table1[[#This Row],[Order Date]],"MMM")</f>
        <v>Jan</v>
      </c>
      <c r="AA150" s="5">
        <f>Table1[[#This Row],[Unit Price]]*Table1[[#This Row],[Quantity]]*(1-Table1[[#This Row],[Discount %]]/100)</f>
        <v>40.768000000000001</v>
      </c>
      <c r="AB150" s="5">
        <f>Table1[[#This Row],[Sales]]-Table1[[#This Row],[Cost]]</f>
        <v>12.748000000000001</v>
      </c>
    </row>
    <row r="151" spans="1:28" x14ac:dyDescent="0.3">
      <c r="A151" t="s">
        <v>507</v>
      </c>
      <c r="B151" s="1">
        <v>45662</v>
      </c>
      <c r="C151" t="s">
        <v>508</v>
      </c>
      <c r="D151" t="s">
        <v>2933</v>
      </c>
      <c r="E151" s="1">
        <v>45668</v>
      </c>
      <c r="F151" t="s">
        <v>122</v>
      </c>
      <c r="G151" t="s">
        <v>120</v>
      </c>
      <c r="H151" t="s">
        <v>121</v>
      </c>
      <c r="I151" t="s">
        <v>2675</v>
      </c>
      <c r="J151" t="s">
        <v>2681</v>
      </c>
      <c r="K151" t="s">
        <v>52</v>
      </c>
      <c r="L151">
        <v>46</v>
      </c>
      <c r="M151">
        <v>2</v>
      </c>
      <c r="N151">
        <v>5</v>
      </c>
      <c r="O151" t="s">
        <v>509</v>
      </c>
      <c r="P151" t="s">
        <v>33</v>
      </c>
      <c r="Q151" t="s">
        <v>117</v>
      </c>
      <c r="R151" t="s">
        <v>62</v>
      </c>
      <c r="S151" t="s">
        <v>123</v>
      </c>
      <c r="T151">
        <v>1</v>
      </c>
      <c r="U151" s="5">
        <v>549.86</v>
      </c>
      <c r="V151" s="5">
        <v>643.83000000000004</v>
      </c>
      <c r="W151">
        <v>6</v>
      </c>
      <c r="X151" t="s">
        <v>34</v>
      </c>
      <c r="Y151">
        <v>2025</v>
      </c>
      <c r="Z151" t="str">
        <f>TEXT(Table1[[#This Row],[Order Date]],"MMM")</f>
        <v>Jan</v>
      </c>
      <c r="AA151" s="5">
        <f>Table1[[#This Row],[Unit Price]]*Table1[[#This Row],[Quantity]]*(1-Table1[[#This Row],[Discount %]]/100)</f>
        <v>1044.7339999999999</v>
      </c>
      <c r="AB151" s="5">
        <f>Table1[[#This Row],[Sales]]-Table1[[#This Row],[Cost]]</f>
        <v>400.90399999999988</v>
      </c>
    </row>
    <row r="152" spans="1:28" x14ac:dyDescent="0.3">
      <c r="A152" t="s">
        <v>510</v>
      </c>
      <c r="B152" s="1">
        <v>45473</v>
      </c>
      <c r="C152" t="s">
        <v>511</v>
      </c>
      <c r="D152" t="s">
        <v>2934</v>
      </c>
      <c r="E152" s="1">
        <v>45474</v>
      </c>
      <c r="F152" t="s">
        <v>100</v>
      </c>
      <c r="G152" t="s">
        <v>98</v>
      </c>
      <c r="H152" t="s">
        <v>99</v>
      </c>
      <c r="I152" t="s">
        <v>2618</v>
      </c>
      <c r="J152" t="s">
        <v>2700</v>
      </c>
      <c r="K152" t="s">
        <v>25</v>
      </c>
      <c r="L152">
        <v>30</v>
      </c>
      <c r="M152">
        <v>1</v>
      </c>
      <c r="N152">
        <v>0</v>
      </c>
      <c r="O152" t="s">
        <v>512</v>
      </c>
      <c r="P152" t="s">
        <v>75</v>
      </c>
      <c r="Q152" t="s">
        <v>70</v>
      </c>
      <c r="R152" t="s">
        <v>43</v>
      </c>
      <c r="S152" t="s">
        <v>101</v>
      </c>
      <c r="T152">
        <v>4</v>
      </c>
      <c r="U152" s="5">
        <v>84.19</v>
      </c>
      <c r="V152" s="5">
        <v>50.98</v>
      </c>
      <c r="W152">
        <v>1</v>
      </c>
      <c r="X152" t="s">
        <v>49</v>
      </c>
      <c r="Y152">
        <v>2024</v>
      </c>
      <c r="Z152" t="str">
        <f>TEXT(Table1[[#This Row],[Order Date]],"MMM")</f>
        <v>Jun</v>
      </c>
      <c r="AA152" s="5">
        <f>Table1[[#This Row],[Unit Price]]*Table1[[#This Row],[Quantity]]*(1-Table1[[#This Row],[Discount %]]/100)</f>
        <v>84.19</v>
      </c>
      <c r="AB152" s="5">
        <f>Table1[[#This Row],[Sales]]-Table1[[#This Row],[Cost]]</f>
        <v>33.21</v>
      </c>
    </row>
    <row r="153" spans="1:28" x14ac:dyDescent="0.3">
      <c r="A153" t="s">
        <v>513</v>
      </c>
      <c r="B153" s="1">
        <v>45307</v>
      </c>
      <c r="C153" t="s">
        <v>514</v>
      </c>
      <c r="D153" t="s">
        <v>2935</v>
      </c>
      <c r="E153" s="1">
        <v>45309</v>
      </c>
      <c r="F153" t="s">
        <v>40</v>
      </c>
      <c r="G153" t="s">
        <v>38</v>
      </c>
      <c r="H153" t="s">
        <v>39</v>
      </c>
      <c r="I153" t="s">
        <v>2621</v>
      </c>
      <c r="J153" t="s">
        <v>2699</v>
      </c>
      <c r="K153" t="s">
        <v>25</v>
      </c>
      <c r="L153">
        <v>44</v>
      </c>
      <c r="M153">
        <v>4</v>
      </c>
      <c r="N153">
        <v>30</v>
      </c>
      <c r="O153" t="s">
        <v>515</v>
      </c>
      <c r="P153" t="s">
        <v>33</v>
      </c>
      <c r="Q153" t="s">
        <v>42</v>
      </c>
      <c r="R153" t="s">
        <v>32</v>
      </c>
      <c r="S153" t="s">
        <v>41</v>
      </c>
      <c r="T153">
        <v>5</v>
      </c>
      <c r="U153" s="5">
        <v>574.45000000000005</v>
      </c>
      <c r="V153" s="5">
        <v>1099.54</v>
      </c>
      <c r="W153">
        <v>2</v>
      </c>
      <c r="X153" t="s">
        <v>34</v>
      </c>
      <c r="Y153">
        <v>2024</v>
      </c>
      <c r="Z153" t="str">
        <f>TEXT(Table1[[#This Row],[Order Date]],"MMM")</f>
        <v>Jan</v>
      </c>
      <c r="AA153" s="5">
        <f>Table1[[#This Row],[Unit Price]]*Table1[[#This Row],[Quantity]]*(1-Table1[[#This Row],[Discount %]]/100)</f>
        <v>1608.46</v>
      </c>
      <c r="AB153" s="5">
        <f>Table1[[#This Row],[Sales]]-Table1[[#This Row],[Cost]]</f>
        <v>508.92000000000007</v>
      </c>
    </row>
    <row r="154" spans="1:28" x14ac:dyDescent="0.3">
      <c r="A154" t="s">
        <v>516</v>
      </c>
      <c r="B154" s="1">
        <v>45753</v>
      </c>
      <c r="C154" t="s">
        <v>517</v>
      </c>
      <c r="D154" t="s">
        <v>2936</v>
      </c>
      <c r="E154" s="1">
        <v>45755</v>
      </c>
      <c r="F154" t="s">
        <v>56</v>
      </c>
      <c r="G154" t="s">
        <v>54</v>
      </c>
      <c r="H154" t="s">
        <v>55</v>
      </c>
      <c r="I154" t="s">
        <v>2621</v>
      </c>
      <c r="J154" t="s">
        <v>2622</v>
      </c>
      <c r="K154" t="s">
        <v>25</v>
      </c>
      <c r="L154">
        <v>55</v>
      </c>
      <c r="M154">
        <v>2</v>
      </c>
      <c r="N154">
        <v>25</v>
      </c>
      <c r="O154" t="s">
        <v>518</v>
      </c>
      <c r="P154" t="s">
        <v>44</v>
      </c>
      <c r="Q154" t="s">
        <v>42</v>
      </c>
      <c r="R154" t="s">
        <v>71</v>
      </c>
      <c r="S154" t="s">
        <v>57</v>
      </c>
      <c r="T154">
        <v>5</v>
      </c>
      <c r="U154" s="5">
        <v>736.56</v>
      </c>
      <c r="V154" s="5">
        <v>869.33</v>
      </c>
      <c r="W154">
        <v>2</v>
      </c>
      <c r="X154" t="s">
        <v>49</v>
      </c>
      <c r="Y154">
        <v>2025</v>
      </c>
      <c r="Z154" t="str">
        <f>TEXT(Table1[[#This Row],[Order Date]],"MMM")</f>
        <v>Apr</v>
      </c>
      <c r="AA154" s="5">
        <f>Table1[[#This Row],[Unit Price]]*Table1[[#This Row],[Quantity]]*(1-Table1[[#This Row],[Discount %]]/100)</f>
        <v>1104.8399999999999</v>
      </c>
      <c r="AB154" s="5">
        <f>Table1[[#This Row],[Sales]]-Table1[[#This Row],[Cost]]</f>
        <v>235.50999999999988</v>
      </c>
    </row>
    <row r="155" spans="1:28" x14ac:dyDescent="0.3">
      <c r="A155" t="s">
        <v>519</v>
      </c>
      <c r="B155" s="1">
        <v>45360</v>
      </c>
      <c r="C155" t="s">
        <v>520</v>
      </c>
      <c r="D155" t="s">
        <v>2937</v>
      </c>
      <c r="E155" s="1">
        <v>45365</v>
      </c>
      <c r="F155" t="s">
        <v>2617</v>
      </c>
      <c r="G155" t="s">
        <v>27</v>
      </c>
      <c r="H155" t="s">
        <v>28</v>
      </c>
      <c r="I155" t="s">
        <v>2627</v>
      </c>
      <c r="J155" t="s">
        <v>2690</v>
      </c>
      <c r="K155" t="s">
        <v>52</v>
      </c>
      <c r="L155">
        <v>57</v>
      </c>
      <c r="M155">
        <v>2</v>
      </c>
      <c r="N155">
        <v>5</v>
      </c>
      <c r="O155" t="s">
        <v>521</v>
      </c>
      <c r="P155" t="s">
        <v>33</v>
      </c>
      <c r="Q155" t="s">
        <v>31</v>
      </c>
      <c r="R155" t="s">
        <v>32</v>
      </c>
      <c r="S155" t="s">
        <v>30</v>
      </c>
      <c r="T155">
        <v>3</v>
      </c>
      <c r="U155" s="5">
        <v>891.05</v>
      </c>
      <c r="V155" s="5">
        <v>964.18</v>
      </c>
      <c r="W155">
        <v>5</v>
      </c>
      <c r="X155" t="s">
        <v>34</v>
      </c>
      <c r="Y155">
        <v>2024</v>
      </c>
      <c r="Z155" t="str">
        <f>TEXT(Table1[[#This Row],[Order Date]],"MMM")</f>
        <v>Mar</v>
      </c>
      <c r="AA155" s="5">
        <f>Table1[[#This Row],[Unit Price]]*Table1[[#This Row],[Quantity]]*(1-Table1[[#This Row],[Discount %]]/100)</f>
        <v>1692.9949999999999</v>
      </c>
      <c r="AB155" s="5">
        <f>Table1[[#This Row],[Sales]]-Table1[[#This Row],[Cost]]</f>
        <v>728.81499999999994</v>
      </c>
    </row>
    <row r="156" spans="1:28" x14ac:dyDescent="0.3">
      <c r="A156" t="s">
        <v>522</v>
      </c>
      <c r="B156" s="1">
        <v>45779</v>
      </c>
      <c r="C156" t="s">
        <v>523</v>
      </c>
      <c r="D156" t="s">
        <v>2938</v>
      </c>
      <c r="E156" s="1">
        <v>45785</v>
      </c>
      <c r="F156" t="s">
        <v>128</v>
      </c>
      <c r="G156" t="s">
        <v>98</v>
      </c>
      <c r="H156" t="s">
        <v>127</v>
      </c>
      <c r="I156" t="s">
        <v>2628</v>
      </c>
      <c r="J156" t="s">
        <v>2711</v>
      </c>
      <c r="K156" t="s">
        <v>25</v>
      </c>
      <c r="L156">
        <v>45</v>
      </c>
      <c r="M156">
        <v>2</v>
      </c>
      <c r="N156">
        <v>25</v>
      </c>
      <c r="O156" t="s">
        <v>267</v>
      </c>
      <c r="P156" t="s">
        <v>44</v>
      </c>
      <c r="Q156" t="s">
        <v>58</v>
      </c>
      <c r="R156" t="s">
        <v>71</v>
      </c>
      <c r="S156" t="s">
        <v>129</v>
      </c>
      <c r="T156">
        <v>2</v>
      </c>
      <c r="U156" s="5">
        <v>767.35</v>
      </c>
      <c r="V156" s="5">
        <v>878.65</v>
      </c>
      <c r="W156">
        <v>6</v>
      </c>
      <c r="X156" t="s">
        <v>49</v>
      </c>
      <c r="Y156">
        <v>2025</v>
      </c>
      <c r="Z156" t="str">
        <f>TEXT(Table1[[#This Row],[Order Date]],"MMM")</f>
        <v>May</v>
      </c>
      <c r="AA156" s="5">
        <f>Table1[[#This Row],[Unit Price]]*Table1[[#This Row],[Quantity]]*(1-Table1[[#This Row],[Discount %]]/100)</f>
        <v>1151.0250000000001</v>
      </c>
      <c r="AB156" s="5">
        <f>Table1[[#This Row],[Sales]]-Table1[[#This Row],[Cost]]</f>
        <v>272.37500000000011</v>
      </c>
    </row>
    <row r="157" spans="1:28" x14ac:dyDescent="0.3">
      <c r="A157" t="s">
        <v>524</v>
      </c>
      <c r="B157" s="1">
        <v>46033</v>
      </c>
      <c r="C157" t="s">
        <v>525</v>
      </c>
      <c r="D157" t="s">
        <v>2939</v>
      </c>
      <c r="E157" s="1">
        <v>46035</v>
      </c>
      <c r="F157" t="s">
        <v>2617</v>
      </c>
      <c r="G157" t="s">
        <v>27</v>
      </c>
      <c r="H157" t="s">
        <v>28</v>
      </c>
      <c r="I157" t="s">
        <v>2633</v>
      </c>
      <c r="J157" t="s">
        <v>99</v>
      </c>
      <c r="K157" t="s">
        <v>52</v>
      </c>
      <c r="L157">
        <v>22</v>
      </c>
      <c r="M157">
        <v>4</v>
      </c>
      <c r="N157">
        <v>5</v>
      </c>
      <c r="O157" t="s">
        <v>526</v>
      </c>
      <c r="P157" t="s">
        <v>75</v>
      </c>
      <c r="Q157" t="s">
        <v>70</v>
      </c>
      <c r="R157" t="s">
        <v>43</v>
      </c>
      <c r="S157" t="s">
        <v>30</v>
      </c>
      <c r="T157">
        <v>5</v>
      </c>
      <c r="U157" s="5">
        <v>509.87</v>
      </c>
      <c r="V157" s="5">
        <v>986.21</v>
      </c>
      <c r="W157">
        <v>2</v>
      </c>
      <c r="X157" t="s">
        <v>34</v>
      </c>
      <c r="Y157">
        <v>2026</v>
      </c>
      <c r="Z157" t="str">
        <f>TEXT(Table1[[#This Row],[Order Date]],"MMM")</f>
        <v>Jan</v>
      </c>
      <c r="AA157" s="5">
        <f>Table1[[#This Row],[Unit Price]]*Table1[[#This Row],[Quantity]]*(1-Table1[[#This Row],[Discount %]]/100)</f>
        <v>1937.5059999999999</v>
      </c>
      <c r="AB157" s="5">
        <f>Table1[[#This Row],[Sales]]-Table1[[#This Row],[Cost]]</f>
        <v>951.29599999999982</v>
      </c>
    </row>
    <row r="158" spans="1:28" x14ac:dyDescent="0.3">
      <c r="A158" t="s">
        <v>527</v>
      </c>
      <c r="B158" s="1">
        <v>45958</v>
      </c>
      <c r="C158" t="s">
        <v>528</v>
      </c>
      <c r="D158" t="s">
        <v>2940</v>
      </c>
      <c r="E158" s="1">
        <v>45961</v>
      </c>
      <c r="F158" t="s">
        <v>56</v>
      </c>
      <c r="G158" t="s">
        <v>54</v>
      </c>
      <c r="H158" t="s">
        <v>55</v>
      </c>
      <c r="I158" t="s">
        <v>2637</v>
      </c>
      <c r="J158" t="s">
        <v>2688</v>
      </c>
      <c r="K158" t="s">
        <v>25</v>
      </c>
      <c r="L158">
        <v>28</v>
      </c>
      <c r="M158">
        <v>1</v>
      </c>
      <c r="N158">
        <v>10</v>
      </c>
      <c r="O158" t="s">
        <v>529</v>
      </c>
      <c r="P158" t="s">
        <v>44</v>
      </c>
      <c r="Q158" t="s">
        <v>70</v>
      </c>
      <c r="R158" t="s">
        <v>71</v>
      </c>
      <c r="S158" t="s">
        <v>57</v>
      </c>
      <c r="T158">
        <v>3</v>
      </c>
      <c r="U158" s="5">
        <v>455.94</v>
      </c>
      <c r="V158" s="5">
        <v>265.67</v>
      </c>
      <c r="W158">
        <v>3</v>
      </c>
      <c r="X158" t="s">
        <v>94</v>
      </c>
      <c r="Y158">
        <v>2025</v>
      </c>
      <c r="Z158" t="str">
        <f>TEXT(Table1[[#This Row],[Order Date]],"MMM")</f>
        <v>Oct</v>
      </c>
      <c r="AA158" s="5">
        <f>Table1[[#This Row],[Unit Price]]*Table1[[#This Row],[Quantity]]*(1-Table1[[#This Row],[Discount %]]/100)</f>
        <v>410.346</v>
      </c>
      <c r="AB158" s="5">
        <f>Table1[[#This Row],[Sales]]-Table1[[#This Row],[Cost]]</f>
        <v>144.67599999999999</v>
      </c>
    </row>
    <row r="159" spans="1:28" x14ac:dyDescent="0.3">
      <c r="A159" t="s">
        <v>530</v>
      </c>
      <c r="B159" s="1">
        <v>45757</v>
      </c>
      <c r="C159" t="s">
        <v>531</v>
      </c>
      <c r="D159" t="s">
        <v>2941</v>
      </c>
      <c r="E159" s="1">
        <v>45760</v>
      </c>
      <c r="F159" t="s">
        <v>2617</v>
      </c>
      <c r="G159" t="s">
        <v>27</v>
      </c>
      <c r="H159" t="s">
        <v>28</v>
      </c>
      <c r="I159" t="s">
        <v>2621</v>
      </c>
      <c r="J159" t="s">
        <v>2663</v>
      </c>
      <c r="K159" t="s">
        <v>25</v>
      </c>
      <c r="L159">
        <v>37</v>
      </c>
      <c r="M159">
        <v>5</v>
      </c>
      <c r="N159">
        <v>20</v>
      </c>
      <c r="O159" t="s">
        <v>532</v>
      </c>
      <c r="P159" t="s">
        <v>44</v>
      </c>
      <c r="Q159" t="s">
        <v>31</v>
      </c>
      <c r="R159" t="s">
        <v>62</v>
      </c>
      <c r="S159" t="s">
        <v>30</v>
      </c>
      <c r="T159">
        <v>1</v>
      </c>
      <c r="U159" s="5">
        <v>889.39</v>
      </c>
      <c r="V159" s="5">
        <v>2565.1799999999998</v>
      </c>
      <c r="W159">
        <v>3</v>
      </c>
      <c r="X159" t="s">
        <v>49</v>
      </c>
      <c r="Y159">
        <v>2025</v>
      </c>
      <c r="Z159" t="str">
        <f>TEXT(Table1[[#This Row],[Order Date]],"MMM")</f>
        <v>Apr</v>
      </c>
      <c r="AA159" s="5">
        <f>Table1[[#This Row],[Unit Price]]*Table1[[#This Row],[Quantity]]*(1-Table1[[#This Row],[Discount %]]/100)</f>
        <v>3557.56</v>
      </c>
      <c r="AB159" s="5">
        <f>Table1[[#This Row],[Sales]]-Table1[[#This Row],[Cost]]</f>
        <v>992.38000000000011</v>
      </c>
    </row>
    <row r="160" spans="1:28" x14ac:dyDescent="0.3">
      <c r="A160" t="s">
        <v>533</v>
      </c>
      <c r="B160" s="1">
        <v>46118</v>
      </c>
      <c r="C160" t="s">
        <v>534</v>
      </c>
      <c r="D160" t="s">
        <v>2942</v>
      </c>
      <c r="E160" s="1">
        <v>46119</v>
      </c>
      <c r="F160" t="s">
        <v>56</v>
      </c>
      <c r="G160" t="s">
        <v>54</v>
      </c>
      <c r="H160" t="s">
        <v>55</v>
      </c>
      <c r="I160" t="s">
        <v>2675</v>
      </c>
      <c r="J160" t="s">
        <v>2703</v>
      </c>
      <c r="K160" t="s">
        <v>25</v>
      </c>
      <c r="L160">
        <v>35</v>
      </c>
      <c r="M160">
        <v>4</v>
      </c>
      <c r="N160">
        <v>0</v>
      </c>
      <c r="O160" t="s">
        <v>273</v>
      </c>
      <c r="P160" t="s">
        <v>33</v>
      </c>
      <c r="Q160" t="s">
        <v>58</v>
      </c>
      <c r="R160" t="s">
        <v>71</v>
      </c>
      <c r="S160" t="s">
        <v>57</v>
      </c>
      <c r="T160">
        <v>4</v>
      </c>
      <c r="U160" s="5">
        <v>265.55</v>
      </c>
      <c r="V160" s="5">
        <v>824.04</v>
      </c>
      <c r="W160">
        <v>1</v>
      </c>
      <c r="X160" t="s">
        <v>49</v>
      </c>
      <c r="Y160">
        <v>2026</v>
      </c>
      <c r="Z160" t="str">
        <f>TEXT(Table1[[#This Row],[Order Date]],"MMM")</f>
        <v>Apr</v>
      </c>
      <c r="AA160" s="5">
        <f>Table1[[#This Row],[Unit Price]]*Table1[[#This Row],[Quantity]]*(1-Table1[[#This Row],[Discount %]]/100)</f>
        <v>1062.2</v>
      </c>
      <c r="AB160" s="5">
        <f>Table1[[#This Row],[Sales]]-Table1[[#This Row],[Cost]]</f>
        <v>238.16000000000008</v>
      </c>
    </row>
    <row r="161" spans="1:28" x14ac:dyDescent="0.3">
      <c r="A161" t="s">
        <v>535</v>
      </c>
      <c r="B161" s="1">
        <v>45807</v>
      </c>
      <c r="C161" t="s">
        <v>536</v>
      </c>
      <c r="D161" t="s">
        <v>2943</v>
      </c>
      <c r="E161" s="1">
        <v>45811</v>
      </c>
      <c r="F161" t="s">
        <v>128</v>
      </c>
      <c r="G161" t="s">
        <v>98</v>
      </c>
      <c r="H161" t="s">
        <v>127</v>
      </c>
      <c r="I161" t="s">
        <v>2655</v>
      </c>
      <c r="J161" t="s">
        <v>2714</v>
      </c>
      <c r="K161" t="s">
        <v>25</v>
      </c>
      <c r="L161">
        <v>22</v>
      </c>
      <c r="M161">
        <v>2</v>
      </c>
      <c r="N161">
        <v>10</v>
      </c>
      <c r="O161" t="s">
        <v>537</v>
      </c>
      <c r="P161" t="s">
        <v>75</v>
      </c>
      <c r="Q161" t="s">
        <v>70</v>
      </c>
      <c r="R161" t="s">
        <v>71</v>
      </c>
      <c r="S161" t="s">
        <v>129</v>
      </c>
      <c r="T161">
        <v>5</v>
      </c>
      <c r="U161" s="5">
        <v>426.35</v>
      </c>
      <c r="V161" s="5">
        <v>629.63</v>
      </c>
      <c r="W161">
        <v>4</v>
      </c>
      <c r="X161" t="s">
        <v>49</v>
      </c>
      <c r="Y161">
        <v>2025</v>
      </c>
      <c r="Z161" t="str">
        <f>TEXT(Table1[[#This Row],[Order Date]],"MMM")</f>
        <v>May</v>
      </c>
      <c r="AA161" s="5">
        <f>Table1[[#This Row],[Unit Price]]*Table1[[#This Row],[Quantity]]*(1-Table1[[#This Row],[Discount %]]/100)</f>
        <v>767.43000000000006</v>
      </c>
      <c r="AB161" s="5">
        <f>Table1[[#This Row],[Sales]]-Table1[[#This Row],[Cost]]</f>
        <v>137.80000000000007</v>
      </c>
    </row>
    <row r="162" spans="1:28" x14ac:dyDescent="0.3">
      <c r="A162" t="s">
        <v>538</v>
      </c>
      <c r="B162" s="1">
        <v>45420</v>
      </c>
      <c r="C162" t="s">
        <v>539</v>
      </c>
      <c r="D162" t="s">
        <v>2944</v>
      </c>
      <c r="E162" s="1">
        <v>45422</v>
      </c>
      <c r="F162" t="s">
        <v>115</v>
      </c>
      <c r="G162" t="s">
        <v>66</v>
      </c>
      <c r="H162" t="s">
        <v>114</v>
      </c>
      <c r="I162" t="s">
        <v>2621</v>
      </c>
      <c r="J162" t="s">
        <v>2663</v>
      </c>
      <c r="K162" t="s">
        <v>52</v>
      </c>
      <c r="L162">
        <v>49</v>
      </c>
      <c r="M162">
        <v>5</v>
      </c>
      <c r="N162">
        <v>25</v>
      </c>
      <c r="O162" t="s">
        <v>540</v>
      </c>
      <c r="P162" t="s">
        <v>75</v>
      </c>
      <c r="Q162" t="s">
        <v>31</v>
      </c>
      <c r="R162" t="s">
        <v>32</v>
      </c>
      <c r="S162" t="s">
        <v>116</v>
      </c>
      <c r="T162">
        <v>4</v>
      </c>
      <c r="U162" s="5">
        <v>640.03</v>
      </c>
      <c r="V162" s="5">
        <v>1823.02</v>
      </c>
      <c r="W162">
        <v>2</v>
      </c>
      <c r="X162" t="s">
        <v>49</v>
      </c>
      <c r="Y162">
        <v>2024</v>
      </c>
      <c r="Z162" t="str">
        <f>TEXT(Table1[[#This Row],[Order Date]],"MMM")</f>
        <v>May</v>
      </c>
      <c r="AA162" s="5">
        <f>Table1[[#This Row],[Unit Price]]*Table1[[#This Row],[Quantity]]*(1-Table1[[#This Row],[Discount %]]/100)</f>
        <v>2400.1124999999997</v>
      </c>
      <c r="AB162" s="5">
        <f>Table1[[#This Row],[Sales]]-Table1[[#This Row],[Cost]]</f>
        <v>577.09249999999975</v>
      </c>
    </row>
    <row r="163" spans="1:28" x14ac:dyDescent="0.3">
      <c r="A163" t="s">
        <v>541</v>
      </c>
      <c r="B163" s="1">
        <v>45538</v>
      </c>
      <c r="C163" t="s">
        <v>542</v>
      </c>
      <c r="D163" t="s">
        <v>2945</v>
      </c>
      <c r="E163" s="1">
        <v>45540</v>
      </c>
      <c r="F163" t="s">
        <v>2617</v>
      </c>
      <c r="G163" t="s">
        <v>27</v>
      </c>
      <c r="H163" t="s">
        <v>28</v>
      </c>
      <c r="I163" t="s">
        <v>2627</v>
      </c>
      <c r="J163" t="s">
        <v>2690</v>
      </c>
      <c r="K163" t="s">
        <v>52</v>
      </c>
      <c r="L163">
        <v>56</v>
      </c>
      <c r="M163">
        <v>1</v>
      </c>
      <c r="N163">
        <v>15</v>
      </c>
      <c r="O163" t="s">
        <v>543</v>
      </c>
      <c r="P163" t="s">
        <v>75</v>
      </c>
      <c r="Q163" t="s">
        <v>31</v>
      </c>
      <c r="R163" t="s">
        <v>71</v>
      </c>
      <c r="S163" t="s">
        <v>30</v>
      </c>
      <c r="T163">
        <v>4</v>
      </c>
      <c r="U163" s="5">
        <v>652.05999999999995</v>
      </c>
      <c r="V163" s="5">
        <v>416.7</v>
      </c>
      <c r="W163">
        <v>2</v>
      </c>
      <c r="X163" t="s">
        <v>45</v>
      </c>
      <c r="Y163">
        <v>2024</v>
      </c>
      <c r="Z163" t="str">
        <f>TEXT(Table1[[#This Row],[Order Date]],"MMM")</f>
        <v>Sep</v>
      </c>
      <c r="AA163" s="5">
        <f>Table1[[#This Row],[Unit Price]]*Table1[[#This Row],[Quantity]]*(1-Table1[[#This Row],[Discount %]]/100)</f>
        <v>554.25099999999998</v>
      </c>
      <c r="AB163" s="5">
        <f>Table1[[#This Row],[Sales]]-Table1[[#This Row],[Cost]]</f>
        <v>137.55099999999999</v>
      </c>
    </row>
    <row r="164" spans="1:28" x14ac:dyDescent="0.3">
      <c r="A164" t="s">
        <v>544</v>
      </c>
      <c r="B164" s="1">
        <v>46110</v>
      </c>
      <c r="C164" t="s">
        <v>545</v>
      </c>
      <c r="D164" t="s">
        <v>2946</v>
      </c>
      <c r="E164" s="1">
        <v>46111</v>
      </c>
      <c r="F164" t="s">
        <v>115</v>
      </c>
      <c r="G164" t="s">
        <v>66</v>
      </c>
      <c r="H164" t="s">
        <v>114</v>
      </c>
      <c r="I164" t="s">
        <v>2661</v>
      </c>
      <c r="J164" t="s">
        <v>2715</v>
      </c>
      <c r="K164" t="s">
        <v>52</v>
      </c>
      <c r="L164">
        <v>46</v>
      </c>
      <c r="M164">
        <v>2</v>
      </c>
      <c r="N164">
        <v>20</v>
      </c>
      <c r="O164" t="s">
        <v>546</v>
      </c>
      <c r="P164" t="s">
        <v>33</v>
      </c>
      <c r="Q164" t="s">
        <v>58</v>
      </c>
      <c r="R164" t="s">
        <v>32</v>
      </c>
      <c r="S164" t="s">
        <v>116</v>
      </c>
      <c r="T164">
        <v>3</v>
      </c>
      <c r="U164" s="5">
        <v>592.5</v>
      </c>
      <c r="V164" s="5">
        <v>762.45</v>
      </c>
      <c r="W164">
        <v>1</v>
      </c>
      <c r="X164" t="s">
        <v>34</v>
      </c>
      <c r="Y164">
        <v>2026</v>
      </c>
      <c r="Z164" t="str">
        <f>TEXT(Table1[[#This Row],[Order Date]],"MMM")</f>
        <v>Mar</v>
      </c>
      <c r="AA164" s="5">
        <f>Table1[[#This Row],[Unit Price]]*Table1[[#This Row],[Quantity]]*(1-Table1[[#This Row],[Discount %]]/100)</f>
        <v>948</v>
      </c>
      <c r="AB164" s="5">
        <f>Table1[[#This Row],[Sales]]-Table1[[#This Row],[Cost]]</f>
        <v>185.54999999999995</v>
      </c>
    </row>
    <row r="165" spans="1:28" x14ac:dyDescent="0.3">
      <c r="A165" t="s">
        <v>547</v>
      </c>
      <c r="B165" s="1">
        <v>46169</v>
      </c>
      <c r="C165" t="s">
        <v>548</v>
      </c>
      <c r="D165" t="s">
        <v>2947</v>
      </c>
      <c r="E165" s="1">
        <v>46172</v>
      </c>
      <c r="F165" t="s">
        <v>2617</v>
      </c>
      <c r="G165" t="s">
        <v>27</v>
      </c>
      <c r="H165" t="s">
        <v>28</v>
      </c>
      <c r="I165" t="s">
        <v>2627</v>
      </c>
      <c r="J165" t="s">
        <v>2707</v>
      </c>
      <c r="K165" t="s">
        <v>25</v>
      </c>
      <c r="L165">
        <v>32</v>
      </c>
      <c r="M165">
        <v>3</v>
      </c>
      <c r="N165">
        <v>20</v>
      </c>
      <c r="O165" t="s">
        <v>549</v>
      </c>
      <c r="P165" t="s">
        <v>33</v>
      </c>
      <c r="Q165" t="s">
        <v>42</v>
      </c>
      <c r="R165" t="s">
        <v>32</v>
      </c>
      <c r="S165" t="s">
        <v>30</v>
      </c>
      <c r="T165">
        <v>5</v>
      </c>
      <c r="U165" s="5">
        <v>244.07</v>
      </c>
      <c r="V165" s="5">
        <v>486.7</v>
      </c>
      <c r="W165">
        <v>3</v>
      </c>
      <c r="X165" t="s">
        <v>49</v>
      </c>
      <c r="Y165">
        <v>2026</v>
      </c>
      <c r="Z165" t="str">
        <f>TEXT(Table1[[#This Row],[Order Date]],"MMM")</f>
        <v>May</v>
      </c>
      <c r="AA165" s="5">
        <f>Table1[[#This Row],[Unit Price]]*Table1[[#This Row],[Quantity]]*(1-Table1[[#This Row],[Discount %]]/100)</f>
        <v>585.76800000000003</v>
      </c>
      <c r="AB165" s="5">
        <f>Table1[[#This Row],[Sales]]-Table1[[#This Row],[Cost]]</f>
        <v>99.06800000000004</v>
      </c>
    </row>
    <row r="166" spans="1:28" x14ac:dyDescent="0.3">
      <c r="A166" t="s">
        <v>550</v>
      </c>
      <c r="B166" s="1">
        <v>45654</v>
      </c>
      <c r="C166" t="s">
        <v>551</v>
      </c>
      <c r="D166" t="s">
        <v>2948</v>
      </c>
      <c r="E166" s="1">
        <v>45655</v>
      </c>
      <c r="F166" t="s">
        <v>115</v>
      </c>
      <c r="G166" t="s">
        <v>66</v>
      </c>
      <c r="H166" t="s">
        <v>114</v>
      </c>
      <c r="I166" t="s">
        <v>2621</v>
      </c>
      <c r="J166" t="s">
        <v>2647</v>
      </c>
      <c r="K166" t="s">
        <v>52</v>
      </c>
      <c r="L166">
        <v>51</v>
      </c>
      <c r="M166">
        <v>5</v>
      </c>
      <c r="N166">
        <v>5</v>
      </c>
      <c r="O166" t="s">
        <v>552</v>
      </c>
      <c r="P166" t="s">
        <v>44</v>
      </c>
      <c r="Q166" t="s">
        <v>70</v>
      </c>
      <c r="R166" t="s">
        <v>71</v>
      </c>
      <c r="S166" t="s">
        <v>116</v>
      </c>
      <c r="T166">
        <v>5</v>
      </c>
      <c r="U166" s="5">
        <v>883.27</v>
      </c>
      <c r="V166" s="5">
        <v>3389.23</v>
      </c>
      <c r="W166">
        <v>1</v>
      </c>
      <c r="X166" t="s">
        <v>94</v>
      </c>
      <c r="Y166">
        <v>2024</v>
      </c>
      <c r="Z166" t="str">
        <f>TEXT(Table1[[#This Row],[Order Date]],"MMM")</f>
        <v>Dec</v>
      </c>
      <c r="AA166" s="5">
        <f>Table1[[#This Row],[Unit Price]]*Table1[[#This Row],[Quantity]]*(1-Table1[[#This Row],[Discount %]]/100)</f>
        <v>4195.5325000000003</v>
      </c>
      <c r="AB166" s="5">
        <f>Table1[[#This Row],[Sales]]-Table1[[#This Row],[Cost]]</f>
        <v>806.30250000000024</v>
      </c>
    </row>
    <row r="167" spans="1:28" x14ac:dyDescent="0.3">
      <c r="A167" t="s">
        <v>553</v>
      </c>
      <c r="B167" s="1">
        <v>46187</v>
      </c>
      <c r="C167" t="s">
        <v>554</v>
      </c>
      <c r="D167" t="s">
        <v>2949</v>
      </c>
      <c r="E167" s="1">
        <v>46191</v>
      </c>
      <c r="F167" t="s">
        <v>68</v>
      </c>
      <c r="G167" t="s">
        <v>66</v>
      </c>
      <c r="H167" t="s">
        <v>67</v>
      </c>
      <c r="I167" t="s">
        <v>2664</v>
      </c>
      <c r="J167" t="s">
        <v>2704</v>
      </c>
      <c r="K167" t="s">
        <v>52</v>
      </c>
      <c r="L167">
        <v>44</v>
      </c>
      <c r="M167">
        <v>5</v>
      </c>
      <c r="N167">
        <v>20</v>
      </c>
      <c r="O167" t="s">
        <v>555</v>
      </c>
      <c r="P167" t="s">
        <v>44</v>
      </c>
      <c r="Q167" t="s">
        <v>117</v>
      </c>
      <c r="R167" t="s">
        <v>71</v>
      </c>
      <c r="S167" t="s">
        <v>69</v>
      </c>
      <c r="T167">
        <v>3</v>
      </c>
      <c r="U167" s="5">
        <v>162.4</v>
      </c>
      <c r="V167" s="5">
        <v>451.27</v>
      </c>
      <c r="W167">
        <v>4</v>
      </c>
      <c r="X167" t="s">
        <v>49</v>
      </c>
      <c r="Y167">
        <v>2026</v>
      </c>
      <c r="Z167" t="str">
        <f>TEXT(Table1[[#This Row],[Order Date]],"MMM")</f>
        <v>Jun</v>
      </c>
      <c r="AA167" s="5">
        <f>Table1[[#This Row],[Unit Price]]*Table1[[#This Row],[Quantity]]*(1-Table1[[#This Row],[Discount %]]/100)</f>
        <v>649.6</v>
      </c>
      <c r="AB167" s="5">
        <f>Table1[[#This Row],[Sales]]-Table1[[#This Row],[Cost]]</f>
        <v>198.33000000000004</v>
      </c>
    </row>
    <row r="168" spans="1:28" x14ac:dyDescent="0.3">
      <c r="A168" t="s">
        <v>556</v>
      </c>
      <c r="B168" s="1">
        <v>45680</v>
      </c>
      <c r="C168" t="s">
        <v>557</v>
      </c>
      <c r="D168" t="s">
        <v>2950</v>
      </c>
      <c r="E168" s="1">
        <v>45686</v>
      </c>
      <c r="F168" t="s">
        <v>68</v>
      </c>
      <c r="G168" t="s">
        <v>66</v>
      </c>
      <c r="H168" t="s">
        <v>67</v>
      </c>
      <c r="I168" t="s">
        <v>2664</v>
      </c>
      <c r="J168" t="s">
        <v>2704</v>
      </c>
      <c r="K168" t="s">
        <v>25</v>
      </c>
      <c r="L168">
        <v>34</v>
      </c>
      <c r="M168">
        <v>5</v>
      </c>
      <c r="N168">
        <v>30</v>
      </c>
      <c r="O168" t="s">
        <v>558</v>
      </c>
      <c r="P168" t="s">
        <v>44</v>
      </c>
      <c r="Q168" t="s">
        <v>58</v>
      </c>
      <c r="R168" t="s">
        <v>71</v>
      </c>
      <c r="S168" t="s">
        <v>69</v>
      </c>
      <c r="T168">
        <v>2</v>
      </c>
      <c r="U168" s="5">
        <v>462</v>
      </c>
      <c r="V168" s="5">
        <v>1358.19</v>
      </c>
      <c r="W168">
        <v>6</v>
      </c>
      <c r="X168" t="s">
        <v>34</v>
      </c>
      <c r="Y168">
        <v>2025</v>
      </c>
      <c r="Z168" t="str">
        <f>TEXT(Table1[[#This Row],[Order Date]],"MMM")</f>
        <v>Jan</v>
      </c>
      <c r="AA168" s="5">
        <f>Table1[[#This Row],[Unit Price]]*Table1[[#This Row],[Quantity]]*(1-Table1[[#This Row],[Discount %]]/100)</f>
        <v>1617</v>
      </c>
      <c r="AB168" s="5">
        <f>Table1[[#This Row],[Sales]]-Table1[[#This Row],[Cost]]</f>
        <v>258.80999999999995</v>
      </c>
    </row>
    <row r="169" spans="1:28" x14ac:dyDescent="0.3">
      <c r="A169" t="s">
        <v>559</v>
      </c>
      <c r="B169" s="1">
        <v>46172</v>
      </c>
      <c r="C169" t="s">
        <v>560</v>
      </c>
      <c r="D169" t="s">
        <v>2951</v>
      </c>
      <c r="E169" s="1">
        <v>46178</v>
      </c>
      <c r="F169" t="s">
        <v>68</v>
      </c>
      <c r="G169" t="s">
        <v>66</v>
      </c>
      <c r="H169" t="s">
        <v>67</v>
      </c>
      <c r="I169" t="s">
        <v>2635</v>
      </c>
      <c r="J169" t="s">
        <v>2636</v>
      </c>
      <c r="K169" t="s">
        <v>52</v>
      </c>
      <c r="L169">
        <v>20</v>
      </c>
      <c r="M169">
        <v>2</v>
      </c>
      <c r="N169">
        <v>25</v>
      </c>
      <c r="O169" t="s">
        <v>223</v>
      </c>
      <c r="P169" t="s">
        <v>75</v>
      </c>
      <c r="Q169" t="s">
        <v>117</v>
      </c>
      <c r="R169" t="s">
        <v>43</v>
      </c>
      <c r="S169" t="s">
        <v>69</v>
      </c>
      <c r="T169">
        <v>3</v>
      </c>
      <c r="U169" s="5">
        <v>698.61</v>
      </c>
      <c r="V169" s="5">
        <v>649.41</v>
      </c>
      <c r="W169">
        <v>6</v>
      </c>
      <c r="X169" t="s">
        <v>49</v>
      </c>
      <c r="Y169">
        <v>2026</v>
      </c>
      <c r="Z169" t="str">
        <f>TEXT(Table1[[#This Row],[Order Date]],"MMM")</f>
        <v>May</v>
      </c>
      <c r="AA169" s="5">
        <f>Table1[[#This Row],[Unit Price]]*Table1[[#This Row],[Quantity]]*(1-Table1[[#This Row],[Discount %]]/100)</f>
        <v>1047.915</v>
      </c>
      <c r="AB169" s="5">
        <f>Table1[[#This Row],[Sales]]-Table1[[#This Row],[Cost]]</f>
        <v>398.505</v>
      </c>
    </row>
    <row r="170" spans="1:28" x14ac:dyDescent="0.3">
      <c r="A170" t="s">
        <v>561</v>
      </c>
      <c r="B170" s="1">
        <v>45466</v>
      </c>
      <c r="C170" t="s">
        <v>562</v>
      </c>
      <c r="D170" t="s">
        <v>2952</v>
      </c>
      <c r="E170" s="1">
        <v>45467</v>
      </c>
      <c r="F170" t="s">
        <v>56</v>
      </c>
      <c r="G170" t="s">
        <v>54</v>
      </c>
      <c r="H170" t="s">
        <v>55</v>
      </c>
      <c r="I170" t="s">
        <v>2648</v>
      </c>
      <c r="J170" t="s">
        <v>2684</v>
      </c>
      <c r="K170" t="s">
        <v>25</v>
      </c>
      <c r="L170">
        <v>64</v>
      </c>
      <c r="M170">
        <v>2</v>
      </c>
      <c r="N170">
        <v>5</v>
      </c>
      <c r="O170" t="s">
        <v>563</v>
      </c>
      <c r="P170" t="s">
        <v>44</v>
      </c>
      <c r="Q170" t="s">
        <v>70</v>
      </c>
      <c r="R170" t="s">
        <v>71</v>
      </c>
      <c r="S170" t="s">
        <v>57</v>
      </c>
      <c r="T170">
        <v>2</v>
      </c>
      <c r="U170" s="5">
        <v>210.75</v>
      </c>
      <c r="V170" s="5">
        <v>255.69</v>
      </c>
      <c r="W170">
        <v>1</v>
      </c>
      <c r="X170" t="s">
        <v>49</v>
      </c>
      <c r="Y170">
        <v>2024</v>
      </c>
      <c r="Z170" t="str">
        <f>TEXT(Table1[[#This Row],[Order Date]],"MMM")</f>
        <v>Jun</v>
      </c>
      <c r="AA170" s="5">
        <f>Table1[[#This Row],[Unit Price]]*Table1[[#This Row],[Quantity]]*(1-Table1[[#This Row],[Discount %]]/100)</f>
        <v>400.42499999999995</v>
      </c>
      <c r="AB170" s="5">
        <f>Table1[[#This Row],[Sales]]-Table1[[#This Row],[Cost]]</f>
        <v>144.73499999999996</v>
      </c>
    </row>
    <row r="171" spans="1:28" x14ac:dyDescent="0.3">
      <c r="A171" t="s">
        <v>564</v>
      </c>
      <c r="B171" s="1">
        <v>45641</v>
      </c>
      <c r="C171" t="s">
        <v>565</v>
      </c>
      <c r="D171" t="s">
        <v>2953</v>
      </c>
      <c r="E171" s="1">
        <v>45645</v>
      </c>
      <c r="F171" t="s">
        <v>56</v>
      </c>
      <c r="G171" t="s">
        <v>54</v>
      </c>
      <c r="H171" t="s">
        <v>55</v>
      </c>
      <c r="I171" t="s">
        <v>2621</v>
      </c>
      <c r="J171" t="s">
        <v>2622</v>
      </c>
      <c r="K171" t="s">
        <v>25</v>
      </c>
      <c r="L171">
        <v>39</v>
      </c>
      <c r="M171">
        <v>1</v>
      </c>
      <c r="N171">
        <v>25</v>
      </c>
      <c r="O171" t="s">
        <v>566</v>
      </c>
      <c r="P171" t="s">
        <v>44</v>
      </c>
      <c r="Q171" t="s">
        <v>58</v>
      </c>
      <c r="R171" t="s">
        <v>71</v>
      </c>
      <c r="S171" t="s">
        <v>57</v>
      </c>
      <c r="T171">
        <v>3</v>
      </c>
      <c r="U171" s="5">
        <v>477.02</v>
      </c>
      <c r="V171" s="5">
        <v>268.83</v>
      </c>
      <c r="W171">
        <v>4</v>
      </c>
      <c r="X171" t="s">
        <v>94</v>
      </c>
      <c r="Y171">
        <v>2024</v>
      </c>
      <c r="Z171" t="str">
        <f>TEXT(Table1[[#This Row],[Order Date]],"MMM")</f>
        <v>Dec</v>
      </c>
      <c r="AA171" s="5">
        <f>Table1[[#This Row],[Unit Price]]*Table1[[#This Row],[Quantity]]*(1-Table1[[#This Row],[Discount %]]/100)</f>
        <v>357.76499999999999</v>
      </c>
      <c r="AB171" s="5">
        <f>Table1[[#This Row],[Sales]]-Table1[[#This Row],[Cost]]</f>
        <v>88.935000000000002</v>
      </c>
    </row>
    <row r="172" spans="1:28" x14ac:dyDescent="0.3">
      <c r="A172" t="s">
        <v>567</v>
      </c>
      <c r="B172" s="1">
        <v>45664</v>
      </c>
      <c r="C172" t="s">
        <v>568</v>
      </c>
      <c r="D172" t="s">
        <v>2954</v>
      </c>
      <c r="E172" s="1">
        <v>45667</v>
      </c>
      <c r="F172" t="s">
        <v>2617</v>
      </c>
      <c r="G172" t="s">
        <v>27</v>
      </c>
      <c r="H172" t="s">
        <v>28</v>
      </c>
      <c r="I172" t="s">
        <v>2671</v>
      </c>
      <c r="J172" t="s">
        <v>2706</v>
      </c>
      <c r="K172" t="s">
        <v>25</v>
      </c>
      <c r="L172">
        <v>50</v>
      </c>
      <c r="M172">
        <v>2</v>
      </c>
      <c r="N172">
        <v>10</v>
      </c>
      <c r="O172" t="s">
        <v>569</v>
      </c>
      <c r="P172" t="s">
        <v>44</v>
      </c>
      <c r="Q172" t="s">
        <v>117</v>
      </c>
      <c r="R172" t="s">
        <v>62</v>
      </c>
      <c r="S172" t="s">
        <v>30</v>
      </c>
      <c r="T172">
        <v>5</v>
      </c>
      <c r="U172" s="5">
        <v>26.27</v>
      </c>
      <c r="V172" s="5">
        <v>27.59</v>
      </c>
      <c r="W172">
        <v>3</v>
      </c>
      <c r="X172" t="s">
        <v>34</v>
      </c>
      <c r="Y172">
        <v>2025</v>
      </c>
      <c r="Z172" t="str">
        <f>TEXT(Table1[[#This Row],[Order Date]],"MMM")</f>
        <v>Jan</v>
      </c>
      <c r="AA172" s="5">
        <f>Table1[[#This Row],[Unit Price]]*Table1[[#This Row],[Quantity]]*(1-Table1[[#This Row],[Discount %]]/100)</f>
        <v>47.286000000000001</v>
      </c>
      <c r="AB172" s="5">
        <f>Table1[[#This Row],[Sales]]-Table1[[#This Row],[Cost]]</f>
        <v>19.696000000000002</v>
      </c>
    </row>
    <row r="173" spans="1:28" x14ac:dyDescent="0.3">
      <c r="A173" t="s">
        <v>570</v>
      </c>
      <c r="B173" s="1">
        <v>45530</v>
      </c>
      <c r="C173" t="s">
        <v>571</v>
      </c>
      <c r="D173" t="s">
        <v>2955</v>
      </c>
      <c r="E173" s="1">
        <v>45534</v>
      </c>
      <c r="F173" t="s">
        <v>56</v>
      </c>
      <c r="G173" t="s">
        <v>54</v>
      </c>
      <c r="H173" t="s">
        <v>55</v>
      </c>
      <c r="I173" t="s">
        <v>2655</v>
      </c>
      <c r="J173" t="s">
        <v>2656</v>
      </c>
      <c r="K173" t="s">
        <v>25</v>
      </c>
      <c r="L173">
        <v>18</v>
      </c>
      <c r="M173">
        <v>5</v>
      </c>
      <c r="N173">
        <v>5</v>
      </c>
      <c r="O173" t="s">
        <v>572</v>
      </c>
      <c r="P173" t="s">
        <v>75</v>
      </c>
      <c r="Q173" t="s">
        <v>117</v>
      </c>
      <c r="R173" t="s">
        <v>43</v>
      </c>
      <c r="S173" t="s">
        <v>57</v>
      </c>
      <c r="T173">
        <v>5</v>
      </c>
      <c r="U173" s="5">
        <v>808.15</v>
      </c>
      <c r="V173" s="5">
        <v>2312.4899999999998</v>
      </c>
      <c r="W173">
        <v>4</v>
      </c>
      <c r="X173" t="s">
        <v>45</v>
      </c>
      <c r="Y173">
        <v>2024</v>
      </c>
      <c r="Z173" t="str">
        <f>TEXT(Table1[[#This Row],[Order Date]],"MMM")</f>
        <v>Aug</v>
      </c>
      <c r="AA173" s="5">
        <f>Table1[[#This Row],[Unit Price]]*Table1[[#This Row],[Quantity]]*(1-Table1[[#This Row],[Discount %]]/100)</f>
        <v>3838.7124999999996</v>
      </c>
      <c r="AB173" s="5">
        <f>Table1[[#This Row],[Sales]]-Table1[[#This Row],[Cost]]</f>
        <v>1526.2224999999999</v>
      </c>
    </row>
    <row r="174" spans="1:28" x14ac:dyDescent="0.3">
      <c r="A174" t="s">
        <v>573</v>
      </c>
      <c r="B174" s="1">
        <v>46179</v>
      </c>
      <c r="C174" t="s">
        <v>574</v>
      </c>
      <c r="D174" t="s">
        <v>2956</v>
      </c>
      <c r="E174" s="1">
        <v>46182</v>
      </c>
      <c r="F174" t="s">
        <v>128</v>
      </c>
      <c r="G174" t="s">
        <v>98</v>
      </c>
      <c r="H174" t="s">
        <v>127</v>
      </c>
      <c r="I174" t="s">
        <v>2643</v>
      </c>
      <c r="J174" t="s">
        <v>2644</v>
      </c>
      <c r="K174" t="s">
        <v>52</v>
      </c>
      <c r="L174">
        <v>44</v>
      </c>
      <c r="M174">
        <v>1</v>
      </c>
      <c r="N174">
        <v>25</v>
      </c>
      <c r="O174" t="s">
        <v>443</v>
      </c>
      <c r="P174" t="s">
        <v>75</v>
      </c>
      <c r="Q174" t="s">
        <v>31</v>
      </c>
      <c r="R174" t="s">
        <v>43</v>
      </c>
      <c r="S174" t="s">
        <v>129</v>
      </c>
      <c r="T174">
        <v>4</v>
      </c>
      <c r="U174" s="5">
        <v>524.5</v>
      </c>
      <c r="V174" s="5">
        <v>199.37</v>
      </c>
      <c r="W174">
        <v>3</v>
      </c>
      <c r="X174" t="s">
        <v>49</v>
      </c>
      <c r="Y174">
        <v>2026</v>
      </c>
      <c r="Z174" t="str">
        <f>TEXT(Table1[[#This Row],[Order Date]],"MMM")</f>
        <v>Jun</v>
      </c>
      <c r="AA174" s="5">
        <f>Table1[[#This Row],[Unit Price]]*Table1[[#This Row],[Quantity]]*(1-Table1[[#This Row],[Discount %]]/100)</f>
        <v>393.375</v>
      </c>
      <c r="AB174" s="5">
        <f>Table1[[#This Row],[Sales]]-Table1[[#This Row],[Cost]]</f>
        <v>194.005</v>
      </c>
    </row>
    <row r="175" spans="1:28" x14ac:dyDescent="0.3">
      <c r="A175" t="s">
        <v>575</v>
      </c>
      <c r="B175" s="1">
        <v>45874</v>
      </c>
      <c r="C175" t="s">
        <v>576</v>
      </c>
      <c r="D175" t="s">
        <v>2957</v>
      </c>
      <c r="E175" s="1">
        <v>45875</v>
      </c>
      <c r="F175" t="s">
        <v>2617</v>
      </c>
      <c r="G175" t="s">
        <v>27</v>
      </c>
      <c r="H175" t="s">
        <v>28</v>
      </c>
      <c r="I175" t="s">
        <v>2625</v>
      </c>
      <c r="J175" t="s">
        <v>2705</v>
      </c>
      <c r="K175" t="s">
        <v>52</v>
      </c>
      <c r="L175">
        <v>57</v>
      </c>
      <c r="M175">
        <v>1</v>
      </c>
      <c r="N175">
        <v>5</v>
      </c>
      <c r="O175" t="s">
        <v>577</v>
      </c>
      <c r="P175" t="s">
        <v>44</v>
      </c>
      <c r="Q175" t="s">
        <v>31</v>
      </c>
      <c r="R175" t="s">
        <v>71</v>
      </c>
      <c r="S175" t="s">
        <v>30</v>
      </c>
      <c r="T175">
        <v>3</v>
      </c>
      <c r="U175" s="5">
        <v>332.27</v>
      </c>
      <c r="V175" s="5">
        <v>266.27999999999997</v>
      </c>
      <c r="W175">
        <v>1</v>
      </c>
      <c r="X175" t="s">
        <v>45</v>
      </c>
      <c r="Y175">
        <v>2025</v>
      </c>
      <c r="Z175" t="str">
        <f>TEXT(Table1[[#This Row],[Order Date]],"MMM")</f>
        <v>Aug</v>
      </c>
      <c r="AA175" s="5">
        <f>Table1[[#This Row],[Unit Price]]*Table1[[#This Row],[Quantity]]*(1-Table1[[#This Row],[Discount %]]/100)</f>
        <v>315.65649999999999</v>
      </c>
      <c r="AB175" s="5">
        <f>Table1[[#This Row],[Sales]]-Table1[[#This Row],[Cost]]</f>
        <v>49.376500000000021</v>
      </c>
    </row>
    <row r="176" spans="1:28" x14ac:dyDescent="0.3">
      <c r="A176" t="s">
        <v>578</v>
      </c>
      <c r="B176" s="1">
        <v>46121</v>
      </c>
      <c r="C176" t="s">
        <v>579</v>
      </c>
      <c r="D176" t="s">
        <v>2958</v>
      </c>
      <c r="E176" s="1">
        <v>46126</v>
      </c>
      <c r="F176" t="s">
        <v>115</v>
      </c>
      <c r="G176" t="s">
        <v>66</v>
      </c>
      <c r="H176" t="s">
        <v>114</v>
      </c>
      <c r="I176" t="s">
        <v>2630</v>
      </c>
      <c r="J176" t="s">
        <v>2646</v>
      </c>
      <c r="K176" t="s">
        <v>25</v>
      </c>
      <c r="L176">
        <v>64</v>
      </c>
      <c r="M176">
        <v>3</v>
      </c>
      <c r="N176">
        <v>5</v>
      </c>
      <c r="O176" t="s">
        <v>580</v>
      </c>
      <c r="P176" t="s">
        <v>44</v>
      </c>
      <c r="Q176" t="s">
        <v>58</v>
      </c>
      <c r="R176" t="s">
        <v>43</v>
      </c>
      <c r="S176" t="s">
        <v>116</v>
      </c>
      <c r="T176">
        <v>3</v>
      </c>
      <c r="U176" s="5">
        <v>706.53</v>
      </c>
      <c r="V176" s="5">
        <v>1164.83</v>
      </c>
      <c r="W176">
        <v>5</v>
      </c>
      <c r="X176" t="s">
        <v>49</v>
      </c>
      <c r="Y176">
        <v>2026</v>
      </c>
      <c r="Z176" t="str">
        <f>TEXT(Table1[[#This Row],[Order Date]],"MMM")</f>
        <v>Apr</v>
      </c>
      <c r="AA176" s="5">
        <f>Table1[[#This Row],[Unit Price]]*Table1[[#This Row],[Quantity]]*(1-Table1[[#This Row],[Discount %]]/100)</f>
        <v>2013.6105</v>
      </c>
      <c r="AB176" s="5">
        <f>Table1[[#This Row],[Sales]]-Table1[[#This Row],[Cost]]</f>
        <v>848.78050000000007</v>
      </c>
    </row>
    <row r="177" spans="1:28" x14ac:dyDescent="0.3">
      <c r="A177" t="s">
        <v>581</v>
      </c>
      <c r="B177" s="1">
        <v>45713</v>
      </c>
      <c r="C177" t="s">
        <v>582</v>
      </c>
      <c r="D177" t="s">
        <v>2959</v>
      </c>
      <c r="E177" s="1">
        <v>45719</v>
      </c>
      <c r="F177" t="s">
        <v>40</v>
      </c>
      <c r="G177" t="s">
        <v>38</v>
      </c>
      <c r="H177" t="s">
        <v>39</v>
      </c>
      <c r="I177" t="s">
        <v>2650</v>
      </c>
      <c r="J177" t="s">
        <v>2698</v>
      </c>
      <c r="K177" t="s">
        <v>25</v>
      </c>
      <c r="L177">
        <v>38</v>
      </c>
      <c r="M177">
        <v>5</v>
      </c>
      <c r="N177">
        <v>5</v>
      </c>
      <c r="O177" t="s">
        <v>583</v>
      </c>
      <c r="P177" t="s">
        <v>33</v>
      </c>
      <c r="Q177" t="s">
        <v>31</v>
      </c>
      <c r="R177" t="s">
        <v>71</v>
      </c>
      <c r="S177" t="s">
        <v>41</v>
      </c>
      <c r="T177">
        <v>4</v>
      </c>
      <c r="U177" s="5">
        <v>629.22</v>
      </c>
      <c r="V177" s="5">
        <v>2432.9899999999998</v>
      </c>
      <c r="W177">
        <v>6</v>
      </c>
      <c r="X177" t="s">
        <v>34</v>
      </c>
      <c r="Y177">
        <v>2025</v>
      </c>
      <c r="Z177" t="str">
        <f>TEXT(Table1[[#This Row],[Order Date]],"MMM")</f>
        <v>Feb</v>
      </c>
      <c r="AA177" s="5">
        <f>Table1[[#This Row],[Unit Price]]*Table1[[#This Row],[Quantity]]*(1-Table1[[#This Row],[Discount %]]/100)</f>
        <v>2988.7950000000001</v>
      </c>
      <c r="AB177" s="5">
        <f>Table1[[#This Row],[Sales]]-Table1[[#This Row],[Cost]]</f>
        <v>555.80500000000029</v>
      </c>
    </row>
    <row r="178" spans="1:28" x14ac:dyDescent="0.3">
      <c r="A178" t="s">
        <v>584</v>
      </c>
      <c r="B178" s="1">
        <v>45810</v>
      </c>
      <c r="C178" t="s">
        <v>585</v>
      </c>
      <c r="D178" t="s">
        <v>2960</v>
      </c>
      <c r="E178" s="1">
        <v>45816</v>
      </c>
      <c r="F178" t="s">
        <v>100</v>
      </c>
      <c r="G178" t="s">
        <v>98</v>
      </c>
      <c r="H178" t="s">
        <v>99</v>
      </c>
      <c r="I178" t="s">
        <v>2629</v>
      </c>
      <c r="J178" t="s">
        <v>2632</v>
      </c>
      <c r="K178" t="s">
        <v>52</v>
      </c>
      <c r="L178">
        <v>46</v>
      </c>
      <c r="M178">
        <v>2</v>
      </c>
      <c r="N178">
        <v>30</v>
      </c>
      <c r="O178" t="s">
        <v>586</v>
      </c>
      <c r="P178" t="s">
        <v>44</v>
      </c>
      <c r="Q178" t="s">
        <v>117</v>
      </c>
      <c r="R178" t="s">
        <v>43</v>
      </c>
      <c r="S178" t="s">
        <v>101</v>
      </c>
      <c r="T178">
        <v>5</v>
      </c>
      <c r="U178" s="5">
        <v>103.74</v>
      </c>
      <c r="V178" s="5">
        <v>114.32</v>
      </c>
      <c r="W178">
        <v>6</v>
      </c>
      <c r="X178" t="s">
        <v>49</v>
      </c>
      <c r="Y178">
        <v>2025</v>
      </c>
      <c r="Z178" t="str">
        <f>TEXT(Table1[[#This Row],[Order Date]],"MMM")</f>
        <v>Jun</v>
      </c>
      <c r="AA178" s="5">
        <f>Table1[[#This Row],[Unit Price]]*Table1[[#This Row],[Quantity]]*(1-Table1[[#This Row],[Discount %]]/100)</f>
        <v>145.23599999999999</v>
      </c>
      <c r="AB178" s="5">
        <f>Table1[[#This Row],[Sales]]-Table1[[#This Row],[Cost]]</f>
        <v>30.915999999999997</v>
      </c>
    </row>
    <row r="179" spans="1:28" x14ac:dyDescent="0.3">
      <c r="A179" t="s">
        <v>587</v>
      </c>
      <c r="B179" s="1">
        <v>46137</v>
      </c>
      <c r="C179" t="s">
        <v>588</v>
      </c>
      <c r="D179" t="s">
        <v>2961</v>
      </c>
      <c r="E179" s="1">
        <v>46143</v>
      </c>
      <c r="F179" t="s">
        <v>122</v>
      </c>
      <c r="G179" t="s">
        <v>120</v>
      </c>
      <c r="H179" t="s">
        <v>121</v>
      </c>
      <c r="I179" t="s">
        <v>2621</v>
      </c>
      <c r="J179" t="s">
        <v>2622</v>
      </c>
      <c r="K179" t="s">
        <v>25</v>
      </c>
      <c r="L179">
        <v>34</v>
      </c>
      <c r="M179">
        <v>2</v>
      </c>
      <c r="N179">
        <v>30</v>
      </c>
      <c r="O179" t="s">
        <v>589</v>
      </c>
      <c r="P179" t="s">
        <v>33</v>
      </c>
      <c r="Q179" t="s">
        <v>42</v>
      </c>
      <c r="R179" t="s">
        <v>32</v>
      </c>
      <c r="S179" t="s">
        <v>123</v>
      </c>
      <c r="T179">
        <v>1</v>
      </c>
      <c r="U179" s="5">
        <v>564.77</v>
      </c>
      <c r="V179" s="5">
        <v>566.70000000000005</v>
      </c>
      <c r="W179">
        <v>6</v>
      </c>
      <c r="X179" t="s">
        <v>49</v>
      </c>
      <c r="Y179">
        <v>2026</v>
      </c>
      <c r="Z179" t="str">
        <f>TEXT(Table1[[#This Row],[Order Date]],"MMM")</f>
        <v>Apr</v>
      </c>
      <c r="AA179" s="5">
        <f>Table1[[#This Row],[Unit Price]]*Table1[[#This Row],[Quantity]]*(1-Table1[[#This Row],[Discount %]]/100)</f>
        <v>790.67799999999988</v>
      </c>
      <c r="AB179" s="5">
        <f>Table1[[#This Row],[Sales]]-Table1[[#This Row],[Cost]]</f>
        <v>223.97799999999984</v>
      </c>
    </row>
    <row r="180" spans="1:28" x14ac:dyDescent="0.3">
      <c r="A180" t="s">
        <v>590</v>
      </c>
      <c r="B180" s="1">
        <v>45318</v>
      </c>
      <c r="C180" t="s">
        <v>591</v>
      </c>
      <c r="D180" t="s">
        <v>2962</v>
      </c>
      <c r="E180" s="1">
        <v>45320</v>
      </c>
      <c r="F180" t="s">
        <v>2617</v>
      </c>
      <c r="G180" t="s">
        <v>27</v>
      </c>
      <c r="H180" t="s">
        <v>28</v>
      </c>
      <c r="I180" t="s">
        <v>2627</v>
      </c>
      <c r="J180" t="s">
        <v>2690</v>
      </c>
      <c r="K180" t="s">
        <v>52</v>
      </c>
      <c r="L180">
        <v>19</v>
      </c>
      <c r="M180">
        <v>1</v>
      </c>
      <c r="N180">
        <v>0</v>
      </c>
      <c r="O180" t="s">
        <v>592</v>
      </c>
      <c r="P180" t="s">
        <v>33</v>
      </c>
      <c r="Q180" t="s">
        <v>58</v>
      </c>
      <c r="R180" t="s">
        <v>32</v>
      </c>
      <c r="S180" t="s">
        <v>30</v>
      </c>
      <c r="T180">
        <v>1</v>
      </c>
      <c r="U180" s="5">
        <v>458.46</v>
      </c>
      <c r="V180" s="5">
        <v>355.28</v>
      </c>
      <c r="W180">
        <v>2</v>
      </c>
      <c r="X180" t="s">
        <v>34</v>
      </c>
      <c r="Y180">
        <v>2024</v>
      </c>
      <c r="Z180" t="str">
        <f>TEXT(Table1[[#This Row],[Order Date]],"MMM")</f>
        <v>Jan</v>
      </c>
      <c r="AA180" s="5">
        <f>Table1[[#This Row],[Unit Price]]*Table1[[#This Row],[Quantity]]*(1-Table1[[#This Row],[Discount %]]/100)</f>
        <v>458.46</v>
      </c>
      <c r="AB180" s="5">
        <f>Table1[[#This Row],[Sales]]-Table1[[#This Row],[Cost]]</f>
        <v>103.18</v>
      </c>
    </row>
    <row r="181" spans="1:28" x14ac:dyDescent="0.3">
      <c r="A181" t="s">
        <v>593</v>
      </c>
      <c r="B181" s="1">
        <v>45465</v>
      </c>
      <c r="C181" t="s">
        <v>594</v>
      </c>
      <c r="D181" t="s">
        <v>2963</v>
      </c>
      <c r="E181" s="1">
        <v>45468</v>
      </c>
      <c r="F181" t="s">
        <v>2617</v>
      </c>
      <c r="G181" t="s">
        <v>27</v>
      </c>
      <c r="H181" t="s">
        <v>28</v>
      </c>
      <c r="I181" t="s">
        <v>2668</v>
      </c>
      <c r="J181" t="s">
        <v>2686</v>
      </c>
      <c r="K181" t="s">
        <v>52</v>
      </c>
      <c r="L181">
        <v>55</v>
      </c>
      <c r="M181">
        <v>2</v>
      </c>
      <c r="N181">
        <v>20</v>
      </c>
      <c r="O181" t="s">
        <v>595</v>
      </c>
      <c r="P181" t="s">
        <v>44</v>
      </c>
      <c r="Q181" t="s">
        <v>70</v>
      </c>
      <c r="R181" t="s">
        <v>43</v>
      </c>
      <c r="S181" t="s">
        <v>30</v>
      </c>
      <c r="T181">
        <v>5</v>
      </c>
      <c r="U181" s="5">
        <v>62.56</v>
      </c>
      <c r="V181" s="5">
        <v>50.41</v>
      </c>
      <c r="W181">
        <v>3</v>
      </c>
      <c r="X181" t="s">
        <v>49</v>
      </c>
      <c r="Y181">
        <v>2024</v>
      </c>
      <c r="Z181" t="str">
        <f>TEXT(Table1[[#This Row],[Order Date]],"MMM")</f>
        <v>Jun</v>
      </c>
      <c r="AA181" s="5">
        <f>Table1[[#This Row],[Unit Price]]*Table1[[#This Row],[Quantity]]*(1-Table1[[#This Row],[Discount %]]/100)</f>
        <v>100.096</v>
      </c>
      <c r="AB181" s="5">
        <f>Table1[[#This Row],[Sales]]-Table1[[#This Row],[Cost]]</f>
        <v>49.686000000000007</v>
      </c>
    </row>
    <row r="182" spans="1:28" x14ac:dyDescent="0.3">
      <c r="A182" t="s">
        <v>596</v>
      </c>
      <c r="B182" s="1">
        <v>46085</v>
      </c>
      <c r="C182" t="s">
        <v>597</v>
      </c>
      <c r="D182" t="s">
        <v>2964</v>
      </c>
      <c r="E182" s="1">
        <v>46087</v>
      </c>
      <c r="F182" t="s">
        <v>122</v>
      </c>
      <c r="G182" t="s">
        <v>120</v>
      </c>
      <c r="H182" t="s">
        <v>121</v>
      </c>
      <c r="I182" t="s">
        <v>2635</v>
      </c>
      <c r="J182" t="s">
        <v>2700</v>
      </c>
      <c r="K182" t="s">
        <v>52</v>
      </c>
      <c r="L182">
        <v>59</v>
      </c>
      <c r="M182">
        <v>5</v>
      </c>
      <c r="N182">
        <v>25</v>
      </c>
      <c r="O182" t="s">
        <v>156</v>
      </c>
      <c r="P182" t="s">
        <v>33</v>
      </c>
      <c r="Q182" t="s">
        <v>58</v>
      </c>
      <c r="R182" t="s">
        <v>62</v>
      </c>
      <c r="S182" t="s">
        <v>123</v>
      </c>
      <c r="T182">
        <v>4</v>
      </c>
      <c r="U182" s="5">
        <v>950.02</v>
      </c>
      <c r="V182" s="5">
        <v>2639.37</v>
      </c>
      <c r="W182">
        <v>2</v>
      </c>
      <c r="X182" t="s">
        <v>34</v>
      </c>
      <c r="Y182">
        <v>2026</v>
      </c>
      <c r="Z182" t="str">
        <f>TEXT(Table1[[#This Row],[Order Date]],"MMM")</f>
        <v>Mar</v>
      </c>
      <c r="AA182" s="5">
        <f>Table1[[#This Row],[Unit Price]]*Table1[[#This Row],[Quantity]]*(1-Table1[[#This Row],[Discount %]]/100)</f>
        <v>3562.5750000000003</v>
      </c>
      <c r="AB182" s="5">
        <f>Table1[[#This Row],[Sales]]-Table1[[#This Row],[Cost]]</f>
        <v>923.20500000000038</v>
      </c>
    </row>
    <row r="183" spans="1:28" x14ac:dyDescent="0.3">
      <c r="A183" t="s">
        <v>598</v>
      </c>
      <c r="B183" s="1">
        <v>45706</v>
      </c>
      <c r="C183" t="s">
        <v>599</v>
      </c>
      <c r="D183" t="s">
        <v>2965</v>
      </c>
      <c r="E183" s="1">
        <v>45712</v>
      </c>
      <c r="F183" t="s">
        <v>122</v>
      </c>
      <c r="G183" t="s">
        <v>120</v>
      </c>
      <c r="H183" t="s">
        <v>121</v>
      </c>
      <c r="I183" t="s">
        <v>2619</v>
      </c>
      <c r="J183" t="s">
        <v>2620</v>
      </c>
      <c r="K183" t="s">
        <v>52</v>
      </c>
      <c r="L183">
        <v>28</v>
      </c>
      <c r="M183">
        <v>4</v>
      </c>
      <c r="N183">
        <v>5</v>
      </c>
      <c r="O183" t="s">
        <v>600</v>
      </c>
      <c r="P183" t="s">
        <v>33</v>
      </c>
      <c r="Q183" t="s">
        <v>117</v>
      </c>
      <c r="R183" t="s">
        <v>62</v>
      </c>
      <c r="S183" t="s">
        <v>123</v>
      </c>
      <c r="T183">
        <v>5</v>
      </c>
      <c r="U183" s="5">
        <v>971.62</v>
      </c>
      <c r="V183" s="5">
        <v>2710.17</v>
      </c>
      <c r="W183">
        <v>6</v>
      </c>
      <c r="X183" t="s">
        <v>34</v>
      </c>
      <c r="Y183">
        <v>2025</v>
      </c>
      <c r="Z183" t="str">
        <f>TEXT(Table1[[#This Row],[Order Date]],"MMM")</f>
        <v>Feb</v>
      </c>
      <c r="AA183" s="5">
        <f>Table1[[#This Row],[Unit Price]]*Table1[[#This Row],[Quantity]]*(1-Table1[[#This Row],[Discount %]]/100)</f>
        <v>3692.1559999999999</v>
      </c>
      <c r="AB183" s="5">
        <f>Table1[[#This Row],[Sales]]-Table1[[#This Row],[Cost]]</f>
        <v>981.98599999999988</v>
      </c>
    </row>
    <row r="184" spans="1:28" x14ac:dyDescent="0.3">
      <c r="A184" t="s">
        <v>601</v>
      </c>
      <c r="B184" s="1">
        <v>45877</v>
      </c>
      <c r="C184" t="s">
        <v>602</v>
      </c>
      <c r="D184" t="s">
        <v>2966</v>
      </c>
      <c r="E184" s="1">
        <v>45883</v>
      </c>
      <c r="F184" t="s">
        <v>56</v>
      </c>
      <c r="G184" t="s">
        <v>54</v>
      </c>
      <c r="H184" t="s">
        <v>55</v>
      </c>
      <c r="I184" t="s">
        <v>2623</v>
      </c>
      <c r="J184" t="s">
        <v>2713</v>
      </c>
      <c r="K184" t="s">
        <v>25</v>
      </c>
      <c r="L184">
        <v>50</v>
      </c>
      <c r="M184">
        <v>3</v>
      </c>
      <c r="N184">
        <v>5</v>
      </c>
      <c r="O184" t="s">
        <v>603</v>
      </c>
      <c r="P184" t="s">
        <v>33</v>
      </c>
      <c r="Q184" t="s">
        <v>31</v>
      </c>
      <c r="R184" t="s">
        <v>32</v>
      </c>
      <c r="S184" t="s">
        <v>57</v>
      </c>
      <c r="T184">
        <v>3</v>
      </c>
      <c r="U184" s="5">
        <v>392.23</v>
      </c>
      <c r="V184" s="5">
        <v>887.96</v>
      </c>
      <c r="W184">
        <v>6</v>
      </c>
      <c r="X184" t="s">
        <v>45</v>
      </c>
      <c r="Y184">
        <v>2025</v>
      </c>
      <c r="Z184" t="str">
        <f>TEXT(Table1[[#This Row],[Order Date]],"MMM")</f>
        <v>Aug</v>
      </c>
      <c r="AA184" s="5">
        <f>Table1[[#This Row],[Unit Price]]*Table1[[#This Row],[Quantity]]*(1-Table1[[#This Row],[Discount %]]/100)</f>
        <v>1117.8554999999999</v>
      </c>
      <c r="AB184" s="5">
        <f>Table1[[#This Row],[Sales]]-Table1[[#This Row],[Cost]]</f>
        <v>229.89549999999986</v>
      </c>
    </row>
    <row r="185" spans="1:28" x14ac:dyDescent="0.3">
      <c r="A185" t="s">
        <v>604</v>
      </c>
      <c r="B185" s="1">
        <v>45318</v>
      </c>
      <c r="C185" t="s">
        <v>605</v>
      </c>
      <c r="D185" t="s">
        <v>2967</v>
      </c>
      <c r="E185" s="1">
        <v>45325</v>
      </c>
      <c r="F185" t="s">
        <v>68</v>
      </c>
      <c r="G185" t="s">
        <v>66</v>
      </c>
      <c r="H185" t="s">
        <v>67</v>
      </c>
      <c r="I185" t="s">
        <v>2668</v>
      </c>
      <c r="J185" t="s">
        <v>2712</v>
      </c>
      <c r="K185" t="s">
        <v>52</v>
      </c>
      <c r="L185">
        <v>30</v>
      </c>
      <c r="M185">
        <v>4</v>
      </c>
      <c r="N185">
        <v>0</v>
      </c>
      <c r="O185" t="s">
        <v>156</v>
      </c>
      <c r="P185" t="s">
        <v>75</v>
      </c>
      <c r="Q185" t="s">
        <v>70</v>
      </c>
      <c r="R185" t="s">
        <v>32</v>
      </c>
      <c r="S185" t="s">
        <v>69</v>
      </c>
      <c r="T185">
        <v>5</v>
      </c>
      <c r="U185" s="5">
        <v>636.87</v>
      </c>
      <c r="V185" s="5">
        <v>1543.83</v>
      </c>
      <c r="W185">
        <v>7</v>
      </c>
      <c r="X185" t="s">
        <v>34</v>
      </c>
      <c r="Y185">
        <v>2024</v>
      </c>
      <c r="Z185" t="str">
        <f>TEXT(Table1[[#This Row],[Order Date]],"MMM")</f>
        <v>Jan</v>
      </c>
      <c r="AA185" s="5">
        <f>Table1[[#This Row],[Unit Price]]*Table1[[#This Row],[Quantity]]*(1-Table1[[#This Row],[Discount %]]/100)</f>
        <v>2547.48</v>
      </c>
      <c r="AB185" s="5">
        <f>Table1[[#This Row],[Sales]]-Table1[[#This Row],[Cost]]</f>
        <v>1003.6500000000001</v>
      </c>
    </row>
    <row r="186" spans="1:28" x14ac:dyDescent="0.3">
      <c r="A186" t="s">
        <v>606</v>
      </c>
      <c r="B186" s="1">
        <v>46069</v>
      </c>
      <c r="C186" t="s">
        <v>607</v>
      </c>
      <c r="D186" t="s">
        <v>2968</v>
      </c>
      <c r="E186" s="1">
        <v>46072</v>
      </c>
      <c r="F186" t="s">
        <v>128</v>
      </c>
      <c r="G186" t="s">
        <v>98</v>
      </c>
      <c r="H186" t="s">
        <v>127</v>
      </c>
      <c r="I186" t="s">
        <v>2623</v>
      </c>
      <c r="J186" t="s">
        <v>2694</v>
      </c>
      <c r="K186" t="s">
        <v>25</v>
      </c>
      <c r="L186">
        <v>30</v>
      </c>
      <c r="M186">
        <v>5</v>
      </c>
      <c r="N186">
        <v>20</v>
      </c>
      <c r="O186" t="s">
        <v>608</v>
      </c>
      <c r="P186" t="s">
        <v>44</v>
      </c>
      <c r="Q186" t="s">
        <v>31</v>
      </c>
      <c r="R186" t="s">
        <v>43</v>
      </c>
      <c r="S186" t="s">
        <v>129</v>
      </c>
      <c r="T186">
        <v>5</v>
      </c>
      <c r="U186" s="5">
        <v>140.29</v>
      </c>
      <c r="V186" s="5">
        <v>332.32</v>
      </c>
      <c r="W186">
        <v>3</v>
      </c>
      <c r="X186" t="s">
        <v>34</v>
      </c>
      <c r="Y186">
        <v>2026</v>
      </c>
      <c r="Z186" t="str">
        <f>TEXT(Table1[[#This Row],[Order Date]],"MMM")</f>
        <v>Feb</v>
      </c>
      <c r="AA186" s="5">
        <f>Table1[[#This Row],[Unit Price]]*Table1[[#This Row],[Quantity]]*(1-Table1[[#This Row],[Discount %]]/100)</f>
        <v>561.16</v>
      </c>
      <c r="AB186" s="5">
        <f>Table1[[#This Row],[Sales]]-Table1[[#This Row],[Cost]]</f>
        <v>228.83999999999997</v>
      </c>
    </row>
    <row r="187" spans="1:28" x14ac:dyDescent="0.3">
      <c r="A187" t="s">
        <v>609</v>
      </c>
      <c r="B187" s="1">
        <v>45302</v>
      </c>
      <c r="C187" t="s">
        <v>610</v>
      </c>
      <c r="D187" t="s">
        <v>2969</v>
      </c>
      <c r="E187" s="1">
        <v>45306</v>
      </c>
      <c r="F187" t="s">
        <v>68</v>
      </c>
      <c r="G187" t="s">
        <v>66</v>
      </c>
      <c r="H187" t="s">
        <v>67</v>
      </c>
      <c r="I187" t="s">
        <v>2648</v>
      </c>
      <c r="J187" t="s">
        <v>2702</v>
      </c>
      <c r="K187" t="s">
        <v>25</v>
      </c>
      <c r="L187">
        <v>21</v>
      </c>
      <c r="M187">
        <v>5</v>
      </c>
      <c r="N187">
        <v>0</v>
      </c>
      <c r="O187" t="s">
        <v>371</v>
      </c>
      <c r="P187" t="s">
        <v>75</v>
      </c>
      <c r="Q187" t="s">
        <v>70</v>
      </c>
      <c r="R187" t="s">
        <v>71</v>
      </c>
      <c r="S187" t="s">
        <v>69</v>
      </c>
      <c r="T187">
        <v>2</v>
      </c>
      <c r="U187" s="5">
        <v>589.05999999999995</v>
      </c>
      <c r="V187" s="5">
        <v>1891.44</v>
      </c>
      <c r="W187">
        <v>4</v>
      </c>
      <c r="X187" t="s">
        <v>34</v>
      </c>
      <c r="Y187">
        <v>2024</v>
      </c>
      <c r="Z187" t="str">
        <f>TEXT(Table1[[#This Row],[Order Date]],"MMM")</f>
        <v>Jan</v>
      </c>
      <c r="AA187" s="5">
        <f>Table1[[#This Row],[Unit Price]]*Table1[[#This Row],[Quantity]]*(1-Table1[[#This Row],[Discount %]]/100)</f>
        <v>2945.2999999999997</v>
      </c>
      <c r="AB187" s="5">
        <f>Table1[[#This Row],[Sales]]-Table1[[#This Row],[Cost]]</f>
        <v>1053.8599999999997</v>
      </c>
    </row>
    <row r="188" spans="1:28" x14ac:dyDescent="0.3">
      <c r="A188" t="s">
        <v>611</v>
      </c>
      <c r="B188" s="1">
        <v>45369</v>
      </c>
      <c r="C188" t="s">
        <v>612</v>
      </c>
      <c r="D188" t="s">
        <v>2970</v>
      </c>
      <c r="E188" s="1">
        <v>45372</v>
      </c>
      <c r="F188" t="s">
        <v>128</v>
      </c>
      <c r="G188" t="s">
        <v>98</v>
      </c>
      <c r="H188" t="s">
        <v>127</v>
      </c>
      <c r="I188" t="s">
        <v>2618</v>
      </c>
      <c r="J188" t="s">
        <v>2700</v>
      </c>
      <c r="K188" t="s">
        <v>25</v>
      </c>
      <c r="L188">
        <v>57</v>
      </c>
      <c r="M188">
        <v>3</v>
      </c>
      <c r="N188">
        <v>0</v>
      </c>
      <c r="O188" t="s">
        <v>613</v>
      </c>
      <c r="P188" t="s">
        <v>44</v>
      </c>
      <c r="Q188" t="s">
        <v>42</v>
      </c>
      <c r="R188" t="s">
        <v>62</v>
      </c>
      <c r="S188" t="s">
        <v>129</v>
      </c>
      <c r="T188">
        <v>1</v>
      </c>
      <c r="U188" s="5">
        <v>764.86</v>
      </c>
      <c r="V188" s="5">
        <v>1623.84</v>
      </c>
      <c r="W188">
        <v>3</v>
      </c>
      <c r="X188" t="s">
        <v>34</v>
      </c>
      <c r="Y188">
        <v>2024</v>
      </c>
      <c r="Z188" t="str">
        <f>TEXT(Table1[[#This Row],[Order Date]],"MMM")</f>
        <v>Mar</v>
      </c>
      <c r="AA188" s="5">
        <f>Table1[[#This Row],[Unit Price]]*Table1[[#This Row],[Quantity]]*(1-Table1[[#This Row],[Discount %]]/100)</f>
        <v>2294.58</v>
      </c>
      <c r="AB188" s="5">
        <f>Table1[[#This Row],[Sales]]-Table1[[#This Row],[Cost]]</f>
        <v>670.74</v>
      </c>
    </row>
    <row r="189" spans="1:28" x14ac:dyDescent="0.3">
      <c r="A189" t="s">
        <v>614</v>
      </c>
      <c r="B189" s="1">
        <v>45974</v>
      </c>
      <c r="C189" t="s">
        <v>615</v>
      </c>
      <c r="D189" t="s">
        <v>2971</v>
      </c>
      <c r="E189" s="1">
        <v>45980</v>
      </c>
      <c r="F189" t="s">
        <v>128</v>
      </c>
      <c r="G189" t="s">
        <v>98</v>
      </c>
      <c r="H189" t="s">
        <v>127</v>
      </c>
      <c r="I189" t="s">
        <v>2619</v>
      </c>
      <c r="J189" t="s">
        <v>2697</v>
      </c>
      <c r="K189" t="s">
        <v>52</v>
      </c>
      <c r="L189">
        <v>24</v>
      </c>
      <c r="M189">
        <v>4</v>
      </c>
      <c r="N189">
        <v>20</v>
      </c>
      <c r="O189" t="s">
        <v>616</v>
      </c>
      <c r="P189" t="s">
        <v>44</v>
      </c>
      <c r="Q189" t="s">
        <v>42</v>
      </c>
      <c r="R189" t="s">
        <v>71</v>
      </c>
      <c r="S189" t="s">
        <v>129</v>
      </c>
      <c r="T189">
        <v>2</v>
      </c>
      <c r="U189" s="5">
        <v>346.58</v>
      </c>
      <c r="V189" s="5">
        <v>940.76</v>
      </c>
      <c r="W189">
        <v>6</v>
      </c>
      <c r="X189" t="s">
        <v>94</v>
      </c>
      <c r="Y189">
        <v>2025</v>
      </c>
      <c r="Z189" t="str">
        <f>TEXT(Table1[[#This Row],[Order Date]],"MMM")</f>
        <v>Nov</v>
      </c>
      <c r="AA189" s="5">
        <f>Table1[[#This Row],[Unit Price]]*Table1[[#This Row],[Quantity]]*(1-Table1[[#This Row],[Discount %]]/100)</f>
        <v>1109.056</v>
      </c>
      <c r="AB189" s="5">
        <f>Table1[[#This Row],[Sales]]-Table1[[#This Row],[Cost]]</f>
        <v>168.29600000000005</v>
      </c>
    </row>
    <row r="190" spans="1:28" x14ac:dyDescent="0.3">
      <c r="A190" t="s">
        <v>617</v>
      </c>
      <c r="B190" s="1">
        <v>45923</v>
      </c>
      <c r="C190" t="s">
        <v>618</v>
      </c>
      <c r="D190" t="s">
        <v>2972</v>
      </c>
      <c r="E190" s="1">
        <v>45925</v>
      </c>
      <c r="F190" t="s">
        <v>122</v>
      </c>
      <c r="G190" t="s">
        <v>120</v>
      </c>
      <c r="H190" t="s">
        <v>121</v>
      </c>
      <c r="I190" t="s">
        <v>2627</v>
      </c>
      <c r="J190" t="s">
        <v>2707</v>
      </c>
      <c r="K190" t="s">
        <v>52</v>
      </c>
      <c r="L190">
        <v>42</v>
      </c>
      <c r="M190">
        <v>1</v>
      </c>
      <c r="N190">
        <v>0</v>
      </c>
      <c r="O190" t="s">
        <v>619</v>
      </c>
      <c r="P190" t="s">
        <v>75</v>
      </c>
      <c r="Q190" t="s">
        <v>58</v>
      </c>
      <c r="R190" t="s">
        <v>62</v>
      </c>
      <c r="S190" t="s">
        <v>123</v>
      </c>
      <c r="T190">
        <v>5</v>
      </c>
      <c r="U190" s="5">
        <v>992.73</v>
      </c>
      <c r="V190" s="5">
        <v>835.49</v>
      </c>
      <c r="W190">
        <v>2</v>
      </c>
      <c r="X190" t="s">
        <v>45</v>
      </c>
      <c r="Y190">
        <v>2025</v>
      </c>
      <c r="Z190" t="str">
        <f>TEXT(Table1[[#This Row],[Order Date]],"MMM")</f>
        <v>Sep</v>
      </c>
      <c r="AA190" s="5">
        <f>Table1[[#This Row],[Unit Price]]*Table1[[#This Row],[Quantity]]*(1-Table1[[#This Row],[Discount %]]/100)</f>
        <v>992.73</v>
      </c>
      <c r="AB190" s="5">
        <f>Table1[[#This Row],[Sales]]-Table1[[#This Row],[Cost]]</f>
        <v>157.24</v>
      </c>
    </row>
    <row r="191" spans="1:28" x14ac:dyDescent="0.3">
      <c r="A191" t="s">
        <v>620</v>
      </c>
      <c r="B191" s="1">
        <v>45540</v>
      </c>
      <c r="C191" t="s">
        <v>621</v>
      </c>
      <c r="D191" t="s">
        <v>2973</v>
      </c>
      <c r="E191" s="1">
        <v>45541</v>
      </c>
      <c r="F191" t="s">
        <v>122</v>
      </c>
      <c r="G191" t="s">
        <v>120</v>
      </c>
      <c r="H191" t="s">
        <v>121</v>
      </c>
      <c r="I191" t="s">
        <v>2630</v>
      </c>
      <c r="J191" t="s">
        <v>2710</v>
      </c>
      <c r="K191" t="s">
        <v>52</v>
      </c>
      <c r="L191">
        <v>26</v>
      </c>
      <c r="M191">
        <v>5</v>
      </c>
      <c r="N191">
        <v>15</v>
      </c>
      <c r="O191" t="s">
        <v>622</v>
      </c>
      <c r="P191" t="s">
        <v>75</v>
      </c>
      <c r="Q191" t="s">
        <v>58</v>
      </c>
      <c r="R191" t="s">
        <v>62</v>
      </c>
      <c r="S191" t="s">
        <v>123</v>
      </c>
      <c r="T191">
        <v>4</v>
      </c>
      <c r="U191" s="5">
        <v>239.36</v>
      </c>
      <c r="V191" s="5">
        <v>725.35</v>
      </c>
      <c r="W191">
        <v>1</v>
      </c>
      <c r="X191" t="s">
        <v>45</v>
      </c>
      <c r="Y191">
        <v>2024</v>
      </c>
      <c r="Z191" t="str">
        <f>TEXT(Table1[[#This Row],[Order Date]],"MMM")</f>
        <v>Sep</v>
      </c>
      <c r="AA191" s="5">
        <f>Table1[[#This Row],[Unit Price]]*Table1[[#This Row],[Quantity]]*(1-Table1[[#This Row],[Discount %]]/100)</f>
        <v>1017.2800000000001</v>
      </c>
      <c r="AB191" s="5">
        <f>Table1[[#This Row],[Sales]]-Table1[[#This Row],[Cost]]</f>
        <v>291.93000000000006</v>
      </c>
    </row>
    <row r="192" spans="1:28" x14ac:dyDescent="0.3">
      <c r="A192" t="s">
        <v>623</v>
      </c>
      <c r="B192" s="1">
        <v>46185</v>
      </c>
      <c r="C192" t="s">
        <v>624</v>
      </c>
      <c r="D192" t="s">
        <v>2974</v>
      </c>
      <c r="E192" s="1">
        <v>46190</v>
      </c>
      <c r="F192" t="s">
        <v>140</v>
      </c>
      <c r="G192" t="s">
        <v>38</v>
      </c>
      <c r="H192" t="s">
        <v>139</v>
      </c>
      <c r="I192" t="s">
        <v>2625</v>
      </c>
      <c r="J192" t="s">
        <v>2693</v>
      </c>
      <c r="K192" t="s">
        <v>52</v>
      </c>
      <c r="L192">
        <v>62</v>
      </c>
      <c r="M192">
        <v>2</v>
      </c>
      <c r="N192">
        <v>5</v>
      </c>
      <c r="O192" t="s">
        <v>625</v>
      </c>
      <c r="P192" t="s">
        <v>44</v>
      </c>
      <c r="Q192" t="s">
        <v>70</v>
      </c>
      <c r="R192" t="s">
        <v>32</v>
      </c>
      <c r="S192" t="s">
        <v>141</v>
      </c>
      <c r="T192">
        <v>3</v>
      </c>
      <c r="U192" s="5">
        <v>193.23</v>
      </c>
      <c r="V192" s="5">
        <v>209.06</v>
      </c>
      <c r="W192">
        <v>5</v>
      </c>
      <c r="X192" t="s">
        <v>49</v>
      </c>
      <c r="Y192">
        <v>2026</v>
      </c>
      <c r="Z192" t="str">
        <f>TEXT(Table1[[#This Row],[Order Date]],"MMM")</f>
        <v>Jun</v>
      </c>
      <c r="AA192" s="5">
        <f>Table1[[#This Row],[Unit Price]]*Table1[[#This Row],[Quantity]]*(1-Table1[[#This Row],[Discount %]]/100)</f>
        <v>367.13699999999994</v>
      </c>
      <c r="AB192" s="5">
        <f>Table1[[#This Row],[Sales]]-Table1[[#This Row],[Cost]]</f>
        <v>158.07699999999994</v>
      </c>
    </row>
    <row r="193" spans="1:28" x14ac:dyDescent="0.3">
      <c r="A193" t="s">
        <v>626</v>
      </c>
      <c r="B193" s="1">
        <v>45788</v>
      </c>
      <c r="C193" t="s">
        <v>627</v>
      </c>
      <c r="D193" t="s">
        <v>2975</v>
      </c>
      <c r="E193" s="1">
        <v>45793</v>
      </c>
      <c r="F193" t="s">
        <v>2617</v>
      </c>
      <c r="G193" t="s">
        <v>27</v>
      </c>
      <c r="H193" t="s">
        <v>28</v>
      </c>
      <c r="I193" t="s">
        <v>2631</v>
      </c>
      <c r="J193" t="s">
        <v>2716</v>
      </c>
      <c r="K193" t="s">
        <v>25</v>
      </c>
      <c r="L193">
        <v>30</v>
      </c>
      <c r="M193">
        <v>5</v>
      </c>
      <c r="N193">
        <v>25</v>
      </c>
      <c r="O193" t="s">
        <v>628</v>
      </c>
      <c r="P193" t="s">
        <v>33</v>
      </c>
      <c r="Q193" t="s">
        <v>117</v>
      </c>
      <c r="R193" t="s">
        <v>43</v>
      </c>
      <c r="S193" t="s">
        <v>30</v>
      </c>
      <c r="T193">
        <v>2</v>
      </c>
      <c r="U193" s="5">
        <v>457.4</v>
      </c>
      <c r="V193" s="5">
        <v>1387.55</v>
      </c>
      <c r="W193">
        <v>5</v>
      </c>
      <c r="X193" t="s">
        <v>49</v>
      </c>
      <c r="Y193">
        <v>2025</v>
      </c>
      <c r="Z193" t="str">
        <f>TEXT(Table1[[#This Row],[Order Date]],"MMM")</f>
        <v>May</v>
      </c>
      <c r="AA193" s="5">
        <f>Table1[[#This Row],[Unit Price]]*Table1[[#This Row],[Quantity]]*(1-Table1[[#This Row],[Discount %]]/100)</f>
        <v>1715.25</v>
      </c>
      <c r="AB193" s="5">
        <f>Table1[[#This Row],[Sales]]-Table1[[#This Row],[Cost]]</f>
        <v>327.70000000000005</v>
      </c>
    </row>
    <row r="194" spans="1:28" x14ac:dyDescent="0.3">
      <c r="A194" t="s">
        <v>629</v>
      </c>
      <c r="B194" s="1">
        <v>45685</v>
      </c>
      <c r="C194" t="s">
        <v>630</v>
      </c>
      <c r="D194" t="s">
        <v>2976</v>
      </c>
      <c r="E194" s="1">
        <v>45688</v>
      </c>
      <c r="F194" t="s">
        <v>2617</v>
      </c>
      <c r="G194" t="s">
        <v>27</v>
      </c>
      <c r="H194" t="s">
        <v>28</v>
      </c>
      <c r="I194" t="s">
        <v>2619</v>
      </c>
      <c r="J194" t="s">
        <v>2697</v>
      </c>
      <c r="K194" t="s">
        <v>52</v>
      </c>
      <c r="L194">
        <v>42</v>
      </c>
      <c r="M194">
        <v>2</v>
      </c>
      <c r="N194">
        <v>25</v>
      </c>
      <c r="O194" t="s">
        <v>631</v>
      </c>
      <c r="P194" t="s">
        <v>75</v>
      </c>
      <c r="Q194" t="s">
        <v>31</v>
      </c>
      <c r="R194" t="s">
        <v>71</v>
      </c>
      <c r="S194" t="s">
        <v>30</v>
      </c>
      <c r="T194">
        <v>2</v>
      </c>
      <c r="U194" s="5">
        <v>138.41</v>
      </c>
      <c r="V194" s="5">
        <v>169.14</v>
      </c>
      <c r="W194">
        <v>3</v>
      </c>
      <c r="X194" t="s">
        <v>34</v>
      </c>
      <c r="Y194">
        <v>2025</v>
      </c>
      <c r="Z194" t="str">
        <f>TEXT(Table1[[#This Row],[Order Date]],"MMM")</f>
        <v>Jan</v>
      </c>
      <c r="AA194" s="5">
        <f>Table1[[#This Row],[Unit Price]]*Table1[[#This Row],[Quantity]]*(1-Table1[[#This Row],[Discount %]]/100)</f>
        <v>207.61500000000001</v>
      </c>
      <c r="AB194" s="5">
        <f>Table1[[#This Row],[Sales]]-Table1[[#This Row],[Cost]]</f>
        <v>38.475000000000023</v>
      </c>
    </row>
    <row r="195" spans="1:28" x14ac:dyDescent="0.3">
      <c r="A195" t="s">
        <v>632</v>
      </c>
      <c r="B195" s="1">
        <v>45694</v>
      </c>
      <c r="C195" t="s">
        <v>633</v>
      </c>
      <c r="D195" t="s">
        <v>2977</v>
      </c>
      <c r="E195" s="1">
        <v>45701</v>
      </c>
      <c r="F195" t="s">
        <v>100</v>
      </c>
      <c r="G195" t="s">
        <v>98</v>
      </c>
      <c r="H195" t="s">
        <v>99</v>
      </c>
      <c r="I195" t="s">
        <v>2621</v>
      </c>
      <c r="J195" t="s">
        <v>2699</v>
      </c>
      <c r="K195" t="s">
        <v>25</v>
      </c>
      <c r="L195">
        <v>45</v>
      </c>
      <c r="M195">
        <v>1</v>
      </c>
      <c r="N195">
        <v>0</v>
      </c>
      <c r="O195" t="s">
        <v>634</v>
      </c>
      <c r="P195" t="s">
        <v>44</v>
      </c>
      <c r="Q195" t="s">
        <v>58</v>
      </c>
      <c r="R195" t="s">
        <v>32</v>
      </c>
      <c r="S195" t="s">
        <v>101</v>
      </c>
      <c r="T195">
        <v>4</v>
      </c>
      <c r="U195" s="5">
        <v>393.64</v>
      </c>
      <c r="V195" s="5">
        <v>225.7</v>
      </c>
      <c r="W195">
        <v>7</v>
      </c>
      <c r="X195" t="s">
        <v>34</v>
      </c>
      <c r="Y195">
        <v>2025</v>
      </c>
      <c r="Z195" t="str">
        <f>TEXT(Table1[[#This Row],[Order Date]],"MMM")</f>
        <v>Feb</v>
      </c>
      <c r="AA195" s="5">
        <f>Table1[[#This Row],[Unit Price]]*Table1[[#This Row],[Quantity]]*(1-Table1[[#This Row],[Discount %]]/100)</f>
        <v>393.64</v>
      </c>
      <c r="AB195" s="5">
        <f>Table1[[#This Row],[Sales]]-Table1[[#This Row],[Cost]]</f>
        <v>167.94</v>
      </c>
    </row>
    <row r="196" spans="1:28" x14ac:dyDescent="0.3">
      <c r="A196" t="s">
        <v>635</v>
      </c>
      <c r="B196" s="1">
        <v>45962</v>
      </c>
      <c r="C196" t="s">
        <v>636</v>
      </c>
      <c r="D196" t="s">
        <v>2978</v>
      </c>
      <c r="E196" s="1">
        <v>45967</v>
      </c>
      <c r="F196" t="s">
        <v>2617</v>
      </c>
      <c r="G196" t="s">
        <v>27</v>
      </c>
      <c r="H196" t="s">
        <v>28</v>
      </c>
      <c r="I196" t="s">
        <v>2629</v>
      </c>
      <c r="J196" t="s">
        <v>2674</v>
      </c>
      <c r="K196" t="s">
        <v>25</v>
      </c>
      <c r="L196">
        <v>45</v>
      </c>
      <c r="M196">
        <v>2</v>
      </c>
      <c r="N196">
        <v>15</v>
      </c>
      <c r="O196" t="s">
        <v>637</v>
      </c>
      <c r="P196" t="s">
        <v>33</v>
      </c>
      <c r="Q196" t="s">
        <v>31</v>
      </c>
      <c r="R196" t="s">
        <v>32</v>
      </c>
      <c r="S196" t="s">
        <v>30</v>
      </c>
      <c r="T196">
        <v>1</v>
      </c>
      <c r="U196" s="5">
        <v>773.2</v>
      </c>
      <c r="V196" s="5">
        <v>662.65</v>
      </c>
      <c r="W196">
        <v>5</v>
      </c>
      <c r="X196" t="s">
        <v>94</v>
      </c>
      <c r="Y196">
        <v>2025</v>
      </c>
      <c r="Z196" t="str">
        <f>TEXT(Table1[[#This Row],[Order Date]],"MMM")</f>
        <v>Nov</v>
      </c>
      <c r="AA196" s="5">
        <f>Table1[[#This Row],[Unit Price]]*Table1[[#This Row],[Quantity]]*(1-Table1[[#This Row],[Discount %]]/100)</f>
        <v>1314.44</v>
      </c>
      <c r="AB196" s="5">
        <f>Table1[[#This Row],[Sales]]-Table1[[#This Row],[Cost]]</f>
        <v>651.79000000000008</v>
      </c>
    </row>
    <row r="197" spans="1:28" x14ac:dyDescent="0.3">
      <c r="A197" t="s">
        <v>638</v>
      </c>
      <c r="B197" s="1">
        <v>45304</v>
      </c>
      <c r="C197" t="s">
        <v>639</v>
      </c>
      <c r="D197" t="s">
        <v>2979</v>
      </c>
      <c r="E197" s="1">
        <v>45310</v>
      </c>
      <c r="F197" t="s">
        <v>68</v>
      </c>
      <c r="G197" t="s">
        <v>66</v>
      </c>
      <c r="H197" t="s">
        <v>67</v>
      </c>
      <c r="I197" t="s">
        <v>2625</v>
      </c>
      <c r="J197" t="s">
        <v>2685</v>
      </c>
      <c r="K197" t="s">
        <v>25</v>
      </c>
      <c r="L197">
        <v>65</v>
      </c>
      <c r="M197">
        <v>1</v>
      </c>
      <c r="N197">
        <v>15</v>
      </c>
      <c r="O197" t="s">
        <v>640</v>
      </c>
      <c r="P197" t="s">
        <v>75</v>
      </c>
      <c r="Q197" t="s">
        <v>117</v>
      </c>
      <c r="R197" t="s">
        <v>43</v>
      </c>
      <c r="S197" t="s">
        <v>69</v>
      </c>
      <c r="T197">
        <v>4</v>
      </c>
      <c r="U197" s="5">
        <v>537.58000000000004</v>
      </c>
      <c r="V197" s="5">
        <v>245.76</v>
      </c>
      <c r="W197">
        <v>6</v>
      </c>
      <c r="X197" t="s">
        <v>34</v>
      </c>
      <c r="Y197">
        <v>2024</v>
      </c>
      <c r="Z197" t="str">
        <f>TEXT(Table1[[#This Row],[Order Date]],"MMM")</f>
        <v>Jan</v>
      </c>
      <c r="AA197" s="5">
        <f>Table1[[#This Row],[Unit Price]]*Table1[[#This Row],[Quantity]]*(1-Table1[[#This Row],[Discount %]]/100)</f>
        <v>456.94300000000004</v>
      </c>
      <c r="AB197" s="5">
        <f>Table1[[#This Row],[Sales]]-Table1[[#This Row],[Cost]]</f>
        <v>211.18300000000005</v>
      </c>
    </row>
    <row r="198" spans="1:28" x14ac:dyDescent="0.3">
      <c r="A198" t="s">
        <v>641</v>
      </c>
      <c r="B198" s="1">
        <v>45504</v>
      </c>
      <c r="C198" t="s">
        <v>642</v>
      </c>
      <c r="D198" t="s">
        <v>2980</v>
      </c>
      <c r="E198" s="1">
        <v>45509</v>
      </c>
      <c r="F198" t="s">
        <v>68</v>
      </c>
      <c r="G198" t="s">
        <v>66</v>
      </c>
      <c r="H198" t="s">
        <v>67</v>
      </c>
      <c r="I198" t="s">
        <v>2650</v>
      </c>
      <c r="J198" t="s">
        <v>2680</v>
      </c>
      <c r="K198" t="s">
        <v>52</v>
      </c>
      <c r="L198">
        <v>56</v>
      </c>
      <c r="M198">
        <v>4</v>
      </c>
      <c r="N198">
        <v>10</v>
      </c>
      <c r="O198" t="s">
        <v>643</v>
      </c>
      <c r="P198" t="s">
        <v>33</v>
      </c>
      <c r="Q198" t="s">
        <v>117</v>
      </c>
      <c r="R198" t="s">
        <v>71</v>
      </c>
      <c r="S198" t="s">
        <v>69</v>
      </c>
      <c r="T198">
        <v>5</v>
      </c>
      <c r="U198" s="5">
        <v>283.67</v>
      </c>
      <c r="V198" s="5">
        <v>656.08</v>
      </c>
      <c r="W198">
        <v>5</v>
      </c>
      <c r="X198" t="s">
        <v>45</v>
      </c>
      <c r="Y198">
        <v>2024</v>
      </c>
      <c r="Z198" t="str">
        <f>TEXT(Table1[[#This Row],[Order Date]],"MMM")</f>
        <v>Jul</v>
      </c>
      <c r="AA198" s="5">
        <f>Table1[[#This Row],[Unit Price]]*Table1[[#This Row],[Quantity]]*(1-Table1[[#This Row],[Discount %]]/100)</f>
        <v>1021.2120000000001</v>
      </c>
      <c r="AB198" s="5">
        <f>Table1[[#This Row],[Sales]]-Table1[[#This Row],[Cost]]</f>
        <v>365.13200000000006</v>
      </c>
    </row>
    <row r="199" spans="1:28" x14ac:dyDescent="0.3">
      <c r="A199" t="s">
        <v>644</v>
      </c>
      <c r="B199" s="1">
        <v>46047</v>
      </c>
      <c r="C199" t="s">
        <v>645</v>
      </c>
      <c r="D199" t="s">
        <v>2981</v>
      </c>
      <c r="E199" s="1">
        <v>46050</v>
      </c>
      <c r="F199" t="s">
        <v>128</v>
      </c>
      <c r="G199" t="s">
        <v>98</v>
      </c>
      <c r="H199" t="s">
        <v>127</v>
      </c>
      <c r="I199" t="s">
        <v>2623</v>
      </c>
      <c r="J199" t="s">
        <v>2624</v>
      </c>
      <c r="K199" t="s">
        <v>52</v>
      </c>
      <c r="L199">
        <v>64</v>
      </c>
      <c r="M199">
        <v>2</v>
      </c>
      <c r="N199">
        <v>30</v>
      </c>
      <c r="O199" t="s">
        <v>646</v>
      </c>
      <c r="P199" t="s">
        <v>75</v>
      </c>
      <c r="Q199" t="s">
        <v>31</v>
      </c>
      <c r="R199" t="s">
        <v>43</v>
      </c>
      <c r="S199" t="s">
        <v>129</v>
      </c>
      <c r="T199">
        <v>4</v>
      </c>
      <c r="U199" s="5">
        <v>902.22</v>
      </c>
      <c r="V199" s="5">
        <v>853.55</v>
      </c>
      <c r="W199">
        <v>3</v>
      </c>
      <c r="X199" t="s">
        <v>34</v>
      </c>
      <c r="Y199">
        <v>2026</v>
      </c>
      <c r="Z199" t="str">
        <f>TEXT(Table1[[#This Row],[Order Date]],"MMM")</f>
        <v>Jan</v>
      </c>
      <c r="AA199" s="5">
        <f>Table1[[#This Row],[Unit Price]]*Table1[[#This Row],[Quantity]]*(1-Table1[[#This Row],[Discount %]]/100)</f>
        <v>1263.1079999999999</v>
      </c>
      <c r="AB199" s="5">
        <f>Table1[[#This Row],[Sales]]-Table1[[#This Row],[Cost]]</f>
        <v>409.55799999999999</v>
      </c>
    </row>
    <row r="200" spans="1:28" x14ac:dyDescent="0.3">
      <c r="A200" t="s">
        <v>647</v>
      </c>
      <c r="B200" s="1">
        <v>45870</v>
      </c>
      <c r="C200" t="s">
        <v>648</v>
      </c>
      <c r="D200" t="s">
        <v>2982</v>
      </c>
      <c r="E200" s="1">
        <v>45877</v>
      </c>
      <c r="F200" t="s">
        <v>68</v>
      </c>
      <c r="G200" t="s">
        <v>66</v>
      </c>
      <c r="H200" t="s">
        <v>67</v>
      </c>
      <c r="I200" t="s">
        <v>2627</v>
      </c>
      <c r="J200" t="s">
        <v>2707</v>
      </c>
      <c r="K200" t="s">
        <v>52</v>
      </c>
      <c r="L200">
        <v>42</v>
      </c>
      <c r="M200">
        <v>2</v>
      </c>
      <c r="N200">
        <v>25</v>
      </c>
      <c r="O200" t="s">
        <v>649</v>
      </c>
      <c r="P200" t="s">
        <v>44</v>
      </c>
      <c r="Q200" t="s">
        <v>58</v>
      </c>
      <c r="R200" t="s">
        <v>43</v>
      </c>
      <c r="S200" t="s">
        <v>69</v>
      </c>
      <c r="T200">
        <v>1</v>
      </c>
      <c r="U200" s="5">
        <v>632.14</v>
      </c>
      <c r="V200" s="5">
        <v>789.49</v>
      </c>
      <c r="W200">
        <v>7</v>
      </c>
      <c r="X200" t="s">
        <v>45</v>
      </c>
      <c r="Y200">
        <v>2025</v>
      </c>
      <c r="Z200" t="str">
        <f>TEXT(Table1[[#This Row],[Order Date]],"MMM")</f>
        <v>Aug</v>
      </c>
      <c r="AA200" s="5">
        <f>Table1[[#This Row],[Unit Price]]*Table1[[#This Row],[Quantity]]*(1-Table1[[#This Row],[Discount %]]/100)</f>
        <v>948.21</v>
      </c>
      <c r="AB200" s="5">
        <f>Table1[[#This Row],[Sales]]-Table1[[#This Row],[Cost]]</f>
        <v>158.72000000000003</v>
      </c>
    </row>
    <row r="201" spans="1:28" x14ac:dyDescent="0.3">
      <c r="A201" t="s">
        <v>650</v>
      </c>
      <c r="B201" s="1">
        <v>45657</v>
      </c>
      <c r="C201" t="s">
        <v>651</v>
      </c>
      <c r="D201" t="s">
        <v>2983</v>
      </c>
      <c r="E201" s="1">
        <v>45660</v>
      </c>
      <c r="F201" t="s">
        <v>2617</v>
      </c>
      <c r="G201" t="s">
        <v>27</v>
      </c>
      <c r="H201" t="s">
        <v>28</v>
      </c>
      <c r="I201" t="s">
        <v>2625</v>
      </c>
      <c r="J201" t="s">
        <v>2705</v>
      </c>
      <c r="K201" t="s">
        <v>52</v>
      </c>
      <c r="L201">
        <v>18</v>
      </c>
      <c r="M201">
        <v>1</v>
      </c>
      <c r="N201">
        <v>15</v>
      </c>
      <c r="O201" t="s">
        <v>652</v>
      </c>
      <c r="P201" t="s">
        <v>44</v>
      </c>
      <c r="Q201" t="s">
        <v>58</v>
      </c>
      <c r="R201" t="s">
        <v>71</v>
      </c>
      <c r="S201" t="s">
        <v>30</v>
      </c>
      <c r="T201">
        <v>4</v>
      </c>
      <c r="U201" s="5">
        <v>810.04</v>
      </c>
      <c r="V201" s="5">
        <v>583.44000000000005</v>
      </c>
      <c r="W201">
        <v>3</v>
      </c>
      <c r="X201" t="s">
        <v>94</v>
      </c>
      <c r="Y201">
        <v>2024</v>
      </c>
      <c r="Z201" t="str">
        <f>TEXT(Table1[[#This Row],[Order Date]],"MMM")</f>
        <v>Dec</v>
      </c>
      <c r="AA201" s="5">
        <f>Table1[[#This Row],[Unit Price]]*Table1[[#This Row],[Quantity]]*(1-Table1[[#This Row],[Discount %]]/100)</f>
        <v>688.53399999999999</v>
      </c>
      <c r="AB201" s="5">
        <f>Table1[[#This Row],[Sales]]-Table1[[#This Row],[Cost]]</f>
        <v>105.09399999999994</v>
      </c>
    </row>
    <row r="202" spans="1:28" x14ac:dyDescent="0.3">
      <c r="A202" t="s">
        <v>653</v>
      </c>
      <c r="B202" s="1">
        <v>46109</v>
      </c>
      <c r="C202" t="s">
        <v>654</v>
      </c>
      <c r="D202" t="s">
        <v>2984</v>
      </c>
      <c r="E202" s="1">
        <v>46110</v>
      </c>
      <c r="F202" t="s">
        <v>56</v>
      </c>
      <c r="G202" t="s">
        <v>54</v>
      </c>
      <c r="H202" t="s">
        <v>55</v>
      </c>
      <c r="I202" t="s">
        <v>2630</v>
      </c>
      <c r="J202" t="s">
        <v>2710</v>
      </c>
      <c r="K202" t="s">
        <v>25</v>
      </c>
      <c r="L202">
        <v>62</v>
      </c>
      <c r="M202">
        <v>5</v>
      </c>
      <c r="N202">
        <v>20</v>
      </c>
      <c r="O202" t="s">
        <v>655</v>
      </c>
      <c r="P202" t="s">
        <v>75</v>
      </c>
      <c r="Q202" t="s">
        <v>117</v>
      </c>
      <c r="R202" t="s">
        <v>71</v>
      </c>
      <c r="S202" t="s">
        <v>57</v>
      </c>
      <c r="T202">
        <v>4</v>
      </c>
      <c r="U202" s="5">
        <v>341.26</v>
      </c>
      <c r="V202" s="5">
        <v>886.45</v>
      </c>
      <c r="W202">
        <v>1</v>
      </c>
      <c r="X202" t="s">
        <v>34</v>
      </c>
      <c r="Y202">
        <v>2026</v>
      </c>
      <c r="Z202" t="str">
        <f>TEXT(Table1[[#This Row],[Order Date]],"MMM")</f>
        <v>Mar</v>
      </c>
      <c r="AA202" s="5">
        <f>Table1[[#This Row],[Unit Price]]*Table1[[#This Row],[Quantity]]*(1-Table1[[#This Row],[Discount %]]/100)</f>
        <v>1365.04</v>
      </c>
      <c r="AB202" s="5">
        <f>Table1[[#This Row],[Sales]]-Table1[[#This Row],[Cost]]</f>
        <v>478.58999999999992</v>
      </c>
    </row>
    <row r="203" spans="1:28" x14ac:dyDescent="0.3">
      <c r="A203" t="s">
        <v>656</v>
      </c>
      <c r="B203" s="1">
        <v>45711</v>
      </c>
      <c r="C203" t="s">
        <v>657</v>
      </c>
      <c r="D203" t="s">
        <v>2985</v>
      </c>
      <c r="E203" s="1">
        <v>45713</v>
      </c>
      <c r="F203" t="s">
        <v>140</v>
      </c>
      <c r="G203" t="s">
        <v>38</v>
      </c>
      <c r="H203" t="s">
        <v>139</v>
      </c>
      <c r="I203" t="s">
        <v>2629</v>
      </c>
      <c r="J203" t="s">
        <v>2691</v>
      </c>
      <c r="K203" t="s">
        <v>25</v>
      </c>
      <c r="L203">
        <v>38</v>
      </c>
      <c r="M203">
        <v>4</v>
      </c>
      <c r="N203">
        <v>20</v>
      </c>
      <c r="O203" t="s">
        <v>658</v>
      </c>
      <c r="P203" t="s">
        <v>75</v>
      </c>
      <c r="Q203" t="s">
        <v>42</v>
      </c>
      <c r="R203" t="s">
        <v>71</v>
      </c>
      <c r="S203" t="s">
        <v>141</v>
      </c>
      <c r="T203">
        <v>2</v>
      </c>
      <c r="U203" s="5">
        <v>453.11</v>
      </c>
      <c r="V203" s="5">
        <v>763.3</v>
      </c>
      <c r="W203">
        <v>2</v>
      </c>
      <c r="X203" t="s">
        <v>34</v>
      </c>
      <c r="Y203">
        <v>2025</v>
      </c>
      <c r="Z203" t="str">
        <f>TEXT(Table1[[#This Row],[Order Date]],"MMM")</f>
        <v>Feb</v>
      </c>
      <c r="AA203" s="5">
        <f>Table1[[#This Row],[Unit Price]]*Table1[[#This Row],[Quantity]]*(1-Table1[[#This Row],[Discount %]]/100)</f>
        <v>1449.9520000000002</v>
      </c>
      <c r="AB203" s="5">
        <f>Table1[[#This Row],[Sales]]-Table1[[#This Row],[Cost]]</f>
        <v>686.65200000000027</v>
      </c>
    </row>
    <row r="204" spans="1:28" x14ac:dyDescent="0.3">
      <c r="A204" t="s">
        <v>659</v>
      </c>
      <c r="B204" s="1">
        <v>45876</v>
      </c>
      <c r="C204" t="s">
        <v>660</v>
      </c>
      <c r="D204" t="s">
        <v>2986</v>
      </c>
      <c r="E204" s="1">
        <v>45877</v>
      </c>
      <c r="F204" t="s">
        <v>2617</v>
      </c>
      <c r="G204" t="s">
        <v>27</v>
      </c>
      <c r="H204" t="s">
        <v>28</v>
      </c>
      <c r="I204" t="s">
        <v>2625</v>
      </c>
      <c r="J204" t="s">
        <v>2705</v>
      </c>
      <c r="K204" t="s">
        <v>25</v>
      </c>
      <c r="L204">
        <v>64</v>
      </c>
      <c r="M204">
        <v>1</v>
      </c>
      <c r="N204">
        <v>0</v>
      </c>
      <c r="O204" t="s">
        <v>586</v>
      </c>
      <c r="P204" t="s">
        <v>44</v>
      </c>
      <c r="Q204" t="s">
        <v>31</v>
      </c>
      <c r="R204" t="s">
        <v>71</v>
      </c>
      <c r="S204" t="s">
        <v>30</v>
      </c>
      <c r="T204">
        <v>1</v>
      </c>
      <c r="U204" s="5">
        <v>383.92</v>
      </c>
      <c r="V204" s="5">
        <v>279.76</v>
      </c>
      <c r="W204">
        <v>1</v>
      </c>
      <c r="X204" t="s">
        <v>45</v>
      </c>
      <c r="Y204">
        <v>2025</v>
      </c>
      <c r="Z204" t="str">
        <f>TEXT(Table1[[#This Row],[Order Date]],"MMM")</f>
        <v>Aug</v>
      </c>
      <c r="AA204" s="5">
        <f>Table1[[#This Row],[Unit Price]]*Table1[[#This Row],[Quantity]]*(1-Table1[[#This Row],[Discount %]]/100)</f>
        <v>383.92</v>
      </c>
      <c r="AB204" s="5">
        <f>Table1[[#This Row],[Sales]]-Table1[[#This Row],[Cost]]</f>
        <v>104.16000000000003</v>
      </c>
    </row>
    <row r="205" spans="1:28" x14ac:dyDescent="0.3">
      <c r="A205" t="s">
        <v>661</v>
      </c>
      <c r="B205" s="1">
        <v>46178</v>
      </c>
      <c r="C205" t="s">
        <v>662</v>
      </c>
      <c r="D205" t="s">
        <v>2987</v>
      </c>
      <c r="E205" s="1">
        <v>46184</v>
      </c>
      <c r="F205" t="s">
        <v>122</v>
      </c>
      <c r="G205" t="s">
        <v>120</v>
      </c>
      <c r="H205" t="s">
        <v>121</v>
      </c>
      <c r="I205" t="s">
        <v>2630</v>
      </c>
      <c r="J205" t="s">
        <v>2646</v>
      </c>
      <c r="K205" t="s">
        <v>52</v>
      </c>
      <c r="L205">
        <v>46</v>
      </c>
      <c r="M205">
        <v>4</v>
      </c>
      <c r="N205">
        <v>15</v>
      </c>
      <c r="O205" t="s">
        <v>663</v>
      </c>
      <c r="P205" t="s">
        <v>44</v>
      </c>
      <c r="Q205" t="s">
        <v>70</v>
      </c>
      <c r="R205" t="s">
        <v>71</v>
      </c>
      <c r="S205" t="s">
        <v>123</v>
      </c>
      <c r="T205">
        <v>4</v>
      </c>
      <c r="U205" s="5">
        <v>214.65</v>
      </c>
      <c r="V205" s="5">
        <v>410.64</v>
      </c>
      <c r="W205">
        <v>6</v>
      </c>
      <c r="X205" t="s">
        <v>49</v>
      </c>
      <c r="Y205">
        <v>2026</v>
      </c>
      <c r="Z205" t="str">
        <f>TEXT(Table1[[#This Row],[Order Date]],"MMM")</f>
        <v>Jun</v>
      </c>
      <c r="AA205" s="5">
        <f>Table1[[#This Row],[Unit Price]]*Table1[[#This Row],[Quantity]]*(1-Table1[[#This Row],[Discount %]]/100)</f>
        <v>729.81</v>
      </c>
      <c r="AB205" s="5">
        <f>Table1[[#This Row],[Sales]]-Table1[[#This Row],[Cost]]</f>
        <v>319.16999999999996</v>
      </c>
    </row>
    <row r="206" spans="1:28" x14ac:dyDescent="0.3">
      <c r="A206" t="s">
        <v>664</v>
      </c>
      <c r="B206" s="1">
        <v>45926</v>
      </c>
      <c r="C206" t="s">
        <v>665</v>
      </c>
      <c r="D206" t="s">
        <v>2988</v>
      </c>
      <c r="E206" s="1">
        <v>45930</v>
      </c>
      <c r="F206" t="s">
        <v>40</v>
      </c>
      <c r="G206" t="s">
        <v>38</v>
      </c>
      <c r="H206" t="s">
        <v>39</v>
      </c>
      <c r="I206" t="s">
        <v>2650</v>
      </c>
      <c r="J206" t="s">
        <v>2651</v>
      </c>
      <c r="K206" t="s">
        <v>52</v>
      </c>
      <c r="L206">
        <v>42</v>
      </c>
      <c r="M206">
        <v>2</v>
      </c>
      <c r="N206">
        <v>0</v>
      </c>
      <c r="O206" t="s">
        <v>666</v>
      </c>
      <c r="P206" t="s">
        <v>44</v>
      </c>
      <c r="Q206" t="s">
        <v>58</v>
      </c>
      <c r="R206" t="s">
        <v>71</v>
      </c>
      <c r="S206" t="s">
        <v>41</v>
      </c>
      <c r="T206">
        <v>5</v>
      </c>
      <c r="U206" s="5">
        <v>602.55999999999995</v>
      </c>
      <c r="V206" s="5">
        <v>867.98</v>
      </c>
      <c r="W206">
        <v>4</v>
      </c>
      <c r="X206" t="s">
        <v>45</v>
      </c>
      <c r="Y206">
        <v>2025</v>
      </c>
      <c r="Z206" t="str">
        <f>TEXT(Table1[[#This Row],[Order Date]],"MMM")</f>
        <v>Sep</v>
      </c>
      <c r="AA206" s="5">
        <f>Table1[[#This Row],[Unit Price]]*Table1[[#This Row],[Quantity]]*(1-Table1[[#This Row],[Discount %]]/100)</f>
        <v>1205.1199999999999</v>
      </c>
      <c r="AB206" s="5">
        <f>Table1[[#This Row],[Sales]]-Table1[[#This Row],[Cost]]</f>
        <v>337.13999999999987</v>
      </c>
    </row>
    <row r="207" spans="1:28" x14ac:dyDescent="0.3">
      <c r="A207" t="s">
        <v>667</v>
      </c>
      <c r="B207" s="1">
        <v>46128</v>
      </c>
      <c r="C207" t="s">
        <v>668</v>
      </c>
      <c r="D207" t="s">
        <v>2989</v>
      </c>
      <c r="E207" s="1">
        <v>46133</v>
      </c>
      <c r="F207" t="s">
        <v>140</v>
      </c>
      <c r="G207" t="s">
        <v>38</v>
      </c>
      <c r="H207" t="s">
        <v>139</v>
      </c>
      <c r="I207" t="s">
        <v>2621</v>
      </c>
      <c r="J207" t="s">
        <v>2699</v>
      </c>
      <c r="K207" t="s">
        <v>25</v>
      </c>
      <c r="L207">
        <v>38</v>
      </c>
      <c r="M207">
        <v>2</v>
      </c>
      <c r="N207">
        <v>20</v>
      </c>
      <c r="O207" t="s">
        <v>385</v>
      </c>
      <c r="P207" t="s">
        <v>44</v>
      </c>
      <c r="Q207" t="s">
        <v>117</v>
      </c>
      <c r="R207" t="s">
        <v>62</v>
      </c>
      <c r="S207" t="s">
        <v>141</v>
      </c>
      <c r="T207">
        <v>5</v>
      </c>
      <c r="U207" s="5">
        <v>797.45</v>
      </c>
      <c r="V207" s="5">
        <v>998.71</v>
      </c>
      <c r="W207">
        <v>5</v>
      </c>
      <c r="X207" t="s">
        <v>49</v>
      </c>
      <c r="Y207">
        <v>2026</v>
      </c>
      <c r="Z207" t="str">
        <f>TEXT(Table1[[#This Row],[Order Date]],"MMM")</f>
        <v>Apr</v>
      </c>
      <c r="AA207" s="5">
        <f>Table1[[#This Row],[Unit Price]]*Table1[[#This Row],[Quantity]]*(1-Table1[[#This Row],[Discount %]]/100)</f>
        <v>1275.92</v>
      </c>
      <c r="AB207" s="5">
        <f>Table1[[#This Row],[Sales]]-Table1[[#This Row],[Cost]]</f>
        <v>277.21000000000004</v>
      </c>
    </row>
    <row r="208" spans="1:28" x14ac:dyDescent="0.3">
      <c r="A208" t="s">
        <v>669</v>
      </c>
      <c r="B208" s="1">
        <v>46187</v>
      </c>
      <c r="C208" t="s">
        <v>670</v>
      </c>
      <c r="D208" t="s">
        <v>2990</v>
      </c>
      <c r="E208" s="1">
        <v>46194</v>
      </c>
      <c r="F208" t="s">
        <v>2617</v>
      </c>
      <c r="G208" t="s">
        <v>27</v>
      </c>
      <c r="H208" t="s">
        <v>28</v>
      </c>
      <c r="I208" t="s">
        <v>2650</v>
      </c>
      <c r="J208" t="s">
        <v>2651</v>
      </c>
      <c r="K208" t="s">
        <v>52</v>
      </c>
      <c r="L208">
        <v>24</v>
      </c>
      <c r="M208">
        <v>3</v>
      </c>
      <c r="N208">
        <v>30</v>
      </c>
      <c r="O208" t="s">
        <v>671</v>
      </c>
      <c r="P208" t="s">
        <v>33</v>
      </c>
      <c r="Q208" t="s">
        <v>31</v>
      </c>
      <c r="R208" t="s">
        <v>43</v>
      </c>
      <c r="S208" t="s">
        <v>30</v>
      </c>
      <c r="T208">
        <v>2</v>
      </c>
      <c r="U208" s="5">
        <v>44.32</v>
      </c>
      <c r="V208" s="5">
        <v>52.43</v>
      </c>
      <c r="W208">
        <v>7</v>
      </c>
      <c r="X208" t="s">
        <v>49</v>
      </c>
      <c r="Y208">
        <v>2026</v>
      </c>
      <c r="Z208" t="str">
        <f>TEXT(Table1[[#This Row],[Order Date]],"MMM")</f>
        <v>Jun</v>
      </c>
      <c r="AA208" s="5">
        <f>Table1[[#This Row],[Unit Price]]*Table1[[#This Row],[Quantity]]*(1-Table1[[#This Row],[Discount %]]/100)</f>
        <v>93.072000000000003</v>
      </c>
      <c r="AB208" s="5">
        <f>Table1[[#This Row],[Sales]]-Table1[[#This Row],[Cost]]</f>
        <v>40.642000000000003</v>
      </c>
    </row>
    <row r="209" spans="1:28" x14ac:dyDescent="0.3">
      <c r="A209" t="s">
        <v>672</v>
      </c>
      <c r="B209" s="1">
        <v>46124</v>
      </c>
      <c r="C209" t="s">
        <v>673</v>
      </c>
      <c r="D209" t="s">
        <v>2991</v>
      </c>
      <c r="E209" s="1">
        <v>46128</v>
      </c>
      <c r="F209" t="s">
        <v>100</v>
      </c>
      <c r="G209" t="s">
        <v>98</v>
      </c>
      <c r="H209" t="s">
        <v>99</v>
      </c>
      <c r="I209" t="s">
        <v>2657</v>
      </c>
      <c r="J209" t="s">
        <v>2696</v>
      </c>
      <c r="K209" t="s">
        <v>25</v>
      </c>
      <c r="L209">
        <v>61</v>
      </c>
      <c r="M209">
        <v>5</v>
      </c>
      <c r="N209">
        <v>30</v>
      </c>
      <c r="O209" t="s">
        <v>674</v>
      </c>
      <c r="P209" t="s">
        <v>33</v>
      </c>
      <c r="Q209" t="s">
        <v>70</v>
      </c>
      <c r="R209" t="s">
        <v>32</v>
      </c>
      <c r="S209" t="s">
        <v>101</v>
      </c>
      <c r="T209">
        <v>4</v>
      </c>
      <c r="U209" s="5">
        <v>130.47999999999999</v>
      </c>
      <c r="V209" s="5">
        <v>322.89</v>
      </c>
      <c r="W209">
        <v>4</v>
      </c>
      <c r="X209" t="s">
        <v>49</v>
      </c>
      <c r="Y209">
        <v>2026</v>
      </c>
      <c r="Z209" t="str">
        <f>TEXT(Table1[[#This Row],[Order Date]],"MMM")</f>
        <v>Apr</v>
      </c>
      <c r="AA209" s="5">
        <f>Table1[[#This Row],[Unit Price]]*Table1[[#This Row],[Quantity]]*(1-Table1[[#This Row],[Discount %]]/100)</f>
        <v>456.67999999999995</v>
      </c>
      <c r="AB209" s="5">
        <f>Table1[[#This Row],[Sales]]-Table1[[#This Row],[Cost]]</f>
        <v>133.78999999999996</v>
      </c>
    </row>
    <row r="210" spans="1:28" x14ac:dyDescent="0.3">
      <c r="A210" t="s">
        <v>675</v>
      </c>
      <c r="B210" s="1">
        <v>45506</v>
      </c>
      <c r="C210" t="s">
        <v>676</v>
      </c>
      <c r="D210" t="s">
        <v>2992</v>
      </c>
      <c r="E210" s="1">
        <v>45512</v>
      </c>
      <c r="F210" t="s">
        <v>115</v>
      </c>
      <c r="G210" t="s">
        <v>66</v>
      </c>
      <c r="H210" t="s">
        <v>114</v>
      </c>
      <c r="I210" t="s">
        <v>2633</v>
      </c>
      <c r="J210" t="s">
        <v>2645</v>
      </c>
      <c r="K210" t="s">
        <v>25</v>
      </c>
      <c r="L210">
        <v>48</v>
      </c>
      <c r="M210">
        <v>2</v>
      </c>
      <c r="N210">
        <v>25</v>
      </c>
      <c r="O210" t="s">
        <v>677</v>
      </c>
      <c r="P210" t="s">
        <v>44</v>
      </c>
      <c r="Q210" t="s">
        <v>70</v>
      </c>
      <c r="R210" t="s">
        <v>62</v>
      </c>
      <c r="S210" t="s">
        <v>116</v>
      </c>
      <c r="T210">
        <v>2</v>
      </c>
      <c r="U210" s="5">
        <v>658.99</v>
      </c>
      <c r="V210" s="5">
        <v>732.75</v>
      </c>
      <c r="W210">
        <v>6</v>
      </c>
      <c r="X210" t="s">
        <v>45</v>
      </c>
      <c r="Y210">
        <v>2024</v>
      </c>
      <c r="Z210" t="str">
        <f>TEXT(Table1[[#This Row],[Order Date]],"MMM")</f>
        <v>Aug</v>
      </c>
      <c r="AA210" s="5">
        <f>Table1[[#This Row],[Unit Price]]*Table1[[#This Row],[Quantity]]*(1-Table1[[#This Row],[Discount %]]/100)</f>
        <v>988.48500000000001</v>
      </c>
      <c r="AB210" s="5">
        <f>Table1[[#This Row],[Sales]]-Table1[[#This Row],[Cost]]</f>
        <v>255.73500000000001</v>
      </c>
    </row>
    <row r="211" spans="1:28" x14ac:dyDescent="0.3">
      <c r="A211" t="s">
        <v>678</v>
      </c>
      <c r="B211" s="1">
        <v>46141</v>
      </c>
      <c r="C211" t="s">
        <v>679</v>
      </c>
      <c r="D211" t="s">
        <v>2993</v>
      </c>
      <c r="E211" s="1">
        <v>46142</v>
      </c>
      <c r="F211" t="s">
        <v>56</v>
      </c>
      <c r="G211" t="s">
        <v>54</v>
      </c>
      <c r="H211" t="s">
        <v>55</v>
      </c>
      <c r="I211" t="s">
        <v>2621</v>
      </c>
      <c r="J211" t="s">
        <v>2622</v>
      </c>
      <c r="K211" t="s">
        <v>52</v>
      </c>
      <c r="L211">
        <v>18</v>
      </c>
      <c r="M211">
        <v>2</v>
      </c>
      <c r="N211">
        <v>20</v>
      </c>
      <c r="O211" t="s">
        <v>302</v>
      </c>
      <c r="P211" t="s">
        <v>44</v>
      </c>
      <c r="Q211" t="s">
        <v>117</v>
      </c>
      <c r="R211" t="s">
        <v>32</v>
      </c>
      <c r="S211" t="s">
        <v>57</v>
      </c>
      <c r="T211">
        <v>2</v>
      </c>
      <c r="U211" s="5">
        <v>756.47</v>
      </c>
      <c r="V211" s="5">
        <v>1013.53</v>
      </c>
      <c r="W211">
        <v>1</v>
      </c>
      <c r="X211" t="s">
        <v>49</v>
      </c>
      <c r="Y211">
        <v>2026</v>
      </c>
      <c r="Z211" t="str">
        <f>TEXT(Table1[[#This Row],[Order Date]],"MMM")</f>
        <v>Apr</v>
      </c>
      <c r="AA211" s="5">
        <f>Table1[[#This Row],[Unit Price]]*Table1[[#This Row],[Quantity]]*(1-Table1[[#This Row],[Discount %]]/100)</f>
        <v>1210.3520000000001</v>
      </c>
      <c r="AB211" s="5">
        <f>Table1[[#This Row],[Sales]]-Table1[[#This Row],[Cost]]</f>
        <v>196.82200000000012</v>
      </c>
    </row>
    <row r="212" spans="1:28" x14ac:dyDescent="0.3">
      <c r="A212" t="s">
        <v>680</v>
      </c>
      <c r="B212" s="1">
        <v>45350</v>
      </c>
      <c r="C212" t="s">
        <v>681</v>
      </c>
      <c r="D212" t="s">
        <v>2994</v>
      </c>
      <c r="E212" s="1">
        <v>45352</v>
      </c>
      <c r="F212" t="s">
        <v>68</v>
      </c>
      <c r="G212" t="s">
        <v>66</v>
      </c>
      <c r="H212" t="s">
        <v>67</v>
      </c>
      <c r="I212" t="s">
        <v>2657</v>
      </c>
      <c r="J212" t="s">
        <v>2667</v>
      </c>
      <c r="K212" t="s">
        <v>52</v>
      </c>
      <c r="L212">
        <v>63</v>
      </c>
      <c r="M212">
        <v>3</v>
      </c>
      <c r="N212">
        <v>30</v>
      </c>
      <c r="O212" t="s">
        <v>622</v>
      </c>
      <c r="P212" t="s">
        <v>33</v>
      </c>
      <c r="Q212" t="s">
        <v>42</v>
      </c>
      <c r="R212" t="s">
        <v>62</v>
      </c>
      <c r="S212" t="s">
        <v>69</v>
      </c>
      <c r="T212">
        <v>5</v>
      </c>
      <c r="U212" s="5">
        <v>242.94</v>
      </c>
      <c r="V212" s="5">
        <v>328.85</v>
      </c>
      <c r="W212">
        <v>2</v>
      </c>
      <c r="X212" t="s">
        <v>34</v>
      </c>
      <c r="Y212">
        <v>2024</v>
      </c>
      <c r="Z212" t="str">
        <f>TEXT(Table1[[#This Row],[Order Date]],"MMM")</f>
        <v>Feb</v>
      </c>
      <c r="AA212" s="5">
        <f>Table1[[#This Row],[Unit Price]]*Table1[[#This Row],[Quantity]]*(1-Table1[[#This Row],[Discount %]]/100)</f>
        <v>510.17399999999992</v>
      </c>
      <c r="AB212" s="5">
        <f>Table1[[#This Row],[Sales]]-Table1[[#This Row],[Cost]]</f>
        <v>181.3239999999999</v>
      </c>
    </row>
    <row r="213" spans="1:28" x14ac:dyDescent="0.3">
      <c r="A213" t="s">
        <v>682</v>
      </c>
      <c r="B213" s="1">
        <v>46046</v>
      </c>
      <c r="C213" t="s">
        <v>683</v>
      </c>
      <c r="D213" t="s">
        <v>2995</v>
      </c>
      <c r="E213" s="1">
        <v>46047</v>
      </c>
      <c r="F213" t="s">
        <v>56</v>
      </c>
      <c r="G213" t="s">
        <v>54</v>
      </c>
      <c r="H213" t="s">
        <v>55</v>
      </c>
      <c r="I213" t="s">
        <v>2630</v>
      </c>
      <c r="J213" t="s">
        <v>2710</v>
      </c>
      <c r="K213" t="s">
        <v>25</v>
      </c>
      <c r="L213">
        <v>38</v>
      </c>
      <c r="M213">
        <v>1</v>
      </c>
      <c r="N213">
        <v>30</v>
      </c>
      <c r="O213" t="s">
        <v>684</v>
      </c>
      <c r="P213" t="s">
        <v>33</v>
      </c>
      <c r="Q213" t="s">
        <v>117</v>
      </c>
      <c r="R213" t="s">
        <v>62</v>
      </c>
      <c r="S213" t="s">
        <v>57</v>
      </c>
      <c r="T213">
        <v>3</v>
      </c>
      <c r="U213" s="5">
        <v>602.9</v>
      </c>
      <c r="V213" s="5">
        <v>240.16</v>
      </c>
      <c r="W213">
        <v>1</v>
      </c>
      <c r="X213" t="s">
        <v>34</v>
      </c>
      <c r="Y213">
        <v>2026</v>
      </c>
      <c r="Z213" t="str">
        <f>TEXT(Table1[[#This Row],[Order Date]],"MMM")</f>
        <v>Jan</v>
      </c>
      <c r="AA213" s="5">
        <f>Table1[[#This Row],[Unit Price]]*Table1[[#This Row],[Quantity]]*(1-Table1[[#This Row],[Discount %]]/100)</f>
        <v>422.03</v>
      </c>
      <c r="AB213" s="5">
        <f>Table1[[#This Row],[Sales]]-Table1[[#This Row],[Cost]]</f>
        <v>181.86999999999998</v>
      </c>
    </row>
    <row r="214" spans="1:28" x14ac:dyDescent="0.3">
      <c r="A214" t="s">
        <v>685</v>
      </c>
      <c r="B214" s="1">
        <v>45713</v>
      </c>
      <c r="C214" t="s">
        <v>686</v>
      </c>
      <c r="D214" t="s">
        <v>2996</v>
      </c>
      <c r="E214" s="1">
        <v>45718</v>
      </c>
      <c r="F214" t="s">
        <v>115</v>
      </c>
      <c r="G214" t="s">
        <v>66</v>
      </c>
      <c r="H214" t="s">
        <v>114</v>
      </c>
      <c r="I214" t="s">
        <v>2618</v>
      </c>
      <c r="J214" t="s">
        <v>2701</v>
      </c>
      <c r="K214" t="s">
        <v>52</v>
      </c>
      <c r="L214">
        <v>63</v>
      </c>
      <c r="M214">
        <v>3</v>
      </c>
      <c r="N214">
        <v>5</v>
      </c>
      <c r="O214" t="s">
        <v>687</v>
      </c>
      <c r="P214" t="s">
        <v>75</v>
      </c>
      <c r="Q214" t="s">
        <v>70</v>
      </c>
      <c r="R214" t="s">
        <v>43</v>
      </c>
      <c r="S214" t="s">
        <v>116</v>
      </c>
      <c r="T214">
        <v>5</v>
      </c>
      <c r="U214" s="5">
        <v>456.84</v>
      </c>
      <c r="V214" s="5">
        <v>808.27</v>
      </c>
      <c r="W214">
        <v>5</v>
      </c>
      <c r="X214" t="s">
        <v>34</v>
      </c>
      <c r="Y214">
        <v>2025</v>
      </c>
      <c r="Z214" t="str">
        <f>TEXT(Table1[[#This Row],[Order Date]],"MMM")</f>
        <v>Feb</v>
      </c>
      <c r="AA214" s="5">
        <f>Table1[[#This Row],[Unit Price]]*Table1[[#This Row],[Quantity]]*(1-Table1[[#This Row],[Discount %]]/100)</f>
        <v>1301.9939999999999</v>
      </c>
      <c r="AB214" s="5">
        <f>Table1[[#This Row],[Sales]]-Table1[[#This Row],[Cost]]</f>
        <v>493.72399999999993</v>
      </c>
    </row>
    <row r="215" spans="1:28" x14ac:dyDescent="0.3">
      <c r="A215" t="s">
        <v>688</v>
      </c>
      <c r="B215" s="1">
        <v>45564</v>
      </c>
      <c r="C215" t="s">
        <v>689</v>
      </c>
      <c r="D215" t="s">
        <v>2997</v>
      </c>
      <c r="E215" s="1">
        <v>45571</v>
      </c>
      <c r="F215" t="s">
        <v>56</v>
      </c>
      <c r="G215" t="s">
        <v>54</v>
      </c>
      <c r="H215" t="s">
        <v>55</v>
      </c>
      <c r="I215" t="s">
        <v>2619</v>
      </c>
      <c r="J215" t="s">
        <v>2692</v>
      </c>
      <c r="K215" t="s">
        <v>25</v>
      </c>
      <c r="L215">
        <v>48</v>
      </c>
      <c r="M215">
        <v>3</v>
      </c>
      <c r="N215">
        <v>5</v>
      </c>
      <c r="O215" t="s">
        <v>690</v>
      </c>
      <c r="P215" t="s">
        <v>75</v>
      </c>
      <c r="Q215" t="s">
        <v>70</v>
      </c>
      <c r="R215" t="s">
        <v>62</v>
      </c>
      <c r="S215" t="s">
        <v>57</v>
      </c>
      <c r="T215">
        <v>5</v>
      </c>
      <c r="U215" s="5">
        <v>888.38</v>
      </c>
      <c r="V215" s="5">
        <v>2011.84</v>
      </c>
      <c r="W215">
        <v>7</v>
      </c>
      <c r="X215" t="s">
        <v>45</v>
      </c>
      <c r="Y215">
        <v>2024</v>
      </c>
      <c r="Z215" t="str">
        <f>TEXT(Table1[[#This Row],[Order Date]],"MMM")</f>
        <v>Sep</v>
      </c>
      <c r="AA215" s="5">
        <f>Table1[[#This Row],[Unit Price]]*Table1[[#This Row],[Quantity]]*(1-Table1[[#This Row],[Discount %]]/100)</f>
        <v>2531.8829999999998</v>
      </c>
      <c r="AB215" s="5">
        <f>Table1[[#This Row],[Sales]]-Table1[[#This Row],[Cost]]</f>
        <v>520.04299999999989</v>
      </c>
    </row>
    <row r="216" spans="1:28" x14ac:dyDescent="0.3">
      <c r="A216" t="s">
        <v>691</v>
      </c>
      <c r="B216" s="1">
        <v>45725</v>
      </c>
      <c r="C216" t="s">
        <v>692</v>
      </c>
      <c r="D216" t="s">
        <v>2998</v>
      </c>
      <c r="E216" s="1">
        <v>45729</v>
      </c>
      <c r="F216" t="s">
        <v>2617</v>
      </c>
      <c r="G216" t="s">
        <v>27</v>
      </c>
      <c r="H216" t="s">
        <v>28</v>
      </c>
      <c r="I216" t="s">
        <v>2675</v>
      </c>
      <c r="J216" t="s">
        <v>2676</v>
      </c>
      <c r="K216" t="s">
        <v>52</v>
      </c>
      <c r="L216">
        <v>19</v>
      </c>
      <c r="M216">
        <v>5</v>
      </c>
      <c r="N216">
        <v>5</v>
      </c>
      <c r="O216" t="s">
        <v>693</v>
      </c>
      <c r="P216" t="s">
        <v>75</v>
      </c>
      <c r="Q216" t="s">
        <v>70</v>
      </c>
      <c r="R216" t="s">
        <v>32</v>
      </c>
      <c r="S216" t="s">
        <v>30</v>
      </c>
      <c r="T216">
        <v>1</v>
      </c>
      <c r="U216" s="5">
        <v>27.92</v>
      </c>
      <c r="V216" s="5">
        <v>71.14</v>
      </c>
      <c r="W216">
        <v>4</v>
      </c>
      <c r="X216" t="s">
        <v>34</v>
      </c>
      <c r="Y216">
        <v>2025</v>
      </c>
      <c r="Z216" t="str">
        <f>TEXT(Table1[[#This Row],[Order Date]],"MMM")</f>
        <v>Mar</v>
      </c>
      <c r="AA216" s="5">
        <f>Table1[[#This Row],[Unit Price]]*Table1[[#This Row],[Quantity]]*(1-Table1[[#This Row],[Discount %]]/100)</f>
        <v>132.62</v>
      </c>
      <c r="AB216" s="5">
        <f>Table1[[#This Row],[Sales]]-Table1[[#This Row],[Cost]]</f>
        <v>61.480000000000004</v>
      </c>
    </row>
    <row r="217" spans="1:28" x14ac:dyDescent="0.3">
      <c r="A217" t="s">
        <v>694</v>
      </c>
      <c r="B217" s="1">
        <v>45323</v>
      </c>
      <c r="C217" t="s">
        <v>695</v>
      </c>
      <c r="D217" t="s">
        <v>2999</v>
      </c>
      <c r="E217" s="1">
        <v>45326</v>
      </c>
      <c r="F217" t="s">
        <v>140</v>
      </c>
      <c r="G217" t="s">
        <v>38</v>
      </c>
      <c r="H217" t="s">
        <v>139</v>
      </c>
      <c r="I217" t="s">
        <v>2671</v>
      </c>
      <c r="J217" t="s">
        <v>2706</v>
      </c>
      <c r="K217" t="s">
        <v>25</v>
      </c>
      <c r="L217">
        <v>59</v>
      </c>
      <c r="M217">
        <v>5</v>
      </c>
      <c r="N217">
        <v>15</v>
      </c>
      <c r="O217" t="s">
        <v>362</v>
      </c>
      <c r="P217" t="s">
        <v>44</v>
      </c>
      <c r="Q217" t="s">
        <v>117</v>
      </c>
      <c r="R217" t="s">
        <v>62</v>
      </c>
      <c r="S217" t="s">
        <v>141</v>
      </c>
      <c r="T217">
        <v>2</v>
      </c>
      <c r="U217" s="5">
        <v>249.35</v>
      </c>
      <c r="V217" s="5">
        <v>569.79999999999995</v>
      </c>
      <c r="W217">
        <v>3</v>
      </c>
      <c r="X217" t="s">
        <v>34</v>
      </c>
      <c r="Y217">
        <v>2024</v>
      </c>
      <c r="Z217" t="str">
        <f>TEXT(Table1[[#This Row],[Order Date]],"MMM")</f>
        <v>Feb</v>
      </c>
      <c r="AA217" s="5">
        <f>Table1[[#This Row],[Unit Price]]*Table1[[#This Row],[Quantity]]*(1-Table1[[#This Row],[Discount %]]/100)</f>
        <v>1059.7375</v>
      </c>
      <c r="AB217" s="5">
        <f>Table1[[#This Row],[Sales]]-Table1[[#This Row],[Cost]]</f>
        <v>489.9375</v>
      </c>
    </row>
    <row r="218" spans="1:28" x14ac:dyDescent="0.3">
      <c r="A218" t="s">
        <v>696</v>
      </c>
      <c r="B218" s="1">
        <v>45980</v>
      </c>
      <c r="C218" t="s">
        <v>697</v>
      </c>
      <c r="D218" t="s">
        <v>3000</v>
      </c>
      <c r="E218" s="1">
        <v>45982</v>
      </c>
      <c r="F218" t="s">
        <v>2617</v>
      </c>
      <c r="G218" t="s">
        <v>27</v>
      </c>
      <c r="H218" t="s">
        <v>28</v>
      </c>
      <c r="I218" t="s">
        <v>2648</v>
      </c>
      <c r="J218" t="s">
        <v>2684</v>
      </c>
      <c r="K218" t="s">
        <v>25</v>
      </c>
      <c r="L218">
        <v>32</v>
      </c>
      <c r="M218">
        <v>2</v>
      </c>
      <c r="N218">
        <v>15</v>
      </c>
      <c r="O218" t="s">
        <v>698</v>
      </c>
      <c r="P218" t="s">
        <v>75</v>
      </c>
      <c r="Q218" t="s">
        <v>58</v>
      </c>
      <c r="R218" t="s">
        <v>71</v>
      </c>
      <c r="S218" t="s">
        <v>30</v>
      </c>
      <c r="T218">
        <v>4</v>
      </c>
      <c r="U218" s="5">
        <v>932.67</v>
      </c>
      <c r="V218" s="5">
        <v>1140.25</v>
      </c>
      <c r="W218">
        <v>2</v>
      </c>
      <c r="X218" t="s">
        <v>94</v>
      </c>
      <c r="Y218">
        <v>2025</v>
      </c>
      <c r="Z218" t="str">
        <f>TEXT(Table1[[#This Row],[Order Date]],"MMM")</f>
        <v>Nov</v>
      </c>
      <c r="AA218" s="5">
        <f>Table1[[#This Row],[Unit Price]]*Table1[[#This Row],[Quantity]]*(1-Table1[[#This Row],[Discount %]]/100)</f>
        <v>1585.539</v>
      </c>
      <c r="AB218" s="5">
        <f>Table1[[#This Row],[Sales]]-Table1[[#This Row],[Cost]]</f>
        <v>445.28899999999999</v>
      </c>
    </row>
    <row r="219" spans="1:28" x14ac:dyDescent="0.3">
      <c r="A219" t="s">
        <v>699</v>
      </c>
      <c r="B219" s="1">
        <v>45706</v>
      </c>
      <c r="C219" t="s">
        <v>103</v>
      </c>
      <c r="D219" t="s">
        <v>3001</v>
      </c>
      <c r="E219" s="1">
        <v>45710</v>
      </c>
      <c r="F219" t="s">
        <v>56</v>
      </c>
      <c r="G219" t="s">
        <v>54</v>
      </c>
      <c r="H219" t="s">
        <v>55</v>
      </c>
      <c r="I219" t="s">
        <v>2664</v>
      </c>
      <c r="J219" t="s">
        <v>2665</v>
      </c>
      <c r="K219" t="s">
        <v>52</v>
      </c>
      <c r="L219">
        <v>65</v>
      </c>
      <c r="M219">
        <v>2</v>
      </c>
      <c r="N219">
        <v>20</v>
      </c>
      <c r="O219" t="s">
        <v>700</v>
      </c>
      <c r="P219" t="s">
        <v>44</v>
      </c>
      <c r="Q219" t="s">
        <v>70</v>
      </c>
      <c r="R219" t="s">
        <v>62</v>
      </c>
      <c r="S219" t="s">
        <v>57</v>
      </c>
      <c r="T219">
        <v>3</v>
      </c>
      <c r="U219" s="5">
        <v>253.23</v>
      </c>
      <c r="V219" s="5">
        <v>321.77</v>
      </c>
      <c r="W219">
        <v>4</v>
      </c>
      <c r="X219" t="s">
        <v>34</v>
      </c>
      <c r="Y219">
        <v>2025</v>
      </c>
      <c r="Z219" t="str">
        <f>TEXT(Table1[[#This Row],[Order Date]],"MMM")</f>
        <v>Feb</v>
      </c>
      <c r="AA219" s="5">
        <f>Table1[[#This Row],[Unit Price]]*Table1[[#This Row],[Quantity]]*(1-Table1[[#This Row],[Discount %]]/100)</f>
        <v>405.16800000000001</v>
      </c>
      <c r="AB219" s="5">
        <f>Table1[[#This Row],[Sales]]-Table1[[#This Row],[Cost]]</f>
        <v>83.398000000000025</v>
      </c>
    </row>
    <row r="220" spans="1:28" x14ac:dyDescent="0.3">
      <c r="A220" t="s">
        <v>701</v>
      </c>
      <c r="B220" s="1">
        <v>45661</v>
      </c>
      <c r="C220" t="s">
        <v>702</v>
      </c>
      <c r="D220" t="s">
        <v>3002</v>
      </c>
      <c r="E220" s="1">
        <v>45663</v>
      </c>
      <c r="F220" t="s">
        <v>122</v>
      </c>
      <c r="G220" t="s">
        <v>120</v>
      </c>
      <c r="H220" t="s">
        <v>121</v>
      </c>
      <c r="I220" t="s">
        <v>2618</v>
      </c>
      <c r="J220" t="s">
        <v>2701</v>
      </c>
      <c r="K220" t="s">
        <v>52</v>
      </c>
      <c r="L220">
        <v>18</v>
      </c>
      <c r="M220">
        <v>4</v>
      </c>
      <c r="N220">
        <v>25</v>
      </c>
      <c r="O220" t="s">
        <v>703</v>
      </c>
      <c r="P220" t="s">
        <v>75</v>
      </c>
      <c r="Q220" t="s">
        <v>42</v>
      </c>
      <c r="R220" t="s">
        <v>43</v>
      </c>
      <c r="S220" t="s">
        <v>123</v>
      </c>
      <c r="T220">
        <v>4</v>
      </c>
      <c r="U220" s="5">
        <v>819.76</v>
      </c>
      <c r="V220" s="5">
        <v>1561.08</v>
      </c>
      <c r="W220">
        <v>2</v>
      </c>
      <c r="X220" t="s">
        <v>34</v>
      </c>
      <c r="Y220">
        <v>2025</v>
      </c>
      <c r="Z220" t="str">
        <f>TEXT(Table1[[#This Row],[Order Date]],"MMM")</f>
        <v>Jan</v>
      </c>
      <c r="AA220" s="5">
        <f>Table1[[#This Row],[Unit Price]]*Table1[[#This Row],[Quantity]]*(1-Table1[[#This Row],[Discount %]]/100)</f>
        <v>2459.2799999999997</v>
      </c>
      <c r="AB220" s="5">
        <f>Table1[[#This Row],[Sales]]-Table1[[#This Row],[Cost]]</f>
        <v>898.19999999999982</v>
      </c>
    </row>
    <row r="221" spans="1:28" x14ac:dyDescent="0.3">
      <c r="A221" t="s">
        <v>704</v>
      </c>
      <c r="B221" s="1">
        <v>45749</v>
      </c>
      <c r="C221" t="s">
        <v>705</v>
      </c>
      <c r="D221" t="s">
        <v>3003</v>
      </c>
      <c r="E221" s="1">
        <v>45751</v>
      </c>
      <c r="F221" t="s">
        <v>115</v>
      </c>
      <c r="G221" t="s">
        <v>66</v>
      </c>
      <c r="H221" t="s">
        <v>114</v>
      </c>
      <c r="I221" t="s">
        <v>2621</v>
      </c>
      <c r="J221" t="s">
        <v>2622</v>
      </c>
      <c r="K221" t="s">
        <v>25</v>
      </c>
      <c r="L221">
        <v>54</v>
      </c>
      <c r="M221">
        <v>4</v>
      </c>
      <c r="N221">
        <v>10</v>
      </c>
      <c r="O221" t="s">
        <v>706</v>
      </c>
      <c r="P221" t="s">
        <v>75</v>
      </c>
      <c r="Q221" t="s">
        <v>70</v>
      </c>
      <c r="R221" t="s">
        <v>62</v>
      </c>
      <c r="S221" t="s">
        <v>116</v>
      </c>
      <c r="T221">
        <v>1</v>
      </c>
      <c r="U221" s="5">
        <v>426.74</v>
      </c>
      <c r="V221" s="5">
        <v>1145.45</v>
      </c>
      <c r="W221">
        <v>2</v>
      </c>
      <c r="X221" t="s">
        <v>49</v>
      </c>
      <c r="Y221">
        <v>2025</v>
      </c>
      <c r="Z221" t="str">
        <f>TEXT(Table1[[#This Row],[Order Date]],"MMM")</f>
        <v>Apr</v>
      </c>
      <c r="AA221" s="5">
        <f>Table1[[#This Row],[Unit Price]]*Table1[[#This Row],[Quantity]]*(1-Table1[[#This Row],[Discount %]]/100)</f>
        <v>1536.2640000000001</v>
      </c>
      <c r="AB221" s="5">
        <f>Table1[[#This Row],[Sales]]-Table1[[#This Row],[Cost]]</f>
        <v>390.81400000000008</v>
      </c>
    </row>
    <row r="222" spans="1:28" x14ac:dyDescent="0.3">
      <c r="A222" t="s">
        <v>707</v>
      </c>
      <c r="B222" s="1">
        <v>45588</v>
      </c>
      <c r="C222" t="s">
        <v>708</v>
      </c>
      <c r="D222" t="s">
        <v>3004</v>
      </c>
      <c r="E222" s="1">
        <v>45591</v>
      </c>
      <c r="F222" t="s">
        <v>122</v>
      </c>
      <c r="G222" t="s">
        <v>120</v>
      </c>
      <c r="H222" t="s">
        <v>121</v>
      </c>
      <c r="I222" t="s">
        <v>2637</v>
      </c>
      <c r="J222" t="s">
        <v>2709</v>
      </c>
      <c r="K222" t="s">
        <v>25</v>
      </c>
      <c r="L222">
        <v>42</v>
      </c>
      <c r="M222">
        <v>2</v>
      </c>
      <c r="N222">
        <v>25</v>
      </c>
      <c r="O222" t="s">
        <v>709</v>
      </c>
      <c r="P222" t="s">
        <v>44</v>
      </c>
      <c r="Q222" t="s">
        <v>117</v>
      </c>
      <c r="R222" t="s">
        <v>62</v>
      </c>
      <c r="S222" t="s">
        <v>123</v>
      </c>
      <c r="T222">
        <v>1</v>
      </c>
      <c r="U222" s="5">
        <v>410.7</v>
      </c>
      <c r="V222" s="5">
        <v>472.59</v>
      </c>
      <c r="W222">
        <v>3</v>
      </c>
      <c r="X222" t="s">
        <v>94</v>
      </c>
      <c r="Y222">
        <v>2024</v>
      </c>
      <c r="Z222" t="str">
        <f>TEXT(Table1[[#This Row],[Order Date]],"MMM")</f>
        <v>Oct</v>
      </c>
      <c r="AA222" s="5">
        <f>Table1[[#This Row],[Unit Price]]*Table1[[#This Row],[Quantity]]*(1-Table1[[#This Row],[Discount %]]/100)</f>
        <v>616.04999999999995</v>
      </c>
      <c r="AB222" s="5">
        <f>Table1[[#This Row],[Sales]]-Table1[[#This Row],[Cost]]</f>
        <v>143.45999999999998</v>
      </c>
    </row>
    <row r="223" spans="1:28" x14ac:dyDescent="0.3">
      <c r="A223" t="s">
        <v>710</v>
      </c>
      <c r="B223" s="1">
        <v>46087</v>
      </c>
      <c r="C223" t="s">
        <v>711</v>
      </c>
      <c r="D223" t="s">
        <v>3005</v>
      </c>
      <c r="E223" s="1">
        <v>46089</v>
      </c>
      <c r="F223" t="s">
        <v>122</v>
      </c>
      <c r="G223" t="s">
        <v>120</v>
      </c>
      <c r="H223" t="s">
        <v>121</v>
      </c>
      <c r="I223" t="s">
        <v>2659</v>
      </c>
      <c r="J223" t="s">
        <v>2690</v>
      </c>
      <c r="K223" t="s">
        <v>52</v>
      </c>
      <c r="L223">
        <v>31</v>
      </c>
      <c r="M223">
        <v>3</v>
      </c>
      <c r="N223">
        <v>10</v>
      </c>
      <c r="O223" t="s">
        <v>712</v>
      </c>
      <c r="P223" t="s">
        <v>75</v>
      </c>
      <c r="Q223" t="s">
        <v>58</v>
      </c>
      <c r="R223" t="s">
        <v>32</v>
      </c>
      <c r="S223" t="s">
        <v>123</v>
      </c>
      <c r="T223">
        <v>5</v>
      </c>
      <c r="U223" s="5">
        <v>624.79</v>
      </c>
      <c r="V223" s="5">
        <v>1087.74</v>
      </c>
      <c r="W223">
        <v>2</v>
      </c>
      <c r="X223" t="s">
        <v>34</v>
      </c>
      <c r="Y223">
        <v>2026</v>
      </c>
      <c r="Z223" t="str">
        <f>TEXT(Table1[[#This Row],[Order Date]],"MMM")</f>
        <v>Mar</v>
      </c>
      <c r="AA223" s="5">
        <f>Table1[[#This Row],[Unit Price]]*Table1[[#This Row],[Quantity]]*(1-Table1[[#This Row],[Discount %]]/100)</f>
        <v>1686.933</v>
      </c>
      <c r="AB223" s="5">
        <f>Table1[[#This Row],[Sales]]-Table1[[#This Row],[Cost]]</f>
        <v>599.19299999999998</v>
      </c>
    </row>
    <row r="224" spans="1:28" x14ac:dyDescent="0.3">
      <c r="A224" t="s">
        <v>713</v>
      </c>
      <c r="B224" s="1">
        <v>45535</v>
      </c>
      <c r="C224" t="s">
        <v>714</v>
      </c>
      <c r="D224" t="s">
        <v>3006</v>
      </c>
      <c r="E224" s="1">
        <v>45541</v>
      </c>
      <c r="F224" t="s">
        <v>56</v>
      </c>
      <c r="G224" t="s">
        <v>54</v>
      </c>
      <c r="H224" t="s">
        <v>55</v>
      </c>
      <c r="I224" t="s">
        <v>2659</v>
      </c>
      <c r="J224" t="s">
        <v>2666</v>
      </c>
      <c r="K224" t="s">
        <v>52</v>
      </c>
      <c r="L224">
        <v>22</v>
      </c>
      <c r="M224">
        <v>5</v>
      </c>
      <c r="N224">
        <v>10</v>
      </c>
      <c r="O224" t="s">
        <v>577</v>
      </c>
      <c r="P224" t="s">
        <v>75</v>
      </c>
      <c r="Q224" t="s">
        <v>117</v>
      </c>
      <c r="R224" t="s">
        <v>62</v>
      </c>
      <c r="S224" t="s">
        <v>57</v>
      </c>
      <c r="T224">
        <v>5</v>
      </c>
      <c r="U224" s="5">
        <v>726.78</v>
      </c>
      <c r="V224" s="5">
        <v>2072.63</v>
      </c>
      <c r="W224">
        <v>6</v>
      </c>
      <c r="X224" t="s">
        <v>45</v>
      </c>
      <c r="Y224">
        <v>2024</v>
      </c>
      <c r="Z224" t="str">
        <f>TEXT(Table1[[#This Row],[Order Date]],"MMM")</f>
        <v>Aug</v>
      </c>
      <c r="AA224" s="5">
        <f>Table1[[#This Row],[Unit Price]]*Table1[[#This Row],[Quantity]]*(1-Table1[[#This Row],[Discount %]]/100)</f>
        <v>3270.5099999999998</v>
      </c>
      <c r="AB224" s="5">
        <f>Table1[[#This Row],[Sales]]-Table1[[#This Row],[Cost]]</f>
        <v>1197.8799999999997</v>
      </c>
    </row>
    <row r="225" spans="1:28" x14ac:dyDescent="0.3">
      <c r="A225" t="s">
        <v>715</v>
      </c>
      <c r="B225" s="1">
        <v>45650</v>
      </c>
      <c r="C225" t="s">
        <v>716</v>
      </c>
      <c r="D225" t="s">
        <v>3007</v>
      </c>
      <c r="E225" s="1">
        <v>45652</v>
      </c>
      <c r="F225" t="s">
        <v>140</v>
      </c>
      <c r="G225" t="s">
        <v>38</v>
      </c>
      <c r="H225" t="s">
        <v>139</v>
      </c>
      <c r="I225" t="s">
        <v>2668</v>
      </c>
      <c r="J225" t="s">
        <v>2669</v>
      </c>
      <c r="K225" t="s">
        <v>25</v>
      </c>
      <c r="L225">
        <v>63</v>
      </c>
      <c r="M225">
        <v>2</v>
      </c>
      <c r="N225">
        <v>5</v>
      </c>
      <c r="O225" t="s">
        <v>717</v>
      </c>
      <c r="P225" t="s">
        <v>75</v>
      </c>
      <c r="Q225" t="s">
        <v>42</v>
      </c>
      <c r="R225" t="s">
        <v>43</v>
      </c>
      <c r="S225" t="s">
        <v>141</v>
      </c>
      <c r="T225">
        <v>3</v>
      </c>
      <c r="U225" s="5">
        <v>902.25</v>
      </c>
      <c r="V225" s="5">
        <v>1156.6099999999999</v>
      </c>
      <c r="W225">
        <v>2</v>
      </c>
      <c r="X225" t="s">
        <v>94</v>
      </c>
      <c r="Y225">
        <v>2024</v>
      </c>
      <c r="Z225" t="str">
        <f>TEXT(Table1[[#This Row],[Order Date]],"MMM")</f>
        <v>Dec</v>
      </c>
      <c r="AA225" s="5">
        <f>Table1[[#This Row],[Unit Price]]*Table1[[#This Row],[Quantity]]*(1-Table1[[#This Row],[Discount %]]/100)</f>
        <v>1714.2749999999999</v>
      </c>
      <c r="AB225" s="5">
        <f>Table1[[#This Row],[Sales]]-Table1[[#This Row],[Cost]]</f>
        <v>557.66499999999996</v>
      </c>
    </row>
    <row r="226" spans="1:28" x14ac:dyDescent="0.3">
      <c r="A226" t="s">
        <v>718</v>
      </c>
      <c r="B226" s="1">
        <v>46151</v>
      </c>
      <c r="C226" t="s">
        <v>719</v>
      </c>
      <c r="D226" t="s">
        <v>3008</v>
      </c>
      <c r="E226" s="1">
        <v>46157</v>
      </c>
      <c r="F226" t="s">
        <v>68</v>
      </c>
      <c r="G226" t="s">
        <v>66</v>
      </c>
      <c r="H226" t="s">
        <v>67</v>
      </c>
      <c r="I226" t="s">
        <v>2628</v>
      </c>
      <c r="J226" t="s">
        <v>2642</v>
      </c>
      <c r="K226" t="s">
        <v>52</v>
      </c>
      <c r="L226">
        <v>20</v>
      </c>
      <c r="M226">
        <v>3</v>
      </c>
      <c r="N226">
        <v>30</v>
      </c>
      <c r="O226" t="s">
        <v>720</v>
      </c>
      <c r="P226" t="s">
        <v>44</v>
      </c>
      <c r="Q226" t="s">
        <v>42</v>
      </c>
      <c r="R226" t="s">
        <v>43</v>
      </c>
      <c r="S226" t="s">
        <v>69</v>
      </c>
      <c r="T226">
        <v>3</v>
      </c>
      <c r="U226" s="5">
        <v>829.64</v>
      </c>
      <c r="V226" s="5">
        <v>1248.05</v>
      </c>
      <c r="W226">
        <v>6</v>
      </c>
      <c r="X226" t="s">
        <v>49</v>
      </c>
      <c r="Y226">
        <v>2026</v>
      </c>
      <c r="Z226" t="str">
        <f>TEXT(Table1[[#This Row],[Order Date]],"MMM")</f>
        <v>May</v>
      </c>
      <c r="AA226" s="5">
        <f>Table1[[#This Row],[Unit Price]]*Table1[[#This Row],[Quantity]]*(1-Table1[[#This Row],[Discount %]]/100)</f>
        <v>1742.2439999999999</v>
      </c>
      <c r="AB226" s="5">
        <f>Table1[[#This Row],[Sales]]-Table1[[#This Row],[Cost]]</f>
        <v>494.19399999999996</v>
      </c>
    </row>
    <row r="227" spans="1:28" x14ac:dyDescent="0.3">
      <c r="A227" t="s">
        <v>721</v>
      </c>
      <c r="B227" s="1">
        <v>45472</v>
      </c>
      <c r="C227" t="s">
        <v>722</v>
      </c>
      <c r="D227" t="s">
        <v>3009</v>
      </c>
      <c r="E227" s="1">
        <v>45476</v>
      </c>
      <c r="F227" t="s">
        <v>100</v>
      </c>
      <c r="G227" t="s">
        <v>98</v>
      </c>
      <c r="H227" t="s">
        <v>99</v>
      </c>
      <c r="I227" t="s">
        <v>2643</v>
      </c>
      <c r="J227" t="s">
        <v>2654</v>
      </c>
      <c r="K227" t="s">
        <v>52</v>
      </c>
      <c r="L227">
        <v>65</v>
      </c>
      <c r="M227">
        <v>2</v>
      </c>
      <c r="N227">
        <v>30</v>
      </c>
      <c r="O227" t="s">
        <v>723</v>
      </c>
      <c r="P227" t="s">
        <v>75</v>
      </c>
      <c r="Q227" t="s">
        <v>58</v>
      </c>
      <c r="R227" t="s">
        <v>32</v>
      </c>
      <c r="S227" t="s">
        <v>101</v>
      </c>
      <c r="T227">
        <v>3</v>
      </c>
      <c r="U227" s="5">
        <v>674.36</v>
      </c>
      <c r="V227" s="5">
        <v>563.67999999999995</v>
      </c>
      <c r="W227">
        <v>4</v>
      </c>
      <c r="X227" t="s">
        <v>49</v>
      </c>
      <c r="Y227">
        <v>2024</v>
      </c>
      <c r="Z227" t="str">
        <f>TEXT(Table1[[#This Row],[Order Date]],"MMM")</f>
        <v>Jun</v>
      </c>
      <c r="AA227" s="5">
        <f>Table1[[#This Row],[Unit Price]]*Table1[[#This Row],[Quantity]]*(1-Table1[[#This Row],[Discount %]]/100)</f>
        <v>944.10399999999993</v>
      </c>
      <c r="AB227" s="5">
        <f>Table1[[#This Row],[Sales]]-Table1[[#This Row],[Cost]]</f>
        <v>380.42399999999998</v>
      </c>
    </row>
    <row r="228" spans="1:28" x14ac:dyDescent="0.3">
      <c r="A228" t="s">
        <v>724</v>
      </c>
      <c r="B228" s="1">
        <v>45923</v>
      </c>
      <c r="C228" t="s">
        <v>725</v>
      </c>
      <c r="D228" t="s">
        <v>3010</v>
      </c>
      <c r="E228" s="1">
        <v>45925</v>
      </c>
      <c r="F228" t="s">
        <v>140</v>
      </c>
      <c r="G228" t="s">
        <v>38</v>
      </c>
      <c r="H228" t="s">
        <v>139</v>
      </c>
      <c r="I228" t="s">
        <v>2655</v>
      </c>
      <c r="J228" t="s">
        <v>2714</v>
      </c>
      <c r="K228" t="s">
        <v>25</v>
      </c>
      <c r="L228">
        <v>51</v>
      </c>
      <c r="M228">
        <v>2</v>
      </c>
      <c r="N228">
        <v>15</v>
      </c>
      <c r="O228" t="s">
        <v>81</v>
      </c>
      <c r="P228" t="s">
        <v>33</v>
      </c>
      <c r="Q228" t="s">
        <v>58</v>
      </c>
      <c r="R228" t="s">
        <v>62</v>
      </c>
      <c r="S228" t="s">
        <v>141</v>
      </c>
      <c r="T228">
        <v>5</v>
      </c>
      <c r="U228" s="5">
        <v>42.55</v>
      </c>
      <c r="V228" s="5">
        <v>59.52</v>
      </c>
      <c r="W228">
        <v>2</v>
      </c>
      <c r="X228" t="s">
        <v>45</v>
      </c>
      <c r="Y228">
        <v>2025</v>
      </c>
      <c r="Z228" t="str">
        <f>TEXT(Table1[[#This Row],[Order Date]],"MMM")</f>
        <v>Sep</v>
      </c>
      <c r="AA228" s="5">
        <f>Table1[[#This Row],[Unit Price]]*Table1[[#This Row],[Quantity]]*(1-Table1[[#This Row],[Discount %]]/100)</f>
        <v>72.334999999999994</v>
      </c>
      <c r="AB228" s="5">
        <f>Table1[[#This Row],[Sales]]-Table1[[#This Row],[Cost]]</f>
        <v>12.814999999999991</v>
      </c>
    </row>
    <row r="229" spans="1:28" x14ac:dyDescent="0.3">
      <c r="A229" t="s">
        <v>726</v>
      </c>
      <c r="B229" s="1">
        <v>45633</v>
      </c>
      <c r="C229" t="s">
        <v>727</v>
      </c>
      <c r="D229" t="s">
        <v>3011</v>
      </c>
      <c r="E229" s="1">
        <v>45634</v>
      </c>
      <c r="F229" t="s">
        <v>56</v>
      </c>
      <c r="G229" t="s">
        <v>54</v>
      </c>
      <c r="H229" t="s">
        <v>55</v>
      </c>
      <c r="I229" t="s">
        <v>2631</v>
      </c>
      <c r="J229" t="s">
        <v>2639</v>
      </c>
      <c r="K229" t="s">
        <v>25</v>
      </c>
      <c r="L229">
        <v>29</v>
      </c>
      <c r="M229">
        <v>4</v>
      </c>
      <c r="N229">
        <v>30</v>
      </c>
      <c r="O229" t="s">
        <v>728</v>
      </c>
      <c r="P229" t="s">
        <v>33</v>
      </c>
      <c r="Q229" t="s">
        <v>42</v>
      </c>
      <c r="R229" t="s">
        <v>71</v>
      </c>
      <c r="S229" t="s">
        <v>57</v>
      </c>
      <c r="T229">
        <v>1</v>
      </c>
      <c r="U229" s="5">
        <v>737.78</v>
      </c>
      <c r="V229" s="5">
        <v>1721.62</v>
      </c>
      <c r="W229">
        <v>1</v>
      </c>
      <c r="X229" t="s">
        <v>94</v>
      </c>
      <c r="Y229">
        <v>2024</v>
      </c>
      <c r="Z229" t="str">
        <f>TEXT(Table1[[#This Row],[Order Date]],"MMM")</f>
        <v>Dec</v>
      </c>
      <c r="AA229" s="5">
        <f>Table1[[#This Row],[Unit Price]]*Table1[[#This Row],[Quantity]]*(1-Table1[[#This Row],[Discount %]]/100)</f>
        <v>2065.7839999999997</v>
      </c>
      <c r="AB229" s="5">
        <f>Table1[[#This Row],[Sales]]-Table1[[#This Row],[Cost]]</f>
        <v>344.16399999999976</v>
      </c>
    </row>
    <row r="230" spans="1:28" x14ac:dyDescent="0.3">
      <c r="A230" t="s">
        <v>729</v>
      </c>
      <c r="B230" s="1">
        <v>45542</v>
      </c>
      <c r="C230" t="s">
        <v>730</v>
      </c>
      <c r="D230" t="s">
        <v>3012</v>
      </c>
      <c r="E230" s="1">
        <v>45545</v>
      </c>
      <c r="F230" t="s">
        <v>56</v>
      </c>
      <c r="G230" t="s">
        <v>54</v>
      </c>
      <c r="H230" t="s">
        <v>55</v>
      </c>
      <c r="I230" t="s">
        <v>2661</v>
      </c>
      <c r="J230" t="s">
        <v>2689</v>
      </c>
      <c r="K230" t="s">
        <v>52</v>
      </c>
      <c r="L230">
        <v>36</v>
      </c>
      <c r="M230">
        <v>5</v>
      </c>
      <c r="N230">
        <v>20</v>
      </c>
      <c r="O230" t="s">
        <v>731</v>
      </c>
      <c r="P230" t="s">
        <v>75</v>
      </c>
      <c r="Q230" t="s">
        <v>31</v>
      </c>
      <c r="R230" t="s">
        <v>32</v>
      </c>
      <c r="S230" t="s">
        <v>57</v>
      </c>
      <c r="T230">
        <v>4</v>
      </c>
      <c r="U230" s="5">
        <v>279.70999999999998</v>
      </c>
      <c r="V230" s="5">
        <v>792.37</v>
      </c>
      <c r="W230">
        <v>3</v>
      </c>
      <c r="X230" t="s">
        <v>45</v>
      </c>
      <c r="Y230">
        <v>2024</v>
      </c>
      <c r="Z230" t="str">
        <f>TEXT(Table1[[#This Row],[Order Date]],"MMM")</f>
        <v>Sep</v>
      </c>
      <c r="AA230" s="5">
        <f>Table1[[#This Row],[Unit Price]]*Table1[[#This Row],[Quantity]]*(1-Table1[[#This Row],[Discount %]]/100)</f>
        <v>1118.8399999999999</v>
      </c>
      <c r="AB230" s="5">
        <f>Table1[[#This Row],[Sales]]-Table1[[#This Row],[Cost]]</f>
        <v>326.46999999999991</v>
      </c>
    </row>
    <row r="231" spans="1:28" x14ac:dyDescent="0.3">
      <c r="A231" t="s">
        <v>732</v>
      </c>
      <c r="B231" s="1">
        <v>45825</v>
      </c>
      <c r="C231" t="s">
        <v>733</v>
      </c>
      <c r="D231" t="s">
        <v>3013</v>
      </c>
      <c r="E231" s="1">
        <v>45830</v>
      </c>
      <c r="F231" t="s">
        <v>40</v>
      </c>
      <c r="G231" t="s">
        <v>38</v>
      </c>
      <c r="H231" t="s">
        <v>39</v>
      </c>
      <c r="I231" t="s">
        <v>2630</v>
      </c>
      <c r="J231" t="s">
        <v>2640</v>
      </c>
      <c r="K231" t="s">
        <v>52</v>
      </c>
      <c r="L231">
        <v>57</v>
      </c>
      <c r="M231">
        <v>5</v>
      </c>
      <c r="N231">
        <v>5</v>
      </c>
      <c r="O231" t="s">
        <v>734</v>
      </c>
      <c r="P231" t="s">
        <v>33</v>
      </c>
      <c r="Q231" t="s">
        <v>42</v>
      </c>
      <c r="R231" t="s">
        <v>43</v>
      </c>
      <c r="S231" t="s">
        <v>41</v>
      </c>
      <c r="T231">
        <v>1</v>
      </c>
      <c r="U231" s="5">
        <v>528.15</v>
      </c>
      <c r="V231" s="5">
        <v>1793.85</v>
      </c>
      <c r="W231">
        <v>5</v>
      </c>
      <c r="X231" t="s">
        <v>49</v>
      </c>
      <c r="Y231">
        <v>2025</v>
      </c>
      <c r="Z231" t="str">
        <f>TEXT(Table1[[#This Row],[Order Date]],"MMM")</f>
        <v>Jun</v>
      </c>
      <c r="AA231" s="5">
        <f>Table1[[#This Row],[Unit Price]]*Table1[[#This Row],[Quantity]]*(1-Table1[[#This Row],[Discount %]]/100)</f>
        <v>2508.7125000000001</v>
      </c>
      <c r="AB231" s="5">
        <f>Table1[[#This Row],[Sales]]-Table1[[#This Row],[Cost]]</f>
        <v>714.86250000000018</v>
      </c>
    </row>
    <row r="232" spans="1:28" x14ac:dyDescent="0.3">
      <c r="A232" t="s">
        <v>735</v>
      </c>
      <c r="B232" s="1">
        <v>46023</v>
      </c>
      <c r="C232" t="s">
        <v>736</v>
      </c>
      <c r="D232" t="s">
        <v>3014</v>
      </c>
      <c r="E232" s="1">
        <v>46025</v>
      </c>
      <c r="F232" t="s">
        <v>140</v>
      </c>
      <c r="G232" t="s">
        <v>38</v>
      </c>
      <c r="H232" t="s">
        <v>139</v>
      </c>
      <c r="I232" t="s">
        <v>2668</v>
      </c>
      <c r="J232" t="s">
        <v>2712</v>
      </c>
      <c r="K232" t="s">
        <v>52</v>
      </c>
      <c r="L232">
        <v>33</v>
      </c>
      <c r="M232">
        <v>1</v>
      </c>
      <c r="N232">
        <v>5</v>
      </c>
      <c r="O232" t="s">
        <v>720</v>
      </c>
      <c r="P232" t="s">
        <v>33</v>
      </c>
      <c r="Q232" t="s">
        <v>42</v>
      </c>
      <c r="R232" t="s">
        <v>62</v>
      </c>
      <c r="S232" t="s">
        <v>141</v>
      </c>
      <c r="T232">
        <v>3</v>
      </c>
      <c r="U232" s="5">
        <v>552.49</v>
      </c>
      <c r="V232" s="5">
        <v>290.76</v>
      </c>
      <c r="W232">
        <v>2</v>
      </c>
      <c r="X232" t="s">
        <v>34</v>
      </c>
      <c r="Y232">
        <v>2026</v>
      </c>
      <c r="Z232" t="str">
        <f>TEXT(Table1[[#This Row],[Order Date]],"MMM")</f>
        <v>Jan</v>
      </c>
      <c r="AA232" s="5">
        <f>Table1[[#This Row],[Unit Price]]*Table1[[#This Row],[Quantity]]*(1-Table1[[#This Row],[Discount %]]/100)</f>
        <v>524.8655</v>
      </c>
      <c r="AB232" s="5">
        <f>Table1[[#This Row],[Sales]]-Table1[[#This Row],[Cost]]</f>
        <v>234.10550000000001</v>
      </c>
    </row>
    <row r="233" spans="1:28" x14ac:dyDescent="0.3">
      <c r="A233" t="s">
        <v>737</v>
      </c>
      <c r="B233" s="1">
        <v>45883</v>
      </c>
      <c r="C233" t="s">
        <v>738</v>
      </c>
      <c r="D233" t="s">
        <v>3015</v>
      </c>
      <c r="E233" s="1">
        <v>45890</v>
      </c>
      <c r="F233" t="s">
        <v>40</v>
      </c>
      <c r="G233" t="s">
        <v>38</v>
      </c>
      <c r="H233" t="s">
        <v>39</v>
      </c>
      <c r="I233" t="s">
        <v>2633</v>
      </c>
      <c r="J233" t="s">
        <v>2634</v>
      </c>
      <c r="K233" t="s">
        <v>25</v>
      </c>
      <c r="L233">
        <v>49</v>
      </c>
      <c r="M233">
        <v>5</v>
      </c>
      <c r="N233">
        <v>30</v>
      </c>
      <c r="O233" t="s">
        <v>739</v>
      </c>
      <c r="P233" t="s">
        <v>44</v>
      </c>
      <c r="Q233" t="s">
        <v>31</v>
      </c>
      <c r="R233" t="s">
        <v>32</v>
      </c>
      <c r="S233" t="s">
        <v>41</v>
      </c>
      <c r="T233">
        <v>4</v>
      </c>
      <c r="U233" s="5">
        <v>513.67999999999995</v>
      </c>
      <c r="V233" s="5">
        <v>962.15</v>
      </c>
      <c r="W233">
        <v>7</v>
      </c>
      <c r="X233" t="s">
        <v>45</v>
      </c>
      <c r="Y233">
        <v>2025</v>
      </c>
      <c r="Z233" t="str">
        <f>TEXT(Table1[[#This Row],[Order Date]],"MMM")</f>
        <v>Aug</v>
      </c>
      <c r="AA233" s="5">
        <f>Table1[[#This Row],[Unit Price]]*Table1[[#This Row],[Quantity]]*(1-Table1[[#This Row],[Discount %]]/100)</f>
        <v>1797.8799999999997</v>
      </c>
      <c r="AB233" s="5">
        <f>Table1[[#This Row],[Sales]]-Table1[[#This Row],[Cost]]</f>
        <v>835.72999999999968</v>
      </c>
    </row>
    <row r="234" spans="1:28" x14ac:dyDescent="0.3">
      <c r="A234" t="s">
        <v>740</v>
      </c>
      <c r="B234" s="1">
        <v>45752</v>
      </c>
      <c r="C234" t="s">
        <v>741</v>
      </c>
      <c r="D234" t="s">
        <v>3016</v>
      </c>
      <c r="E234" s="1">
        <v>45759</v>
      </c>
      <c r="F234" t="s">
        <v>128</v>
      </c>
      <c r="G234" t="s">
        <v>98</v>
      </c>
      <c r="H234" t="s">
        <v>127</v>
      </c>
      <c r="I234" t="s">
        <v>2625</v>
      </c>
      <c r="J234" t="s">
        <v>2705</v>
      </c>
      <c r="K234" t="s">
        <v>52</v>
      </c>
      <c r="L234">
        <v>20</v>
      </c>
      <c r="M234">
        <v>3</v>
      </c>
      <c r="N234">
        <v>15</v>
      </c>
      <c r="O234" t="s">
        <v>742</v>
      </c>
      <c r="P234" t="s">
        <v>33</v>
      </c>
      <c r="Q234" t="s">
        <v>70</v>
      </c>
      <c r="R234" t="s">
        <v>43</v>
      </c>
      <c r="S234" t="s">
        <v>129</v>
      </c>
      <c r="T234">
        <v>5</v>
      </c>
      <c r="U234" s="5">
        <v>255.73</v>
      </c>
      <c r="V234" s="5">
        <v>543.28</v>
      </c>
      <c r="W234">
        <v>7</v>
      </c>
      <c r="X234" t="s">
        <v>49</v>
      </c>
      <c r="Y234">
        <v>2025</v>
      </c>
      <c r="Z234" t="str">
        <f>TEXT(Table1[[#This Row],[Order Date]],"MMM")</f>
        <v>Apr</v>
      </c>
      <c r="AA234" s="5">
        <f>Table1[[#This Row],[Unit Price]]*Table1[[#This Row],[Quantity]]*(1-Table1[[#This Row],[Discount %]]/100)</f>
        <v>652.11149999999998</v>
      </c>
      <c r="AB234" s="5">
        <f>Table1[[#This Row],[Sales]]-Table1[[#This Row],[Cost]]</f>
        <v>108.83150000000001</v>
      </c>
    </row>
    <row r="235" spans="1:28" x14ac:dyDescent="0.3">
      <c r="A235" t="s">
        <v>743</v>
      </c>
      <c r="B235" s="1">
        <v>45523</v>
      </c>
      <c r="C235" t="s">
        <v>744</v>
      </c>
      <c r="D235" t="s">
        <v>3017</v>
      </c>
      <c r="E235" s="1">
        <v>45528</v>
      </c>
      <c r="F235" t="s">
        <v>122</v>
      </c>
      <c r="G235" t="s">
        <v>120</v>
      </c>
      <c r="H235" t="s">
        <v>121</v>
      </c>
      <c r="I235" t="s">
        <v>2619</v>
      </c>
      <c r="J235" t="s">
        <v>2692</v>
      </c>
      <c r="K235" t="s">
        <v>25</v>
      </c>
      <c r="L235">
        <v>51</v>
      </c>
      <c r="M235">
        <v>1</v>
      </c>
      <c r="N235">
        <v>20</v>
      </c>
      <c r="O235" t="s">
        <v>745</v>
      </c>
      <c r="P235" t="s">
        <v>44</v>
      </c>
      <c r="Q235" t="s">
        <v>58</v>
      </c>
      <c r="R235" t="s">
        <v>32</v>
      </c>
      <c r="S235" t="s">
        <v>123</v>
      </c>
      <c r="T235">
        <v>3</v>
      </c>
      <c r="U235" s="5">
        <v>814.04</v>
      </c>
      <c r="V235" s="5">
        <v>338.14</v>
      </c>
      <c r="W235">
        <v>5</v>
      </c>
      <c r="X235" t="s">
        <v>45</v>
      </c>
      <c r="Y235">
        <v>2024</v>
      </c>
      <c r="Z235" t="str">
        <f>TEXT(Table1[[#This Row],[Order Date]],"MMM")</f>
        <v>Aug</v>
      </c>
      <c r="AA235" s="5">
        <f>Table1[[#This Row],[Unit Price]]*Table1[[#This Row],[Quantity]]*(1-Table1[[#This Row],[Discount %]]/100)</f>
        <v>651.23199999999997</v>
      </c>
      <c r="AB235" s="5">
        <f>Table1[[#This Row],[Sales]]-Table1[[#This Row],[Cost]]</f>
        <v>313.09199999999998</v>
      </c>
    </row>
    <row r="236" spans="1:28" x14ac:dyDescent="0.3">
      <c r="A236" t="s">
        <v>746</v>
      </c>
      <c r="B236" s="1">
        <v>45912</v>
      </c>
      <c r="C236" t="s">
        <v>747</v>
      </c>
      <c r="D236" t="s">
        <v>3018</v>
      </c>
      <c r="E236" s="1">
        <v>45919</v>
      </c>
      <c r="F236" t="s">
        <v>56</v>
      </c>
      <c r="G236" t="s">
        <v>54</v>
      </c>
      <c r="H236" t="s">
        <v>55</v>
      </c>
      <c r="I236" t="s">
        <v>2618</v>
      </c>
      <c r="J236" t="s">
        <v>2700</v>
      </c>
      <c r="K236" t="s">
        <v>25</v>
      </c>
      <c r="L236">
        <v>65</v>
      </c>
      <c r="M236">
        <v>4</v>
      </c>
      <c r="N236">
        <v>30</v>
      </c>
      <c r="O236" t="s">
        <v>186</v>
      </c>
      <c r="P236" t="s">
        <v>75</v>
      </c>
      <c r="Q236" t="s">
        <v>58</v>
      </c>
      <c r="R236" t="s">
        <v>43</v>
      </c>
      <c r="S236" t="s">
        <v>57</v>
      </c>
      <c r="T236">
        <v>3</v>
      </c>
      <c r="U236" s="5">
        <v>584.48</v>
      </c>
      <c r="V236" s="5">
        <v>902.84</v>
      </c>
      <c r="W236">
        <v>7</v>
      </c>
      <c r="X236" t="s">
        <v>45</v>
      </c>
      <c r="Y236">
        <v>2025</v>
      </c>
      <c r="Z236" t="str">
        <f>TEXT(Table1[[#This Row],[Order Date]],"MMM")</f>
        <v>Sep</v>
      </c>
      <c r="AA236" s="5">
        <f>Table1[[#This Row],[Unit Price]]*Table1[[#This Row],[Quantity]]*(1-Table1[[#This Row],[Discount %]]/100)</f>
        <v>1636.5439999999999</v>
      </c>
      <c r="AB236" s="5">
        <f>Table1[[#This Row],[Sales]]-Table1[[#This Row],[Cost]]</f>
        <v>733.70399999999984</v>
      </c>
    </row>
    <row r="237" spans="1:28" x14ac:dyDescent="0.3">
      <c r="A237" t="s">
        <v>748</v>
      </c>
      <c r="B237" s="1">
        <v>45908</v>
      </c>
      <c r="C237" t="s">
        <v>749</v>
      </c>
      <c r="D237" t="s">
        <v>3019</v>
      </c>
      <c r="E237" s="1">
        <v>45913</v>
      </c>
      <c r="F237" t="s">
        <v>2617</v>
      </c>
      <c r="G237" t="s">
        <v>27</v>
      </c>
      <c r="H237" t="s">
        <v>28</v>
      </c>
      <c r="I237" t="s">
        <v>2627</v>
      </c>
      <c r="J237" t="s">
        <v>2690</v>
      </c>
      <c r="K237" t="s">
        <v>52</v>
      </c>
      <c r="L237">
        <v>53</v>
      </c>
      <c r="M237">
        <v>3</v>
      </c>
      <c r="N237">
        <v>20</v>
      </c>
      <c r="O237" t="s">
        <v>640</v>
      </c>
      <c r="P237" t="s">
        <v>75</v>
      </c>
      <c r="Q237" t="s">
        <v>58</v>
      </c>
      <c r="R237" t="s">
        <v>32</v>
      </c>
      <c r="S237" t="s">
        <v>30</v>
      </c>
      <c r="T237">
        <v>1</v>
      </c>
      <c r="U237" s="5">
        <v>489.73</v>
      </c>
      <c r="V237" s="5">
        <v>604.61</v>
      </c>
      <c r="W237">
        <v>5</v>
      </c>
      <c r="X237" t="s">
        <v>45</v>
      </c>
      <c r="Y237">
        <v>2025</v>
      </c>
      <c r="Z237" t="str">
        <f>TEXT(Table1[[#This Row],[Order Date]],"MMM")</f>
        <v>Sep</v>
      </c>
      <c r="AA237" s="5">
        <f>Table1[[#This Row],[Unit Price]]*Table1[[#This Row],[Quantity]]*(1-Table1[[#This Row],[Discount %]]/100)</f>
        <v>1175.3520000000001</v>
      </c>
      <c r="AB237" s="5">
        <f>Table1[[#This Row],[Sales]]-Table1[[#This Row],[Cost]]</f>
        <v>570.74200000000008</v>
      </c>
    </row>
    <row r="238" spans="1:28" x14ac:dyDescent="0.3">
      <c r="A238" t="s">
        <v>750</v>
      </c>
      <c r="B238" s="1">
        <v>46154</v>
      </c>
      <c r="C238" t="s">
        <v>751</v>
      </c>
      <c r="D238" t="s">
        <v>3020</v>
      </c>
      <c r="E238" s="1">
        <v>46157</v>
      </c>
      <c r="F238" t="s">
        <v>2617</v>
      </c>
      <c r="G238" t="s">
        <v>27</v>
      </c>
      <c r="H238" t="s">
        <v>28</v>
      </c>
      <c r="I238" t="s">
        <v>2637</v>
      </c>
      <c r="J238" t="s">
        <v>2638</v>
      </c>
      <c r="K238" t="s">
        <v>52</v>
      </c>
      <c r="L238">
        <v>41</v>
      </c>
      <c r="M238">
        <v>1</v>
      </c>
      <c r="N238">
        <v>10</v>
      </c>
      <c r="O238" t="s">
        <v>752</v>
      </c>
      <c r="P238" t="s">
        <v>44</v>
      </c>
      <c r="Q238" t="s">
        <v>31</v>
      </c>
      <c r="R238" t="s">
        <v>71</v>
      </c>
      <c r="S238" t="s">
        <v>30</v>
      </c>
      <c r="T238">
        <v>3</v>
      </c>
      <c r="U238" s="5">
        <v>377.42</v>
      </c>
      <c r="V238" s="5">
        <v>274.12</v>
      </c>
      <c r="W238">
        <v>3</v>
      </c>
      <c r="X238" t="s">
        <v>49</v>
      </c>
      <c r="Y238">
        <v>2026</v>
      </c>
      <c r="Z238" t="str">
        <f>TEXT(Table1[[#This Row],[Order Date]],"MMM")</f>
        <v>May</v>
      </c>
      <c r="AA238" s="5">
        <f>Table1[[#This Row],[Unit Price]]*Table1[[#This Row],[Quantity]]*(1-Table1[[#This Row],[Discount %]]/100)</f>
        <v>339.678</v>
      </c>
      <c r="AB238" s="5">
        <f>Table1[[#This Row],[Sales]]-Table1[[#This Row],[Cost]]</f>
        <v>65.557999999999993</v>
      </c>
    </row>
    <row r="239" spans="1:28" x14ac:dyDescent="0.3">
      <c r="A239" t="s">
        <v>753</v>
      </c>
      <c r="B239" s="1">
        <v>45787</v>
      </c>
      <c r="C239" t="s">
        <v>754</v>
      </c>
      <c r="D239" t="s">
        <v>3021</v>
      </c>
      <c r="E239" s="1">
        <v>45788</v>
      </c>
      <c r="F239" t="s">
        <v>115</v>
      </c>
      <c r="G239" t="s">
        <v>66</v>
      </c>
      <c r="H239" t="s">
        <v>114</v>
      </c>
      <c r="I239" t="s">
        <v>2633</v>
      </c>
      <c r="J239" t="s">
        <v>2645</v>
      </c>
      <c r="K239" t="s">
        <v>52</v>
      </c>
      <c r="L239">
        <v>39</v>
      </c>
      <c r="M239">
        <v>1</v>
      </c>
      <c r="N239">
        <v>25</v>
      </c>
      <c r="O239" t="s">
        <v>755</v>
      </c>
      <c r="P239" t="s">
        <v>44</v>
      </c>
      <c r="Q239" t="s">
        <v>70</v>
      </c>
      <c r="R239" t="s">
        <v>71</v>
      </c>
      <c r="S239" t="s">
        <v>116</v>
      </c>
      <c r="T239">
        <v>1</v>
      </c>
      <c r="U239" s="5">
        <v>680.58</v>
      </c>
      <c r="V239" s="5">
        <v>388.41</v>
      </c>
      <c r="W239">
        <v>1</v>
      </c>
      <c r="X239" t="s">
        <v>49</v>
      </c>
      <c r="Y239">
        <v>2025</v>
      </c>
      <c r="Z239" t="str">
        <f>TEXT(Table1[[#This Row],[Order Date]],"MMM")</f>
        <v>May</v>
      </c>
      <c r="AA239" s="5">
        <f>Table1[[#This Row],[Unit Price]]*Table1[[#This Row],[Quantity]]*(1-Table1[[#This Row],[Discount %]]/100)</f>
        <v>510.43500000000006</v>
      </c>
      <c r="AB239" s="5">
        <f>Table1[[#This Row],[Sales]]-Table1[[#This Row],[Cost]]</f>
        <v>122.02500000000003</v>
      </c>
    </row>
    <row r="240" spans="1:28" x14ac:dyDescent="0.3">
      <c r="A240" t="s">
        <v>756</v>
      </c>
      <c r="B240" s="1">
        <v>46086</v>
      </c>
      <c r="C240" t="s">
        <v>757</v>
      </c>
      <c r="D240" t="s">
        <v>3022</v>
      </c>
      <c r="E240" s="1">
        <v>46088</v>
      </c>
      <c r="F240" t="s">
        <v>140</v>
      </c>
      <c r="G240" t="s">
        <v>38</v>
      </c>
      <c r="H240" t="s">
        <v>139</v>
      </c>
      <c r="I240" t="s">
        <v>2631</v>
      </c>
      <c r="J240" t="s">
        <v>2716</v>
      </c>
      <c r="K240" t="s">
        <v>25</v>
      </c>
      <c r="L240">
        <v>37</v>
      </c>
      <c r="M240">
        <v>3</v>
      </c>
      <c r="N240">
        <v>25</v>
      </c>
      <c r="O240" t="s">
        <v>758</v>
      </c>
      <c r="P240" t="s">
        <v>33</v>
      </c>
      <c r="Q240" t="s">
        <v>70</v>
      </c>
      <c r="R240" t="s">
        <v>32</v>
      </c>
      <c r="S240" t="s">
        <v>141</v>
      </c>
      <c r="T240">
        <v>2</v>
      </c>
      <c r="U240" s="5">
        <v>612.38</v>
      </c>
      <c r="V240" s="5">
        <v>869.39</v>
      </c>
      <c r="W240">
        <v>2</v>
      </c>
      <c r="X240" t="s">
        <v>34</v>
      </c>
      <c r="Y240">
        <v>2026</v>
      </c>
      <c r="Z240" t="str">
        <f>TEXT(Table1[[#This Row],[Order Date]],"MMM")</f>
        <v>Mar</v>
      </c>
      <c r="AA240" s="5">
        <f>Table1[[#This Row],[Unit Price]]*Table1[[#This Row],[Quantity]]*(1-Table1[[#This Row],[Discount %]]/100)</f>
        <v>1377.855</v>
      </c>
      <c r="AB240" s="5">
        <f>Table1[[#This Row],[Sales]]-Table1[[#This Row],[Cost]]</f>
        <v>508.46500000000003</v>
      </c>
    </row>
    <row r="241" spans="1:28" x14ac:dyDescent="0.3">
      <c r="A241" t="s">
        <v>759</v>
      </c>
      <c r="B241" s="1">
        <v>45417</v>
      </c>
      <c r="C241" t="s">
        <v>760</v>
      </c>
      <c r="D241" t="s">
        <v>3023</v>
      </c>
      <c r="E241" s="1">
        <v>45421</v>
      </c>
      <c r="F241" t="s">
        <v>128</v>
      </c>
      <c r="G241" t="s">
        <v>98</v>
      </c>
      <c r="H241" t="s">
        <v>127</v>
      </c>
      <c r="I241" t="s">
        <v>2655</v>
      </c>
      <c r="J241" t="s">
        <v>2656</v>
      </c>
      <c r="K241" t="s">
        <v>25</v>
      </c>
      <c r="L241">
        <v>39</v>
      </c>
      <c r="M241">
        <v>3</v>
      </c>
      <c r="N241">
        <v>20</v>
      </c>
      <c r="O241" t="s">
        <v>761</v>
      </c>
      <c r="P241" t="s">
        <v>44</v>
      </c>
      <c r="Q241" t="s">
        <v>58</v>
      </c>
      <c r="R241" t="s">
        <v>32</v>
      </c>
      <c r="S241" t="s">
        <v>129</v>
      </c>
      <c r="T241">
        <v>1</v>
      </c>
      <c r="U241" s="5">
        <v>500.82</v>
      </c>
      <c r="V241" s="5">
        <v>988.71</v>
      </c>
      <c r="W241">
        <v>4</v>
      </c>
      <c r="X241" t="s">
        <v>49</v>
      </c>
      <c r="Y241">
        <v>2024</v>
      </c>
      <c r="Z241" t="str">
        <f>TEXT(Table1[[#This Row],[Order Date]],"MMM")</f>
        <v>May</v>
      </c>
      <c r="AA241" s="5">
        <f>Table1[[#This Row],[Unit Price]]*Table1[[#This Row],[Quantity]]*(1-Table1[[#This Row],[Discount %]]/100)</f>
        <v>1201.9680000000001</v>
      </c>
      <c r="AB241" s="5">
        <f>Table1[[#This Row],[Sales]]-Table1[[#This Row],[Cost]]</f>
        <v>213.25800000000004</v>
      </c>
    </row>
    <row r="242" spans="1:28" x14ac:dyDescent="0.3">
      <c r="A242" t="s">
        <v>762</v>
      </c>
      <c r="B242" s="1">
        <v>45532</v>
      </c>
      <c r="C242" t="s">
        <v>763</v>
      </c>
      <c r="D242" t="s">
        <v>3024</v>
      </c>
      <c r="E242" s="1">
        <v>45533</v>
      </c>
      <c r="F242" t="s">
        <v>115</v>
      </c>
      <c r="G242" t="s">
        <v>66</v>
      </c>
      <c r="H242" t="s">
        <v>114</v>
      </c>
      <c r="I242" t="s">
        <v>2619</v>
      </c>
      <c r="J242" t="s">
        <v>2687</v>
      </c>
      <c r="K242" t="s">
        <v>52</v>
      </c>
      <c r="L242">
        <v>43</v>
      </c>
      <c r="M242">
        <v>4</v>
      </c>
      <c r="N242">
        <v>20</v>
      </c>
      <c r="O242" t="s">
        <v>764</v>
      </c>
      <c r="P242" t="s">
        <v>44</v>
      </c>
      <c r="Q242" t="s">
        <v>31</v>
      </c>
      <c r="R242" t="s">
        <v>43</v>
      </c>
      <c r="S242" t="s">
        <v>116</v>
      </c>
      <c r="T242">
        <v>2</v>
      </c>
      <c r="U242" s="5">
        <v>855.02</v>
      </c>
      <c r="V242" s="5">
        <v>2064.63</v>
      </c>
      <c r="W242">
        <v>1</v>
      </c>
      <c r="X242" t="s">
        <v>45</v>
      </c>
      <c r="Y242">
        <v>2024</v>
      </c>
      <c r="Z242" t="str">
        <f>TEXT(Table1[[#This Row],[Order Date]],"MMM")</f>
        <v>Aug</v>
      </c>
      <c r="AA242" s="5">
        <f>Table1[[#This Row],[Unit Price]]*Table1[[#This Row],[Quantity]]*(1-Table1[[#This Row],[Discount %]]/100)</f>
        <v>2736.0640000000003</v>
      </c>
      <c r="AB242" s="5">
        <f>Table1[[#This Row],[Sales]]-Table1[[#This Row],[Cost]]</f>
        <v>671.4340000000002</v>
      </c>
    </row>
    <row r="243" spans="1:28" x14ac:dyDescent="0.3">
      <c r="A243" t="s">
        <v>765</v>
      </c>
      <c r="B243" s="1">
        <v>46071</v>
      </c>
      <c r="C243" t="s">
        <v>766</v>
      </c>
      <c r="D243" t="s">
        <v>3025</v>
      </c>
      <c r="E243" s="1">
        <v>46076</v>
      </c>
      <c r="F243" t="s">
        <v>56</v>
      </c>
      <c r="G243" t="s">
        <v>54</v>
      </c>
      <c r="H243" t="s">
        <v>55</v>
      </c>
      <c r="I243" t="s">
        <v>2618</v>
      </c>
      <c r="J243" t="s">
        <v>2618</v>
      </c>
      <c r="K243" t="s">
        <v>25</v>
      </c>
      <c r="L243">
        <v>45</v>
      </c>
      <c r="M243">
        <v>2</v>
      </c>
      <c r="N243">
        <v>30</v>
      </c>
      <c r="O243" t="s">
        <v>223</v>
      </c>
      <c r="P243" t="s">
        <v>44</v>
      </c>
      <c r="Q243" t="s">
        <v>58</v>
      </c>
      <c r="R243" t="s">
        <v>43</v>
      </c>
      <c r="S243" t="s">
        <v>57</v>
      </c>
      <c r="T243">
        <v>1</v>
      </c>
      <c r="U243" s="5">
        <v>42.06</v>
      </c>
      <c r="V243" s="5">
        <v>32.42</v>
      </c>
      <c r="W243">
        <v>5</v>
      </c>
      <c r="X243" t="s">
        <v>34</v>
      </c>
      <c r="Y243">
        <v>2026</v>
      </c>
      <c r="Z243" t="str">
        <f>TEXT(Table1[[#This Row],[Order Date]],"MMM")</f>
        <v>Feb</v>
      </c>
      <c r="AA243" s="5">
        <f>Table1[[#This Row],[Unit Price]]*Table1[[#This Row],[Quantity]]*(1-Table1[[#This Row],[Discount %]]/100)</f>
        <v>58.884</v>
      </c>
      <c r="AB243" s="5">
        <f>Table1[[#This Row],[Sales]]-Table1[[#This Row],[Cost]]</f>
        <v>26.463999999999999</v>
      </c>
    </row>
    <row r="244" spans="1:28" x14ac:dyDescent="0.3">
      <c r="A244" t="s">
        <v>767</v>
      </c>
      <c r="B244" s="1">
        <v>45953</v>
      </c>
      <c r="C244" t="s">
        <v>768</v>
      </c>
      <c r="D244" t="s">
        <v>3026</v>
      </c>
      <c r="E244" s="1">
        <v>45954</v>
      </c>
      <c r="F244" t="s">
        <v>56</v>
      </c>
      <c r="G244" t="s">
        <v>54</v>
      </c>
      <c r="H244" t="s">
        <v>55</v>
      </c>
      <c r="I244" t="s">
        <v>2671</v>
      </c>
      <c r="J244" t="s">
        <v>2672</v>
      </c>
      <c r="K244" t="s">
        <v>52</v>
      </c>
      <c r="L244">
        <v>29</v>
      </c>
      <c r="M244">
        <v>2</v>
      </c>
      <c r="N244">
        <v>15</v>
      </c>
      <c r="O244" t="s">
        <v>458</v>
      </c>
      <c r="P244" t="s">
        <v>75</v>
      </c>
      <c r="Q244" t="s">
        <v>70</v>
      </c>
      <c r="R244" t="s">
        <v>62</v>
      </c>
      <c r="S244" t="s">
        <v>57</v>
      </c>
      <c r="T244">
        <v>4</v>
      </c>
      <c r="U244" s="5">
        <v>586.29</v>
      </c>
      <c r="V244" s="5">
        <v>730.97</v>
      </c>
      <c r="W244">
        <v>1</v>
      </c>
      <c r="X244" t="s">
        <v>94</v>
      </c>
      <c r="Y244">
        <v>2025</v>
      </c>
      <c r="Z244" t="str">
        <f>TEXT(Table1[[#This Row],[Order Date]],"MMM")</f>
        <v>Oct</v>
      </c>
      <c r="AA244" s="5">
        <f>Table1[[#This Row],[Unit Price]]*Table1[[#This Row],[Quantity]]*(1-Table1[[#This Row],[Discount %]]/100)</f>
        <v>996.69299999999987</v>
      </c>
      <c r="AB244" s="5">
        <f>Table1[[#This Row],[Sales]]-Table1[[#This Row],[Cost]]</f>
        <v>265.72299999999984</v>
      </c>
    </row>
    <row r="245" spans="1:28" x14ac:dyDescent="0.3">
      <c r="A245" t="s">
        <v>769</v>
      </c>
      <c r="B245" s="1">
        <v>45740</v>
      </c>
      <c r="C245" t="s">
        <v>770</v>
      </c>
      <c r="D245" t="s">
        <v>3027</v>
      </c>
      <c r="E245" s="1">
        <v>45745</v>
      </c>
      <c r="F245" t="s">
        <v>2617</v>
      </c>
      <c r="G245" t="s">
        <v>27</v>
      </c>
      <c r="H245" t="s">
        <v>28</v>
      </c>
      <c r="I245" t="s">
        <v>2619</v>
      </c>
      <c r="J245" t="s">
        <v>2687</v>
      </c>
      <c r="K245" t="s">
        <v>52</v>
      </c>
      <c r="L245">
        <v>20</v>
      </c>
      <c r="M245">
        <v>2</v>
      </c>
      <c r="N245">
        <v>20</v>
      </c>
      <c r="O245" t="s">
        <v>771</v>
      </c>
      <c r="P245" t="s">
        <v>75</v>
      </c>
      <c r="Q245" t="s">
        <v>70</v>
      </c>
      <c r="R245" t="s">
        <v>62</v>
      </c>
      <c r="S245" t="s">
        <v>30</v>
      </c>
      <c r="T245">
        <v>5</v>
      </c>
      <c r="U245" s="5">
        <v>496.38</v>
      </c>
      <c r="V245" s="5">
        <v>604.85</v>
      </c>
      <c r="W245">
        <v>5</v>
      </c>
      <c r="X245" t="s">
        <v>34</v>
      </c>
      <c r="Y245">
        <v>2025</v>
      </c>
      <c r="Z245" t="str">
        <f>TEXT(Table1[[#This Row],[Order Date]],"MMM")</f>
        <v>Mar</v>
      </c>
      <c r="AA245" s="5">
        <f>Table1[[#This Row],[Unit Price]]*Table1[[#This Row],[Quantity]]*(1-Table1[[#This Row],[Discount %]]/100)</f>
        <v>794.20800000000008</v>
      </c>
      <c r="AB245" s="5">
        <f>Table1[[#This Row],[Sales]]-Table1[[#This Row],[Cost]]</f>
        <v>189.35800000000006</v>
      </c>
    </row>
    <row r="246" spans="1:28" x14ac:dyDescent="0.3">
      <c r="A246" t="s">
        <v>772</v>
      </c>
      <c r="B246" s="1">
        <v>45888</v>
      </c>
      <c r="C246" t="s">
        <v>773</v>
      </c>
      <c r="D246" t="s">
        <v>3028</v>
      </c>
      <c r="E246" s="1">
        <v>45892</v>
      </c>
      <c r="F246" t="s">
        <v>128</v>
      </c>
      <c r="G246" t="s">
        <v>98</v>
      </c>
      <c r="H246" t="s">
        <v>127</v>
      </c>
      <c r="I246" t="s">
        <v>2661</v>
      </c>
      <c r="J246" t="s">
        <v>2662</v>
      </c>
      <c r="K246" t="s">
        <v>52</v>
      </c>
      <c r="L246">
        <v>41</v>
      </c>
      <c r="M246">
        <v>5</v>
      </c>
      <c r="N246">
        <v>20</v>
      </c>
      <c r="O246" t="s">
        <v>774</v>
      </c>
      <c r="P246" t="s">
        <v>44</v>
      </c>
      <c r="Q246" t="s">
        <v>70</v>
      </c>
      <c r="R246" t="s">
        <v>32</v>
      </c>
      <c r="S246" t="s">
        <v>129</v>
      </c>
      <c r="T246">
        <v>2</v>
      </c>
      <c r="U246" s="5">
        <v>91.73</v>
      </c>
      <c r="V246" s="5">
        <v>187.61</v>
      </c>
      <c r="W246">
        <v>4</v>
      </c>
      <c r="X246" t="s">
        <v>45</v>
      </c>
      <c r="Y246">
        <v>2025</v>
      </c>
      <c r="Z246" t="str">
        <f>TEXT(Table1[[#This Row],[Order Date]],"MMM")</f>
        <v>Aug</v>
      </c>
      <c r="AA246" s="5">
        <f>Table1[[#This Row],[Unit Price]]*Table1[[#This Row],[Quantity]]*(1-Table1[[#This Row],[Discount %]]/100)</f>
        <v>366.92000000000007</v>
      </c>
      <c r="AB246" s="5">
        <f>Table1[[#This Row],[Sales]]-Table1[[#This Row],[Cost]]</f>
        <v>179.31000000000006</v>
      </c>
    </row>
    <row r="247" spans="1:28" x14ac:dyDescent="0.3">
      <c r="A247" t="s">
        <v>775</v>
      </c>
      <c r="B247" s="1">
        <v>45765</v>
      </c>
      <c r="C247" t="s">
        <v>776</v>
      </c>
      <c r="D247" t="s">
        <v>3029</v>
      </c>
      <c r="E247" s="1">
        <v>45772</v>
      </c>
      <c r="F247" t="s">
        <v>2617</v>
      </c>
      <c r="G247" t="s">
        <v>27</v>
      </c>
      <c r="H247" t="s">
        <v>28</v>
      </c>
      <c r="I247" t="s">
        <v>2659</v>
      </c>
      <c r="J247" t="s">
        <v>2690</v>
      </c>
      <c r="K247" t="s">
        <v>52</v>
      </c>
      <c r="L247">
        <v>26</v>
      </c>
      <c r="M247">
        <v>2</v>
      </c>
      <c r="N247">
        <v>25</v>
      </c>
      <c r="O247" t="s">
        <v>777</v>
      </c>
      <c r="P247" t="s">
        <v>33</v>
      </c>
      <c r="Q247" t="s">
        <v>58</v>
      </c>
      <c r="R247" t="s">
        <v>71</v>
      </c>
      <c r="S247" t="s">
        <v>30</v>
      </c>
      <c r="T247">
        <v>3</v>
      </c>
      <c r="U247" s="5">
        <v>396.15</v>
      </c>
      <c r="V247" s="5">
        <v>484.81</v>
      </c>
      <c r="W247">
        <v>7</v>
      </c>
      <c r="X247" t="s">
        <v>49</v>
      </c>
      <c r="Y247">
        <v>2025</v>
      </c>
      <c r="Z247" t="str">
        <f>TEXT(Table1[[#This Row],[Order Date]],"MMM")</f>
        <v>Apr</v>
      </c>
      <c r="AA247" s="5">
        <f>Table1[[#This Row],[Unit Price]]*Table1[[#This Row],[Quantity]]*(1-Table1[[#This Row],[Discount %]]/100)</f>
        <v>594.22499999999991</v>
      </c>
      <c r="AB247" s="5">
        <f>Table1[[#This Row],[Sales]]-Table1[[#This Row],[Cost]]</f>
        <v>109.41499999999991</v>
      </c>
    </row>
    <row r="248" spans="1:28" x14ac:dyDescent="0.3">
      <c r="A248" t="s">
        <v>778</v>
      </c>
      <c r="B248" s="1">
        <v>45403</v>
      </c>
      <c r="C248" t="s">
        <v>779</v>
      </c>
      <c r="D248" t="s">
        <v>3030</v>
      </c>
      <c r="E248" s="1">
        <v>45404</v>
      </c>
      <c r="F248" t="s">
        <v>56</v>
      </c>
      <c r="G248" t="s">
        <v>54</v>
      </c>
      <c r="H248" t="s">
        <v>55</v>
      </c>
      <c r="I248" t="s">
        <v>2635</v>
      </c>
      <c r="J248" t="s">
        <v>2683</v>
      </c>
      <c r="K248" t="s">
        <v>25</v>
      </c>
      <c r="L248">
        <v>26</v>
      </c>
      <c r="M248">
        <v>5</v>
      </c>
      <c r="N248">
        <v>10</v>
      </c>
      <c r="O248" t="s">
        <v>780</v>
      </c>
      <c r="P248" t="s">
        <v>75</v>
      </c>
      <c r="Q248" t="s">
        <v>70</v>
      </c>
      <c r="R248" t="s">
        <v>32</v>
      </c>
      <c r="S248" t="s">
        <v>57</v>
      </c>
      <c r="T248">
        <v>2</v>
      </c>
      <c r="U248" s="5">
        <v>80.349999999999994</v>
      </c>
      <c r="V248" s="5">
        <v>218.19</v>
      </c>
      <c r="W248">
        <v>1</v>
      </c>
      <c r="X248" t="s">
        <v>49</v>
      </c>
      <c r="Y248">
        <v>2024</v>
      </c>
      <c r="Z248" t="str">
        <f>TEXT(Table1[[#This Row],[Order Date]],"MMM")</f>
        <v>Apr</v>
      </c>
      <c r="AA248" s="5">
        <f>Table1[[#This Row],[Unit Price]]*Table1[[#This Row],[Quantity]]*(1-Table1[[#This Row],[Discount %]]/100)</f>
        <v>361.57499999999999</v>
      </c>
      <c r="AB248" s="5">
        <f>Table1[[#This Row],[Sales]]-Table1[[#This Row],[Cost]]</f>
        <v>143.38499999999999</v>
      </c>
    </row>
    <row r="249" spans="1:28" x14ac:dyDescent="0.3">
      <c r="A249" t="s">
        <v>781</v>
      </c>
      <c r="B249" s="1">
        <v>45922</v>
      </c>
      <c r="C249" t="s">
        <v>782</v>
      </c>
      <c r="D249" t="s">
        <v>3031</v>
      </c>
      <c r="E249" s="1">
        <v>45926</v>
      </c>
      <c r="F249" t="s">
        <v>140</v>
      </c>
      <c r="G249" t="s">
        <v>38</v>
      </c>
      <c r="H249" t="s">
        <v>139</v>
      </c>
      <c r="I249" t="s">
        <v>2630</v>
      </c>
      <c r="J249" t="s">
        <v>2710</v>
      </c>
      <c r="K249" t="s">
        <v>52</v>
      </c>
      <c r="L249">
        <v>63</v>
      </c>
      <c r="M249">
        <v>3</v>
      </c>
      <c r="N249">
        <v>15</v>
      </c>
      <c r="O249" t="s">
        <v>783</v>
      </c>
      <c r="P249" t="s">
        <v>33</v>
      </c>
      <c r="Q249" t="s">
        <v>70</v>
      </c>
      <c r="R249" t="s">
        <v>71</v>
      </c>
      <c r="S249" t="s">
        <v>141</v>
      </c>
      <c r="T249">
        <v>3</v>
      </c>
      <c r="U249" s="5">
        <v>232.83</v>
      </c>
      <c r="V249" s="5">
        <v>318.95999999999998</v>
      </c>
      <c r="W249">
        <v>4</v>
      </c>
      <c r="X249" t="s">
        <v>45</v>
      </c>
      <c r="Y249">
        <v>2025</v>
      </c>
      <c r="Z249" t="str">
        <f>TEXT(Table1[[#This Row],[Order Date]],"MMM")</f>
        <v>Sep</v>
      </c>
      <c r="AA249" s="5">
        <f>Table1[[#This Row],[Unit Price]]*Table1[[#This Row],[Quantity]]*(1-Table1[[#This Row],[Discount %]]/100)</f>
        <v>593.7165</v>
      </c>
      <c r="AB249" s="5">
        <f>Table1[[#This Row],[Sales]]-Table1[[#This Row],[Cost]]</f>
        <v>274.75650000000002</v>
      </c>
    </row>
    <row r="250" spans="1:28" x14ac:dyDescent="0.3">
      <c r="A250" t="s">
        <v>784</v>
      </c>
      <c r="B250" s="1">
        <v>45805</v>
      </c>
      <c r="C250" t="s">
        <v>785</v>
      </c>
      <c r="D250" t="s">
        <v>3032</v>
      </c>
      <c r="E250" s="1">
        <v>45809</v>
      </c>
      <c r="F250" t="s">
        <v>2617</v>
      </c>
      <c r="G250" t="s">
        <v>27</v>
      </c>
      <c r="H250" t="s">
        <v>28</v>
      </c>
      <c r="I250" t="s">
        <v>2659</v>
      </c>
      <c r="J250" t="s">
        <v>2660</v>
      </c>
      <c r="K250" t="s">
        <v>25</v>
      </c>
      <c r="L250">
        <v>18</v>
      </c>
      <c r="M250">
        <v>5</v>
      </c>
      <c r="N250">
        <v>25</v>
      </c>
      <c r="O250" t="s">
        <v>420</v>
      </c>
      <c r="P250" t="s">
        <v>33</v>
      </c>
      <c r="Q250" t="s">
        <v>31</v>
      </c>
      <c r="R250" t="s">
        <v>62</v>
      </c>
      <c r="S250" t="s">
        <v>30</v>
      </c>
      <c r="T250">
        <v>1</v>
      </c>
      <c r="U250" s="5">
        <v>678.32</v>
      </c>
      <c r="V250" s="5">
        <v>1406.77</v>
      </c>
      <c r="W250">
        <v>4</v>
      </c>
      <c r="X250" t="s">
        <v>49</v>
      </c>
      <c r="Y250">
        <v>2025</v>
      </c>
      <c r="Z250" t="str">
        <f>TEXT(Table1[[#This Row],[Order Date]],"MMM")</f>
        <v>May</v>
      </c>
      <c r="AA250" s="5">
        <f>Table1[[#This Row],[Unit Price]]*Table1[[#This Row],[Quantity]]*(1-Table1[[#This Row],[Discount %]]/100)</f>
        <v>2543.7000000000003</v>
      </c>
      <c r="AB250" s="5">
        <f>Table1[[#This Row],[Sales]]-Table1[[#This Row],[Cost]]</f>
        <v>1136.9300000000003</v>
      </c>
    </row>
    <row r="251" spans="1:28" x14ac:dyDescent="0.3">
      <c r="A251" t="s">
        <v>786</v>
      </c>
      <c r="B251" s="1">
        <v>45960</v>
      </c>
      <c r="C251" t="s">
        <v>787</v>
      </c>
      <c r="D251" t="s">
        <v>3033</v>
      </c>
      <c r="E251" s="1">
        <v>45961</v>
      </c>
      <c r="F251" t="s">
        <v>100</v>
      </c>
      <c r="G251" t="s">
        <v>98</v>
      </c>
      <c r="H251" t="s">
        <v>99</v>
      </c>
      <c r="I251" t="s">
        <v>2629</v>
      </c>
      <c r="J251" t="s">
        <v>2632</v>
      </c>
      <c r="K251" t="s">
        <v>25</v>
      </c>
      <c r="L251">
        <v>48</v>
      </c>
      <c r="M251">
        <v>1</v>
      </c>
      <c r="N251">
        <v>10</v>
      </c>
      <c r="O251" t="s">
        <v>788</v>
      </c>
      <c r="P251" t="s">
        <v>33</v>
      </c>
      <c r="Q251" t="s">
        <v>31</v>
      </c>
      <c r="R251" t="s">
        <v>62</v>
      </c>
      <c r="S251" t="s">
        <v>101</v>
      </c>
      <c r="T251">
        <v>4</v>
      </c>
      <c r="U251" s="5">
        <v>830.44</v>
      </c>
      <c r="V251" s="5">
        <v>503.32</v>
      </c>
      <c r="W251">
        <v>1</v>
      </c>
      <c r="X251" t="s">
        <v>94</v>
      </c>
      <c r="Y251">
        <v>2025</v>
      </c>
      <c r="Z251" t="str">
        <f>TEXT(Table1[[#This Row],[Order Date]],"MMM")</f>
        <v>Oct</v>
      </c>
      <c r="AA251" s="5">
        <f>Table1[[#This Row],[Unit Price]]*Table1[[#This Row],[Quantity]]*(1-Table1[[#This Row],[Discount %]]/100)</f>
        <v>747.39600000000007</v>
      </c>
      <c r="AB251" s="5">
        <f>Table1[[#This Row],[Sales]]-Table1[[#This Row],[Cost]]</f>
        <v>244.07600000000008</v>
      </c>
    </row>
    <row r="252" spans="1:28" x14ac:dyDescent="0.3">
      <c r="A252" t="s">
        <v>789</v>
      </c>
      <c r="B252" s="1">
        <v>46054</v>
      </c>
      <c r="C252" t="s">
        <v>790</v>
      </c>
      <c r="D252" t="s">
        <v>3034</v>
      </c>
      <c r="E252" s="1">
        <v>46058</v>
      </c>
      <c r="F252" t="s">
        <v>2617</v>
      </c>
      <c r="G252" t="s">
        <v>27</v>
      </c>
      <c r="H252" t="s">
        <v>28</v>
      </c>
      <c r="I252" t="s">
        <v>2659</v>
      </c>
      <c r="J252" t="s">
        <v>2690</v>
      </c>
      <c r="K252" t="s">
        <v>52</v>
      </c>
      <c r="L252">
        <v>40</v>
      </c>
      <c r="M252">
        <v>5</v>
      </c>
      <c r="N252">
        <v>15</v>
      </c>
      <c r="O252" t="s">
        <v>791</v>
      </c>
      <c r="P252" t="s">
        <v>75</v>
      </c>
      <c r="Q252" t="s">
        <v>70</v>
      </c>
      <c r="R252" t="s">
        <v>62</v>
      </c>
      <c r="S252" t="s">
        <v>30</v>
      </c>
      <c r="T252">
        <v>1</v>
      </c>
      <c r="U252" s="5">
        <v>33.950000000000003</v>
      </c>
      <c r="V252" s="5">
        <v>116.75</v>
      </c>
      <c r="W252">
        <v>4</v>
      </c>
      <c r="X252" t="s">
        <v>34</v>
      </c>
      <c r="Y252">
        <v>2026</v>
      </c>
      <c r="Z252" t="str">
        <f>TEXT(Table1[[#This Row],[Order Date]],"MMM")</f>
        <v>Feb</v>
      </c>
      <c r="AA252" s="5">
        <f>Table1[[#This Row],[Unit Price]]*Table1[[#This Row],[Quantity]]*(1-Table1[[#This Row],[Discount %]]/100)</f>
        <v>144.28749999999999</v>
      </c>
      <c r="AB252" s="5">
        <f>Table1[[#This Row],[Sales]]-Table1[[#This Row],[Cost]]</f>
        <v>27.537499999999994</v>
      </c>
    </row>
    <row r="253" spans="1:28" x14ac:dyDescent="0.3">
      <c r="A253" t="s">
        <v>792</v>
      </c>
      <c r="B253" s="1">
        <v>45350</v>
      </c>
      <c r="C253" t="s">
        <v>793</v>
      </c>
      <c r="D253" t="s">
        <v>3035</v>
      </c>
      <c r="E253" s="1">
        <v>45354</v>
      </c>
      <c r="F253" t="s">
        <v>122</v>
      </c>
      <c r="G253" t="s">
        <v>120</v>
      </c>
      <c r="H253" t="s">
        <v>121</v>
      </c>
      <c r="I253" t="s">
        <v>2643</v>
      </c>
      <c r="J253" t="s">
        <v>2717</v>
      </c>
      <c r="K253" t="s">
        <v>52</v>
      </c>
      <c r="L253">
        <v>30</v>
      </c>
      <c r="M253">
        <v>1</v>
      </c>
      <c r="N253">
        <v>15</v>
      </c>
      <c r="O253" t="s">
        <v>794</v>
      </c>
      <c r="P253" t="s">
        <v>33</v>
      </c>
      <c r="Q253" t="s">
        <v>42</v>
      </c>
      <c r="R253" t="s">
        <v>62</v>
      </c>
      <c r="S253" t="s">
        <v>123</v>
      </c>
      <c r="T253">
        <v>3</v>
      </c>
      <c r="U253" s="5">
        <v>244.81</v>
      </c>
      <c r="V253" s="5">
        <v>115.95</v>
      </c>
      <c r="W253">
        <v>4</v>
      </c>
      <c r="X253" t="s">
        <v>34</v>
      </c>
      <c r="Y253">
        <v>2024</v>
      </c>
      <c r="Z253" t="str">
        <f>TEXT(Table1[[#This Row],[Order Date]],"MMM")</f>
        <v>Feb</v>
      </c>
      <c r="AA253" s="5">
        <f>Table1[[#This Row],[Unit Price]]*Table1[[#This Row],[Quantity]]*(1-Table1[[#This Row],[Discount %]]/100)</f>
        <v>208.08850000000001</v>
      </c>
      <c r="AB253" s="5">
        <f>Table1[[#This Row],[Sales]]-Table1[[#This Row],[Cost]]</f>
        <v>92.138500000000008</v>
      </c>
    </row>
    <row r="254" spans="1:28" x14ac:dyDescent="0.3">
      <c r="A254" t="s">
        <v>795</v>
      </c>
      <c r="B254" s="1">
        <v>45803</v>
      </c>
      <c r="C254" t="s">
        <v>796</v>
      </c>
      <c r="D254" t="s">
        <v>3036</v>
      </c>
      <c r="E254" s="1">
        <v>45805</v>
      </c>
      <c r="F254" t="s">
        <v>128</v>
      </c>
      <c r="G254" t="s">
        <v>98</v>
      </c>
      <c r="H254" t="s">
        <v>127</v>
      </c>
      <c r="I254" t="s">
        <v>2635</v>
      </c>
      <c r="J254" t="s">
        <v>2683</v>
      </c>
      <c r="K254" t="s">
        <v>52</v>
      </c>
      <c r="L254">
        <v>20</v>
      </c>
      <c r="M254">
        <v>5</v>
      </c>
      <c r="N254">
        <v>15</v>
      </c>
      <c r="O254" t="s">
        <v>797</v>
      </c>
      <c r="P254" t="s">
        <v>75</v>
      </c>
      <c r="Q254" t="s">
        <v>70</v>
      </c>
      <c r="R254" t="s">
        <v>62</v>
      </c>
      <c r="S254" t="s">
        <v>129</v>
      </c>
      <c r="T254">
        <v>5</v>
      </c>
      <c r="U254" s="5">
        <v>709.14</v>
      </c>
      <c r="V254" s="5">
        <v>2007.27</v>
      </c>
      <c r="W254">
        <v>2</v>
      </c>
      <c r="X254" t="s">
        <v>49</v>
      </c>
      <c r="Y254">
        <v>2025</v>
      </c>
      <c r="Z254" t="str">
        <f>TEXT(Table1[[#This Row],[Order Date]],"MMM")</f>
        <v>May</v>
      </c>
      <c r="AA254" s="5">
        <f>Table1[[#This Row],[Unit Price]]*Table1[[#This Row],[Quantity]]*(1-Table1[[#This Row],[Discount %]]/100)</f>
        <v>3013.8449999999998</v>
      </c>
      <c r="AB254" s="5">
        <f>Table1[[#This Row],[Sales]]-Table1[[#This Row],[Cost]]</f>
        <v>1006.5749999999998</v>
      </c>
    </row>
    <row r="255" spans="1:28" x14ac:dyDescent="0.3">
      <c r="A255" t="s">
        <v>798</v>
      </c>
      <c r="B255" s="1">
        <v>45722</v>
      </c>
      <c r="C255" t="s">
        <v>799</v>
      </c>
      <c r="D255" t="s">
        <v>3037</v>
      </c>
      <c r="E255" s="1">
        <v>45726</v>
      </c>
      <c r="F255" t="s">
        <v>2617</v>
      </c>
      <c r="G255" t="s">
        <v>27</v>
      </c>
      <c r="H255" t="s">
        <v>28</v>
      </c>
      <c r="I255" t="s">
        <v>2619</v>
      </c>
      <c r="J255" t="s">
        <v>2697</v>
      </c>
      <c r="K255" t="s">
        <v>25</v>
      </c>
      <c r="L255">
        <v>31</v>
      </c>
      <c r="M255">
        <v>1</v>
      </c>
      <c r="N255">
        <v>15</v>
      </c>
      <c r="O255" t="s">
        <v>794</v>
      </c>
      <c r="P255" t="s">
        <v>33</v>
      </c>
      <c r="Q255" t="s">
        <v>42</v>
      </c>
      <c r="R255" t="s">
        <v>62</v>
      </c>
      <c r="S255" t="s">
        <v>30</v>
      </c>
      <c r="T255">
        <v>4</v>
      </c>
      <c r="U255" s="5">
        <v>486.37</v>
      </c>
      <c r="V255" s="5">
        <v>287.72000000000003</v>
      </c>
      <c r="W255">
        <v>4</v>
      </c>
      <c r="X255" t="s">
        <v>34</v>
      </c>
      <c r="Y255">
        <v>2025</v>
      </c>
      <c r="Z255" t="str">
        <f>TEXT(Table1[[#This Row],[Order Date]],"MMM")</f>
        <v>Mar</v>
      </c>
      <c r="AA255" s="5">
        <f>Table1[[#This Row],[Unit Price]]*Table1[[#This Row],[Quantity]]*(1-Table1[[#This Row],[Discount %]]/100)</f>
        <v>413.41449999999998</v>
      </c>
      <c r="AB255" s="5">
        <f>Table1[[#This Row],[Sales]]-Table1[[#This Row],[Cost]]</f>
        <v>125.69449999999995</v>
      </c>
    </row>
    <row r="256" spans="1:28" x14ac:dyDescent="0.3">
      <c r="A256" t="s">
        <v>800</v>
      </c>
      <c r="B256" s="1">
        <v>45960</v>
      </c>
      <c r="C256" t="s">
        <v>801</v>
      </c>
      <c r="D256" t="s">
        <v>3038</v>
      </c>
      <c r="E256" s="1">
        <v>45962</v>
      </c>
      <c r="F256" t="s">
        <v>40</v>
      </c>
      <c r="G256" t="s">
        <v>38</v>
      </c>
      <c r="H256" t="s">
        <v>39</v>
      </c>
      <c r="I256" t="s">
        <v>2635</v>
      </c>
      <c r="J256" t="s">
        <v>2683</v>
      </c>
      <c r="K256" t="s">
        <v>52</v>
      </c>
      <c r="L256">
        <v>63</v>
      </c>
      <c r="M256">
        <v>3</v>
      </c>
      <c r="N256">
        <v>25</v>
      </c>
      <c r="O256" t="s">
        <v>802</v>
      </c>
      <c r="P256" t="s">
        <v>33</v>
      </c>
      <c r="Q256" t="s">
        <v>70</v>
      </c>
      <c r="R256" t="s">
        <v>32</v>
      </c>
      <c r="S256" t="s">
        <v>41</v>
      </c>
      <c r="T256">
        <v>2</v>
      </c>
      <c r="U256" s="5">
        <v>581.73</v>
      </c>
      <c r="V256" s="5">
        <v>957.32</v>
      </c>
      <c r="W256">
        <v>2</v>
      </c>
      <c r="X256" t="s">
        <v>94</v>
      </c>
      <c r="Y256">
        <v>2025</v>
      </c>
      <c r="Z256" t="str">
        <f>TEXT(Table1[[#This Row],[Order Date]],"MMM")</f>
        <v>Oct</v>
      </c>
      <c r="AA256" s="5">
        <f>Table1[[#This Row],[Unit Price]]*Table1[[#This Row],[Quantity]]*(1-Table1[[#This Row],[Discount %]]/100)</f>
        <v>1308.8924999999999</v>
      </c>
      <c r="AB256" s="5">
        <f>Table1[[#This Row],[Sales]]-Table1[[#This Row],[Cost]]</f>
        <v>351.57249999999988</v>
      </c>
    </row>
    <row r="257" spans="1:28" x14ac:dyDescent="0.3">
      <c r="A257" t="s">
        <v>803</v>
      </c>
      <c r="B257" s="1">
        <v>45821</v>
      </c>
      <c r="C257" t="s">
        <v>804</v>
      </c>
      <c r="D257" t="s">
        <v>3039</v>
      </c>
      <c r="E257" s="1">
        <v>45828</v>
      </c>
      <c r="F257" t="s">
        <v>122</v>
      </c>
      <c r="G257" t="s">
        <v>120</v>
      </c>
      <c r="H257" t="s">
        <v>121</v>
      </c>
      <c r="I257" t="s">
        <v>2661</v>
      </c>
      <c r="J257" t="s">
        <v>2689</v>
      </c>
      <c r="K257" t="s">
        <v>25</v>
      </c>
      <c r="L257">
        <v>51</v>
      </c>
      <c r="M257">
        <v>1</v>
      </c>
      <c r="N257">
        <v>5</v>
      </c>
      <c r="O257" t="s">
        <v>805</v>
      </c>
      <c r="P257" t="s">
        <v>33</v>
      </c>
      <c r="Q257" t="s">
        <v>70</v>
      </c>
      <c r="R257" t="s">
        <v>62</v>
      </c>
      <c r="S257" t="s">
        <v>123</v>
      </c>
      <c r="T257">
        <v>2</v>
      </c>
      <c r="U257" s="5">
        <v>73.38</v>
      </c>
      <c r="V257" s="5">
        <v>51.73</v>
      </c>
      <c r="W257">
        <v>7</v>
      </c>
      <c r="X257" t="s">
        <v>49</v>
      </c>
      <c r="Y257">
        <v>2025</v>
      </c>
      <c r="Z257" t="str">
        <f>TEXT(Table1[[#This Row],[Order Date]],"MMM")</f>
        <v>Jun</v>
      </c>
      <c r="AA257" s="5">
        <f>Table1[[#This Row],[Unit Price]]*Table1[[#This Row],[Quantity]]*(1-Table1[[#This Row],[Discount %]]/100)</f>
        <v>69.710999999999999</v>
      </c>
      <c r="AB257" s="5">
        <f>Table1[[#This Row],[Sales]]-Table1[[#This Row],[Cost]]</f>
        <v>17.981000000000002</v>
      </c>
    </row>
    <row r="258" spans="1:28" x14ac:dyDescent="0.3">
      <c r="A258" t="s">
        <v>806</v>
      </c>
      <c r="B258" s="1">
        <v>45549</v>
      </c>
      <c r="C258" t="s">
        <v>807</v>
      </c>
      <c r="D258" t="s">
        <v>3040</v>
      </c>
      <c r="E258" s="1">
        <v>45551</v>
      </c>
      <c r="F258" t="s">
        <v>140</v>
      </c>
      <c r="G258" t="s">
        <v>38</v>
      </c>
      <c r="H258" t="s">
        <v>139</v>
      </c>
      <c r="I258" t="s">
        <v>2619</v>
      </c>
      <c r="J258" t="s">
        <v>2620</v>
      </c>
      <c r="K258" t="s">
        <v>25</v>
      </c>
      <c r="L258">
        <v>19</v>
      </c>
      <c r="M258">
        <v>2</v>
      </c>
      <c r="N258">
        <v>25</v>
      </c>
      <c r="O258" t="s">
        <v>808</v>
      </c>
      <c r="P258" t="s">
        <v>33</v>
      </c>
      <c r="Q258" t="s">
        <v>70</v>
      </c>
      <c r="R258" t="s">
        <v>32</v>
      </c>
      <c r="S258" t="s">
        <v>141</v>
      </c>
      <c r="T258">
        <v>4</v>
      </c>
      <c r="U258" s="5">
        <v>859.91</v>
      </c>
      <c r="V258" s="5">
        <v>794.29</v>
      </c>
      <c r="W258">
        <v>2</v>
      </c>
      <c r="X258" t="s">
        <v>45</v>
      </c>
      <c r="Y258">
        <v>2024</v>
      </c>
      <c r="Z258" t="str">
        <f>TEXT(Table1[[#This Row],[Order Date]],"MMM")</f>
        <v>Sep</v>
      </c>
      <c r="AA258" s="5">
        <f>Table1[[#This Row],[Unit Price]]*Table1[[#This Row],[Quantity]]*(1-Table1[[#This Row],[Discount %]]/100)</f>
        <v>1289.865</v>
      </c>
      <c r="AB258" s="5">
        <f>Table1[[#This Row],[Sales]]-Table1[[#This Row],[Cost]]</f>
        <v>495.57500000000005</v>
      </c>
    </row>
    <row r="259" spans="1:28" x14ac:dyDescent="0.3">
      <c r="A259" t="s">
        <v>809</v>
      </c>
      <c r="B259" s="1">
        <v>45753</v>
      </c>
      <c r="C259" t="s">
        <v>810</v>
      </c>
      <c r="D259" t="s">
        <v>3041</v>
      </c>
      <c r="E259" s="1">
        <v>45759</v>
      </c>
      <c r="F259" t="s">
        <v>56</v>
      </c>
      <c r="G259" t="s">
        <v>54</v>
      </c>
      <c r="H259" t="s">
        <v>55</v>
      </c>
      <c r="I259" t="s">
        <v>2655</v>
      </c>
      <c r="J259" t="s">
        <v>2656</v>
      </c>
      <c r="K259" t="s">
        <v>52</v>
      </c>
      <c r="L259">
        <v>64</v>
      </c>
      <c r="M259">
        <v>3</v>
      </c>
      <c r="N259">
        <v>15</v>
      </c>
      <c r="O259" t="s">
        <v>739</v>
      </c>
      <c r="P259" t="s">
        <v>33</v>
      </c>
      <c r="Q259" t="s">
        <v>31</v>
      </c>
      <c r="R259" t="s">
        <v>32</v>
      </c>
      <c r="S259" t="s">
        <v>57</v>
      </c>
      <c r="T259">
        <v>4</v>
      </c>
      <c r="U259" s="5">
        <v>860.37</v>
      </c>
      <c r="V259" s="5">
        <v>1537.83</v>
      </c>
      <c r="W259">
        <v>6</v>
      </c>
      <c r="X259" t="s">
        <v>49</v>
      </c>
      <c r="Y259">
        <v>2025</v>
      </c>
      <c r="Z259" t="str">
        <f>TEXT(Table1[[#This Row],[Order Date]],"MMM")</f>
        <v>Apr</v>
      </c>
      <c r="AA259" s="5">
        <f>Table1[[#This Row],[Unit Price]]*Table1[[#This Row],[Quantity]]*(1-Table1[[#This Row],[Discount %]]/100)</f>
        <v>2193.9434999999999</v>
      </c>
      <c r="AB259" s="5">
        <f>Table1[[#This Row],[Sales]]-Table1[[#This Row],[Cost]]</f>
        <v>656.11349999999993</v>
      </c>
    </row>
    <row r="260" spans="1:28" x14ac:dyDescent="0.3">
      <c r="A260" t="s">
        <v>811</v>
      </c>
      <c r="B260" s="1">
        <v>45538</v>
      </c>
      <c r="C260" t="s">
        <v>812</v>
      </c>
      <c r="D260" t="s">
        <v>3042</v>
      </c>
      <c r="E260" s="1">
        <v>45541</v>
      </c>
      <c r="F260" t="s">
        <v>68</v>
      </c>
      <c r="G260" t="s">
        <v>66</v>
      </c>
      <c r="H260" t="s">
        <v>67</v>
      </c>
      <c r="I260" t="s">
        <v>2631</v>
      </c>
      <c r="J260" t="s">
        <v>2716</v>
      </c>
      <c r="K260" t="s">
        <v>52</v>
      </c>
      <c r="L260">
        <v>32</v>
      </c>
      <c r="M260">
        <v>2</v>
      </c>
      <c r="N260">
        <v>20</v>
      </c>
      <c r="O260" t="s">
        <v>802</v>
      </c>
      <c r="P260" t="s">
        <v>33</v>
      </c>
      <c r="Q260" t="s">
        <v>117</v>
      </c>
      <c r="R260" t="s">
        <v>62</v>
      </c>
      <c r="S260" t="s">
        <v>69</v>
      </c>
      <c r="T260">
        <v>4</v>
      </c>
      <c r="U260" s="5">
        <v>782.03</v>
      </c>
      <c r="V260" s="5">
        <v>698.27</v>
      </c>
      <c r="W260">
        <v>3</v>
      </c>
      <c r="X260" t="s">
        <v>45</v>
      </c>
      <c r="Y260">
        <v>2024</v>
      </c>
      <c r="Z260" t="str">
        <f>TEXT(Table1[[#This Row],[Order Date]],"MMM")</f>
        <v>Sep</v>
      </c>
      <c r="AA260" s="5">
        <f>Table1[[#This Row],[Unit Price]]*Table1[[#This Row],[Quantity]]*(1-Table1[[#This Row],[Discount %]]/100)</f>
        <v>1251.248</v>
      </c>
      <c r="AB260" s="5">
        <f>Table1[[#This Row],[Sales]]-Table1[[#This Row],[Cost]]</f>
        <v>552.97800000000007</v>
      </c>
    </row>
    <row r="261" spans="1:28" x14ac:dyDescent="0.3">
      <c r="A261" t="s">
        <v>813</v>
      </c>
      <c r="B261" s="1">
        <v>45847</v>
      </c>
      <c r="C261" t="s">
        <v>814</v>
      </c>
      <c r="D261" t="s">
        <v>3043</v>
      </c>
      <c r="E261" s="1">
        <v>45854</v>
      </c>
      <c r="F261" t="s">
        <v>100</v>
      </c>
      <c r="G261" t="s">
        <v>98</v>
      </c>
      <c r="H261" t="s">
        <v>99</v>
      </c>
      <c r="I261" t="s">
        <v>2637</v>
      </c>
      <c r="J261" t="s">
        <v>2709</v>
      </c>
      <c r="K261" t="s">
        <v>52</v>
      </c>
      <c r="L261">
        <v>58</v>
      </c>
      <c r="M261">
        <v>1</v>
      </c>
      <c r="N261">
        <v>25</v>
      </c>
      <c r="O261" t="s">
        <v>815</v>
      </c>
      <c r="P261" t="s">
        <v>44</v>
      </c>
      <c r="Q261" t="s">
        <v>58</v>
      </c>
      <c r="R261" t="s">
        <v>62</v>
      </c>
      <c r="S261" t="s">
        <v>101</v>
      </c>
      <c r="T261">
        <v>5</v>
      </c>
      <c r="U261" s="5">
        <v>939.22</v>
      </c>
      <c r="V261" s="5">
        <v>444.68</v>
      </c>
      <c r="W261">
        <v>7</v>
      </c>
      <c r="X261" t="s">
        <v>45</v>
      </c>
      <c r="Y261">
        <v>2025</v>
      </c>
      <c r="Z261" t="str">
        <f>TEXT(Table1[[#This Row],[Order Date]],"MMM")</f>
        <v>Jul</v>
      </c>
      <c r="AA261" s="5">
        <f>Table1[[#This Row],[Unit Price]]*Table1[[#This Row],[Quantity]]*(1-Table1[[#This Row],[Discount %]]/100)</f>
        <v>704.41499999999996</v>
      </c>
      <c r="AB261" s="5">
        <f>Table1[[#This Row],[Sales]]-Table1[[#This Row],[Cost]]</f>
        <v>259.73499999999996</v>
      </c>
    </row>
    <row r="262" spans="1:28" x14ac:dyDescent="0.3">
      <c r="A262" t="s">
        <v>816</v>
      </c>
      <c r="B262" s="1">
        <v>45526</v>
      </c>
      <c r="C262" t="s">
        <v>817</v>
      </c>
      <c r="D262" t="s">
        <v>3044</v>
      </c>
      <c r="E262" s="1">
        <v>45527</v>
      </c>
      <c r="F262" t="s">
        <v>122</v>
      </c>
      <c r="G262" t="s">
        <v>120</v>
      </c>
      <c r="H262" t="s">
        <v>121</v>
      </c>
      <c r="I262" t="s">
        <v>2628</v>
      </c>
      <c r="J262" t="s">
        <v>2641</v>
      </c>
      <c r="K262" t="s">
        <v>52</v>
      </c>
      <c r="L262">
        <v>60</v>
      </c>
      <c r="M262">
        <v>3</v>
      </c>
      <c r="N262">
        <v>25</v>
      </c>
      <c r="O262" t="s">
        <v>818</v>
      </c>
      <c r="P262" t="s">
        <v>75</v>
      </c>
      <c r="Q262" t="s">
        <v>58</v>
      </c>
      <c r="R262" t="s">
        <v>43</v>
      </c>
      <c r="S262" t="s">
        <v>123</v>
      </c>
      <c r="T262">
        <v>1</v>
      </c>
      <c r="U262" s="5">
        <v>734.03</v>
      </c>
      <c r="V262" s="5">
        <v>883.63</v>
      </c>
      <c r="W262">
        <v>1</v>
      </c>
      <c r="X262" t="s">
        <v>45</v>
      </c>
      <c r="Y262">
        <v>2024</v>
      </c>
      <c r="Z262" t="str">
        <f>TEXT(Table1[[#This Row],[Order Date]],"MMM")</f>
        <v>Aug</v>
      </c>
      <c r="AA262" s="5">
        <f>Table1[[#This Row],[Unit Price]]*Table1[[#This Row],[Quantity]]*(1-Table1[[#This Row],[Discount %]]/100)</f>
        <v>1651.5675000000001</v>
      </c>
      <c r="AB262" s="5">
        <f>Table1[[#This Row],[Sales]]-Table1[[#This Row],[Cost]]</f>
        <v>767.93750000000011</v>
      </c>
    </row>
    <row r="263" spans="1:28" x14ac:dyDescent="0.3">
      <c r="A263" t="s">
        <v>819</v>
      </c>
      <c r="B263" s="1">
        <v>45518</v>
      </c>
      <c r="C263" t="s">
        <v>820</v>
      </c>
      <c r="D263" t="s">
        <v>3045</v>
      </c>
      <c r="E263" s="1">
        <v>45524</v>
      </c>
      <c r="F263" t="s">
        <v>2617</v>
      </c>
      <c r="G263" t="s">
        <v>27</v>
      </c>
      <c r="H263" t="s">
        <v>28</v>
      </c>
      <c r="I263" t="s">
        <v>2668</v>
      </c>
      <c r="J263" t="s">
        <v>2712</v>
      </c>
      <c r="K263" t="s">
        <v>25</v>
      </c>
      <c r="L263">
        <v>34</v>
      </c>
      <c r="M263">
        <v>4</v>
      </c>
      <c r="N263">
        <v>25</v>
      </c>
      <c r="O263" t="s">
        <v>821</v>
      </c>
      <c r="P263" t="s">
        <v>44</v>
      </c>
      <c r="Q263" t="s">
        <v>58</v>
      </c>
      <c r="R263" t="s">
        <v>62</v>
      </c>
      <c r="S263" t="s">
        <v>30</v>
      </c>
      <c r="T263">
        <v>4</v>
      </c>
      <c r="U263" s="5">
        <v>266.98</v>
      </c>
      <c r="V263" s="5">
        <v>503.15</v>
      </c>
      <c r="W263">
        <v>6</v>
      </c>
      <c r="X263" t="s">
        <v>45</v>
      </c>
      <c r="Y263">
        <v>2024</v>
      </c>
      <c r="Z263" t="str">
        <f>TEXT(Table1[[#This Row],[Order Date]],"MMM")</f>
        <v>Aug</v>
      </c>
      <c r="AA263" s="5">
        <f>Table1[[#This Row],[Unit Price]]*Table1[[#This Row],[Quantity]]*(1-Table1[[#This Row],[Discount %]]/100)</f>
        <v>800.94</v>
      </c>
      <c r="AB263" s="5">
        <f>Table1[[#This Row],[Sales]]-Table1[[#This Row],[Cost]]</f>
        <v>297.79000000000008</v>
      </c>
    </row>
    <row r="264" spans="1:28" x14ac:dyDescent="0.3">
      <c r="A264" t="s">
        <v>822</v>
      </c>
      <c r="B264" s="1">
        <v>45901</v>
      </c>
      <c r="C264" t="s">
        <v>823</v>
      </c>
      <c r="D264" t="s">
        <v>3046</v>
      </c>
      <c r="E264" s="1">
        <v>45908</v>
      </c>
      <c r="F264" t="s">
        <v>100</v>
      </c>
      <c r="G264" t="s">
        <v>98</v>
      </c>
      <c r="H264" t="s">
        <v>99</v>
      </c>
      <c r="I264" t="s">
        <v>2659</v>
      </c>
      <c r="J264" t="s">
        <v>2666</v>
      </c>
      <c r="K264" t="s">
        <v>52</v>
      </c>
      <c r="L264">
        <v>49</v>
      </c>
      <c r="M264">
        <v>3</v>
      </c>
      <c r="N264">
        <v>30</v>
      </c>
      <c r="O264" t="s">
        <v>824</v>
      </c>
      <c r="P264" t="s">
        <v>75</v>
      </c>
      <c r="Q264" t="s">
        <v>42</v>
      </c>
      <c r="R264" t="s">
        <v>71</v>
      </c>
      <c r="S264" t="s">
        <v>101</v>
      </c>
      <c r="T264">
        <v>3</v>
      </c>
      <c r="U264" s="5">
        <v>18.559999999999999</v>
      </c>
      <c r="V264" s="5">
        <v>21.89</v>
      </c>
      <c r="W264">
        <v>7</v>
      </c>
      <c r="X264" t="s">
        <v>45</v>
      </c>
      <c r="Y264">
        <v>2025</v>
      </c>
      <c r="Z264" t="str">
        <f>TEXT(Table1[[#This Row],[Order Date]],"MMM")</f>
        <v>Sep</v>
      </c>
      <c r="AA264" s="5">
        <f>Table1[[#This Row],[Unit Price]]*Table1[[#This Row],[Quantity]]*(1-Table1[[#This Row],[Discount %]]/100)</f>
        <v>38.975999999999992</v>
      </c>
      <c r="AB264" s="5">
        <f>Table1[[#This Row],[Sales]]-Table1[[#This Row],[Cost]]</f>
        <v>17.085999999999991</v>
      </c>
    </row>
    <row r="265" spans="1:28" x14ac:dyDescent="0.3">
      <c r="A265" t="s">
        <v>825</v>
      </c>
      <c r="B265" s="1">
        <v>45617</v>
      </c>
      <c r="C265" t="s">
        <v>826</v>
      </c>
      <c r="D265" t="s">
        <v>3047</v>
      </c>
      <c r="E265" s="1">
        <v>45621</v>
      </c>
      <c r="F265" t="s">
        <v>56</v>
      </c>
      <c r="G265" t="s">
        <v>54</v>
      </c>
      <c r="H265" t="s">
        <v>55</v>
      </c>
      <c r="I265" t="s">
        <v>2664</v>
      </c>
      <c r="J265" t="s">
        <v>2704</v>
      </c>
      <c r="K265" t="s">
        <v>52</v>
      </c>
      <c r="L265">
        <v>35</v>
      </c>
      <c r="M265">
        <v>4</v>
      </c>
      <c r="N265">
        <v>0</v>
      </c>
      <c r="O265" t="s">
        <v>291</v>
      </c>
      <c r="P265" t="s">
        <v>75</v>
      </c>
      <c r="Q265" t="s">
        <v>70</v>
      </c>
      <c r="R265" t="s">
        <v>43</v>
      </c>
      <c r="S265" t="s">
        <v>57</v>
      </c>
      <c r="T265">
        <v>3</v>
      </c>
      <c r="U265" s="5">
        <v>540.28</v>
      </c>
      <c r="V265" s="5">
        <v>1427.02</v>
      </c>
      <c r="W265">
        <v>4</v>
      </c>
      <c r="X265" t="s">
        <v>94</v>
      </c>
      <c r="Y265">
        <v>2024</v>
      </c>
      <c r="Z265" t="str">
        <f>TEXT(Table1[[#This Row],[Order Date]],"MMM")</f>
        <v>Nov</v>
      </c>
      <c r="AA265" s="5">
        <f>Table1[[#This Row],[Unit Price]]*Table1[[#This Row],[Quantity]]*(1-Table1[[#This Row],[Discount %]]/100)</f>
        <v>2161.12</v>
      </c>
      <c r="AB265" s="5">
        <f>Table1[[#This Row],[Sales]]-Table1[[#This Row],[Cost]]</f>
        <v>734.09999999999991</v>
      </c>
    </row>
    <row r="266" spans="1:28" x14ac:dyDescent="0.3">
      <c r="A266" t="s">
        <v>827</v>
      </c>
      <c r="B266" s="1">
        <v>46174</v>
      </c>
      <c r="C266" t="s">
        <v>828</v>
      </c>
      <c r="D266" t="s">
        <v>3048</v>
      </c>
      <c r="E266" s="1">
        <v>46176</v>
      </c>
      <c r="F266" t="s">
        <v>122</v>
      </c>
      <c r="G266" t="s">
        <v>120</v>
      </c>
      <c r="H266" t="s">
        <v>121</v>
      </c>
      <c r="I266" t="s">
        <v>2625</v>
      </c>
      <c r="J266" t="s">
        <v>2693</v>
      </c>
      <c r="K266" t="s">
        <v>25</v>
      </c>
      <c r="L266">
        <v>44</v>
      </c>
      <c r="M266">
        <v>4</v>
      </c>
      <c r="N266">
        <v>25</v>
      </c>
      <c r="O266" t="s">
        <v>829</v>
      </c>
      <c r="P266" t="s">
        <v>44</v>
      </c>
      <c r="Q266" t="s">
        <v>117</v>
      </c>
      <c r="R266" t="s">
        <v>62</v>
      </c>
      <c r="S266" t="s">
        <v>123</v>
      </c>
      <c r="T266">
        <v>4</v>
      </c>
      <c r="U266" s="5">
        <v>541.87</v>
      </c>
      <c r="V266" s="5">
        <v>974.66</v>
      </c>
      <c r="W266">
        <v>2</v>
      </c>
      <c r="X266" t="s">
        <v>49</v>
      </c>
      <c r="Y266">
        <v>2026</v>
      </c>
      <c r="Z266" t="str">
        <f>TEXT(Table1[[#This Row],[Order Date]],"MMM")</f>
        <v>Jun</v>
      </c>
      <c r="AA266" s="5">
        <f>Table1[[#This Row],[Unit Price]]*Table1[[#This Row],[Quantity]]*(1-Table1[[#This Row],[Discount %]]/100)</f>
        <v>1625.6100000000001</v>
      </c>
      <c r="AB266" s="5">
        <f>Table1[[#This Row],[Sales]]-Table1[[#This Row],[Cost]]</f>
        <v>650.95000000000016</v>
      </c>
    </row>
    <row r="267" spans="1:28" x14ac:dyDescent="0.3">
      <c r="A267" t="s">
        <v>830</v>
      </c>
      <c r="B267" s="1">
        <v>45885</v>
      </c>
      <c r="C267" t="s">
        <v>831</v>
      </c>
      <c r="D267" t="s">
        <v>3049</v>
      </c>
      <c r="E267" s="1">
        <v>45889</v>
      </c>
      <c r="F267" t="s">
        <v>2617</v>
      </c>
      <c r="G267" t="s">
        <v>27</v>
      </c>
      <c r="H267" t="s">
        <v>28</v>
      </c>
      <c r="I267" t="s">
        <v>2661</v>
      </c>
      <c r="J267" t="s">
        <v>2662</v>
      </c>
      <c r="K267" t="s">
        <v>25</v>
      </c>
      <c r="L267">
        <v>58</v>
      </c>
      <c r="M267">
        <v>5</v>
      </c>
      <c r="N267">
        <v>0</v>
      </c>
      <c r="O267" t="s">
        <v>832</v>
      </c>
      <c r="P267" t="s">
        <v>33</v>
      </c>
      <c r="Q267" t="s">
        <v>31</v>
      </c>
      <c r="R267" t="s">
        <v>71</v>
      </c>
      <c r="S267" t="s">
        <v>30</v>
      </c>
      <c r="T267">
        <v>1</v>
      </c>
      <c r="U267" s="5">
        <v>698.87</v>
      </c>
      <c r="V267" s="5">
        <v>2380.4699999999998</v>
      </c>
      <c r="W267">
        <v>4</v>
      </c>
      <c r="X267" t="s">
        <v>45</v>
      </c>
      <c r="Y267">
        <v>2025</v>
      </c>
      <c r="Z267" t="str">
        <f>TEXT(Table1[[#This Row],[Order Date]],"MMM")</f>
        <v>Aug</v>
      </c>
      <c r="AA267" s="5">
        <f>Table1[[#This Row],[Unit Price]]*Table1[[#This Row],[Quantity]]*(1-Table1[[#This Row],[Discount %]]/100)</f>
        <v>3494.35</v>
      </c>
      <c r="AB267" s="5">
        <f>Table1[[#This Row],[Sales]]-Table1[[#This Row],[Cost]]</f>
        <v>1113.8800000000001</v>
      </c>
    </row>
    <row r="268" spans="1:28" x14ac:dyDescent="0.3">
      <c r="A268" t="s">
        <v>833</v>
      </c>
      <c r="B268" s="1">
        <v>45744</v>
      </c>
      <c r="C268" t="s">
        <v>834</v>
      </c>
      <c r="D268" t="s">
        <v>3050</v>
      </c>
      <c r="E268" s="1">
        <v>45745</v>
      </c>
      <c r="F268" t="s">
        <v>2617</v>
      </c>
      <c r="G268" t="s">
        <v>27</v>
      </c>
      <c r="H268" t="s">
        <v>28</v>
      </c>
      <c r="I268" t="s">
        <v>2661</v>
      </c>
      <c r="J268" t="s">
        <v>2662</v>
      </c>
      <c r="K268" t="s">
        <v>25</v>
      </c>
      <c r="L268">
        <v>37</v>
      </c>
      <c r="M268">
        <v>1</v>
      </c>
      <c r="N268">
        <v>20</v>
      </c>
      <c r="O268" t="s">
        <v>177</v>
      </c>
      <c r="P268" t="s">
        <v>75</v>
      </c>
      <c r="Q268" t="s">
        <v>31</v>
      </c>
      <c r="R268" t="s">
        <v>43</v>
      </c>
      <c r="S268" t="s">
        <v>30</v>
      </c>
      <c r="T268">
        <v>1</v>
      </c>
      <c r="U268" s="5">
        <v>93.3</v>
      </c>
      <c r="V268" s="5">
        <v>60.91</v>
      </c>
      <c r="W268">
        <v>1</v>
      </c>
      <c r="X268" t="s">
        <v>34</v>
      </c>
      <c r="Y268">
        <v>2025</v>
      </c>
      <c r="Z268" t="str">
        <f>TEXT(Table1[[#This Row],[Order Date]],"MMM")</f>
        <v>Mar</v>
      </c>
      <c r="AA268" s="5">
        <f>Table1[[#This Row],[Unit Price]]*Table1[[#This Row],[Quantity]]*(1-Table1[[#This Row],[Discount %]]/100)</f>
        <v>74.64</v>
      </c>
      <c r="AB268" s="5">
        <f>Table1[[#This Row],[Sales]]-Table1[[#This Row],[Cost]]</f>
        <v>13.730000000000004</v>
      </c>
    </row>
    <row r="269" spans="1:28" x14ac:dyDescent="0.3">
      <c r="A269" t="s">
        <v>835</v>
      </c>
      <c r="B269" s="1">
        <v>45432</v>
      </c>
      <c r="C269" t="s">
        <v>836</v>
      </c>
      <c r="D269" t="s">
        <v>3051</v>
      </c>
      <c r="E269" s="1">
        <v>45434</v>
      </c>
      <c r="F269" t="s">
        <v>100</v>
      </c>
      <c r="G269" t="s">
        <v>98</v>
      </c>
      <c r="H269" t="s">
        <v>99</v>
      </c>
      <c r="I269" t="s">
        <v>2633</v>
      </c>
      <c r="J269" t="s">
        <v>2645</v>
      </c>
      <c r="K269" t="s">
        <v>25</v>
      </c>
      <c r="L269">
        <v>29</v>
      </c>
      <c r="M269">
        <v>4</v>
      </c>
      <c r="N269">
        <v>30</v>
      </c>
      <c r="O269" t="s">
        <v>583</v>
      </c>
      <c r="P269" t="s">
        <v>33</v>
      </c>
      <c r="Q269" t="s">
        <v>58</v>
      </c>
      <c r="R269" t="s">
        <v>43</v>
      </c>
      <c r="S269" t="s">
        <v>101</v>
      </c>
      <c r="T269">
        <v>1</v>
      </c>
      <c r="U269" s="5">
        <v>14.55</v>
      </c>
      <c r="V269" s="5">
        <v>27.38</v>
      </c>
      <c r="W269">
        <v>2</v>
      </c>
      <c r="X269" t="s">
        <v>49</v>
      </c>
      <c r="Y269">
        <v>2024</v>
      </c>
      <c r="Z269" t="str">
        <f>TEXT(Table1[[#This Row],[Order Date]],"MMM")</f>
        <v>May</v>
      </c>
      <c r="AA269" s="5">
        <f>Table1[[#This Row],[Unit Price]]*Table1[[#This Row],[Quantity]]*(1-Table1[[#This Row],[Discount %]]/100)</f>
        <v>40.74</v>
      </c>
      <c r="AB269" s="5">
        <f>Table1[[#This Row],[Sales]]-Table1[[#This Row],[Cost]]</f>
        <v>13.360000000000003</v>
      </c>
    </row>
    <row r="270" spans="1:28" x14ac:dyDescent="0.3">
      <c r="A270" t="s">
        <v>837</v>
      </c>
      <c r="B270" s="1">
        <v>45334</v>
      </c>
      <c r="C270" t="s">
        <v>838</v>
      </c>
      <c r="D270" t="s">
        <v>3052</v>
      </c>
      <c r="E270" s="1">
        <v>45339</v>
      </c>
      <c r="F270" t="s">
        <v>2617</v>
      </c>
      <c r="G270" t="s">
        <v>27</v>
      </c>
      <c r="H270" t="s">
        <v>28</v>
      </c>
      <c r="I270" t="s">
        <v>2675</v>
      </c>
      <c r="J270" t="s">
        <v>2703</v>
      </c>
      <c r="K270" t="s">
        <v>52</v>
      </c>
      <c r="L270">
        <v>65</v>
      </c>
      <c r="M270">
        <v>1</v>
      </c>
      <c r="N270">
        <v>30</v>
      </c>
      <c r="O270" t="s">
        <v>258</v>
      </c>
      <c r="P270" t="s">
        <v>75</v>
      </c>
      <c r="Q270" t="s">
        <v>58</v>
      </c>
      <c r="R270" t="s">
        <v>43</v>
      </c>
      <c r="S270" t="s">
        <v>30</v>
      </c>
      <c r="T270">
        <v>3</v>
      </c>
      <c r="U270" s="5">
        <v>338.02</v>
      </c>
      <c r="V270" s="5">
        <v>156.54</v>
      </c>
      <c r="W270">
        <v>5</v>
      </c>
      <c r="X270" t="s">
        <v>34</v>
      </c>
      <c r="Y270">
        <v>2024</v>
      </c>
      <c r="Z270" t="str">
        <f>TEXT(Table1[[#This Row],[Order Date]],"MMM")</f>
        <v>Feb</v>
      </c>
      <c r="AA270" s="5">
        <f>Table1[[#This Row],[Unit Price]]*Table1[[#This Row],[Quantity]]*(1-Table1[[#This Row],[Discount %]]/100)</f>
        <v>236.61399999999998</v>
      </c>
      <c r="AB270" s="5">
        <f>Table1[[#This Row],[Sales]]-Table1[[#This Row],[Cost]]</f>
        <v>80.073999999999984</v>
      </c>
    </row>
    <row r="271" spans="1:28" x14ac:dyDescent="0.3">
      <c r="A271" t="s">
        <v>839</v>
      </c>
      <c r="B271" s="1">
        <v>45660</v>
      </c>
      <c r="C271" t="s">
        <v>840</v>
      </c>
      <c r="D271" t="s">
        <v>3053</v>
      </c>
      <c r="E271" s="1">
        <v>45664</v>
      </c>
      <c r="F271" t="s">
        <v>128</v>
      </c>
      <c r="G271" t="s">
        <v>98</v>
      </c>
      <c r="H271" t="s">
        <v>127</v>
      </c>
      <c r="I271" t="s">
        <v>2618</v>
      </c>
      <c r="J271" t="s">
        <v>2682</v>
      </c>
      <c r="K271" t="s">
        <v>52</v>
      </c>
      <c r="L271">
        <v>63</v>
      </c>
      <c r="M271">
        <v>2</v>
      </c>
      <c r="N271">
        <v>25</v>
      </c>
      <c r="O271" t="s">
        <v>841</v>
      </c>
      <c r="P271" t="s">
        <v>44</v>
      </c>
      <c r="Q271" t="s">
        <v>117</v>
      </c>
      <c r="R271" t="s">
        <v>32</v>
      </c>
      <c r="S271" t="s">
        <v>129</v>
      </c>
      <c r="T271">
        <v>4</v>
      </c>
      <c r="U271" s="5">
        <v>174.54</v>
      </c>
      <c r="V271" s="5">
        <v>193.33</v>
      </c>
      <c r="W271">
        <v>4</v>
      </c>
      <c r="X271" t="s">
        <v>34</v>
      </c>
      <c r="Y271">
        <v>2025</v>
      </c>
      <c r="Z271" t="str">
        <f>TEXT(Table1[[#This Row],[Order Date]],"MMM")</f>
        <v>Jan</v>
      </c>
      <c r="AA271" s="5">
        <f>Table1[[#This Row],[Unit Price]]*Table1[[#This Row],[Quantity]]*(1-Table1[[#This Row],[Discount %]]/100)</f>
        <v>261.81</v>
      </c>
      <c r="AB271" s="5">
        <f>Table1[[#This Row],[Sales]]-Table1[[#This Row],[Cost]]</f>
        <v>68.47999999999999</v>
      </c>
    </row>
    <row r="272" spans="1:28" x14ac:dyDescent="0.3">
      <c r="A272" t="s">
        <v>842</v>
      </c>
      <c r="B272" s="1">
        <v>45522</v>
      </c>
      <c r="C272" t="s">
        <v>843</v>
      </c>
      <c r="D272" t="s">
        <v>3054</v>
      </c>
      <c r="E272" s="1">
        <v>45529</v>
      </c>
      <c r="F272" t="s">
        <v>115</v>
      </c>
      <c r="G272" t="s">
        <v>66</v>
      </c>
      <c r="H272" t="s">
        <v>114</v>
      </c>
      <c r="I272" t="s">
        <v>2628</v>
      </c>
      <c r="J272" t="s">
        <v>2711</v>
      </c>
      <c r="K272" t="s">
        <v>52</v>
      </c>
      <c r="L272">
        <v>63</v>
      </c>
      <c r="M272">
        <v>2</v>
      </c>
      <c r="N272">
        <v>20</v>
      </c>
      <c r="O272" t="s">
        <v>135</v>
      </c>
      <c r="P272" t="s">
        <v>75</v>
      </c>
      <c r="Q272" t="s">
        <v>117</v>
      </c>
      <c r="R272" t="s">
        <v>32</v>
      </c>
      <c r="S272" t="s">
        <v>116</v>
      </c>
      <c r="T272">
        <v>4</v>
      </c>
      <c r="U272" s="5">
        <v>506.86</v>
      </c>
      <c r="V272" s="5">
        <v>426.18</v>
      </c>
      <c r="W272">
        <v>7</v>
      </c>
      <c r="X272" t="s">
        <v>45</v>
      </c>
      <c r="Y272">
        <v>2024</v>
      </c>
      <c r="Z272" t="str">
        <f>TEXT(Table1[[#This Row],[Order Date]],"MMM")</f>
        <v>Aug</v>
      </c>
      <c r="AA272" s="5">
        <f>Table1[[#This Row],[Unit Price]]*Table1[[#This Row],[Quantity]]*(1-Table1[[#This Row],[Discount %]]/100)</f>
        <v>810.97600000000011</v>
      </c>
      <c r="AB272" s="5">
        <f>Table1[[#This Row],[Sales]]-Table1[[#This Row],[Cost]]</f>
        <v>384.79600000000011</v>
      </c>
    </row>
    <row r="273" spans="1:28" x14ac:dyDescent="0.3">
      <c r="A273" t="s">
        <v>844</v>
      </c>
      <c r="B273" s="1">
        <v>45473</v>
      </c>
      <c r="C273" t="s">
        <v>639</v>
      </c>
      <c r="D273" t="s">
        <v>3055</v>
      </c>
      <c r="E273" s="1">
        <v>45477</v>
      </c>
      <c r="F273" t="s">
        <v>100</v>
      </c>
      <c r="G273" t="s">
        <v>98</v>
      </c>
      <c r="H273" t="s">
        <v>99</v>
      </c>
      <c r="I273" t="s">
        <v>2629</v>
      </c>
      <c r="J273" t="s">
        <v>2674</v>
      </c>
      <c r="K273" t="s">
        <v>25</v>
      </c>
      <c r="L273">
        <v>60</v>
      </c>
      <c r="M273">
        <v>3</v>
      </c>
      <c r="N273">
        <v>30</v>
      </c>
      <c r="O273" t="s">
        <v>845</v>
      </c>
      <c r="P273" t="s">
        <v>33</v>
      </c>
      <c r="Q273" t="s">
        <v>117</v>
      </c>
      <c r="R273" t="s">
        <v>32</v>
      </c>
      <c r="S273" t="s">
        <v>101</v>
      </c>
      <c r="T273">
        <v>4</v>
      </c>
      <c r="U273" s="5">
        <v>793.66</v>
      </c>
      <c r="V273" s="5">
        <v>903.73</v>
      </c>
      <c r="W273">
        <v>4</v>
      </c>
      <c r="X273" t="s">
        <v>49</v>
      </c>
      <c r="Y273">
        <v>2024</v>
      </c>
      <c r="Z273" t="str">
        <f>TEXT(Table1[[#This Row],[Order Date]],"MMM")</f>
        <v>Jun</v>
      </c>
      <c r="AA273" s="5">
        <f>Table1[[#This Row],[Unit Price]]*Table1[[#This Row],[Quantity]]*(1-Table1[[#This Row],[Discount %]]/100)</f>
        <v>1666.6859999999999</v>
      </c>
      <c r="AB273" s="5">
        <f>Table1[[#This Row],[Sales]]-Table1[[#This Row],[Cost]]</f>
        <v>762.9559999999999</v>
      </c>
    </row>
    <row r="274" spans="1:28" x14ac:dyDescent="0.3">
      <c r="A274" t="s">
        <v>846</v>
      </c>
      <c r="B274" s="1">
        <v>45981</v>
      </c>
      <c r="C274" t="s">
        <v>847</v>
      </c>
      <c r="D274" t="s">
        <v>3056</v>
      </c>
      <c r="E274" s="1">
        <v>45987</v>
      </c>
      <c r="F274" t="s">
        <v>128</v>
      </c>
      <c r="G274" t="s">
        <v>98</v>
      </c>
      <c r="H274" t="s">
        <v>127</v>
      </c>
      <c r="I274" t="s">
        <v>2659</v>
      </c>
      <c r="J274" t="s">
        <v>2666</v>
      </c>
      <c r="K274" t="s">
        <v>25</v>
      </c>
      <c r="L274">
        <v>42</v>
      </c>
      <c r="M274">
        <v>2</v>
      </c>
      <c r="N274">
        <v>20</v>
      </c>
      <c r="O274" t="s">
        <v>848</v>
      </c>
      <c r="P274" t="s">
        <v>44</v>
      </c>
      <c r="Q274" t="s">
        <v>117</v>
      </c>
      <c r="R274" t="s">
        <v>62</v>
      </c>
      <c r="S274" t="s">
        <v>129</v>
      </c>
      <c r="T274">
        <v>5</v>
      </c>
      <c r="U274" s="5">
        <v>163.49</v>
      </c>
      <c r="V274" s="5">
        <v>202.49</v>
      </c>
      <c r="W274">
        <v>6</v>
      </c>
      <c r="X274" t="s">
        <v>94</v>
      </c>
      <c r="Y274">
        <v>2025</v>
      </c>
      <c r="Z274" t="str">
        <f>TEXT(Table1[[#This Row],[Order Date]],"MMM")</f>
        <v>Nov</v>
      </c>
      <c r="AA274" s="5">
        <f>Table1[[#This Row],[Unit Price]]*Table1[[#This Row],[Quantity]]*(1-Table1[[#This Row],[Discount %]]/100)</f>
        <v>261.584</v>
      </c>
      <c r="AB274" s="5">
        <f>Table1[[#This Row],[Sales]]-Table1[[#This Row],[Cost]]</f>
        <v>59.093999999999994</v>
      </c>
    </row>
    <row r="275" spans="1:28" x14ac:dyDescent="0.3">
      <c r="A275" t="s">
        <v>849</v>
      </c>
      <c r="B275" s="1">
        <v>45743</v>
      </c>
      <c r="C275" t="s">
        <v>850</v>
      </c>
      <c r="D275" t="s">
        <v>3057</v>
      </c>
      <c r="E275" s="1">
        <v>45750</v>
      </c>
      <c r="F275" t="s">
        <v>128</v>
      </c>
      <c r="G275" t="s">
        <v>98</v>
      </c>
      <c r="H275" t="s">
        <v>127</v>
      </c>
      <c r="I275" t="s">
        <v>2618</v>
      </c>
      <c r="J275" t="s">
        <v>2618</v>
      </c>
      <c r="K275" t="s">
        <v>25</v>
      </c>
      <c r="L275">
        <v>31</v>
      </c>
      <c r="M275">
        <v>5</v>
      </c>
      <c r="N275">
        <v>0</v>
      </c>
      <c r="O275" t="s">
        <v>734</v>
      </c>
      <c r="P275" t="s">
        <v>33</v>
      </c>
      <c r="Q275" t="s">
        <v>70</v>
      </c>
      <c r="R275" t="s">
        <v>62</v>
      </c>
      <c r="S275" t="s">
        <v>129</v>
      </c>
      <c r="T275">
        <v>1</v>
      </c>
      <c r="U275" s="5">
        <v>552.04999999999995</v>
      </c>
      <c r="V275" s="5">
        <v>1882.26</v>
      </c>
      <c r="W275">
        <v>7</v>
      </c>
      <c r="X275" t="s">
        <v>34</v>
      </c>
      <c r="Y275">
        <v>2025</v>
      </c>
      <c r="Z275" t="str">
        <f>TEXT(Table1[[#This Row],[Order Date]],"MMM")</f>
        <v>Mar</v>
      </c>
      <c r="AA275" s="5">
        <f>Table1[[#This Row],[Unit Price]]*Table1[[#This Row],[Quantity]]*(1-Table1[[#This Row],[Discount %]]/100)</f>
        <v>2760.25</v>
      </c>
      <c r="AB275" s="5">
        <f>Table1[[#This Row],[Sales]]-Table1[[#This Row],[Cost]]</f>
        <v>877.99</v>
      </c>
    </row>
    <row r="276" spans="1:28" x14ac:dyDescent="0.3">
      <c r="A276" t="s">
        <v>851</v>
      </c>
      <c r="B276" s="1">
        <v>45701</v>
      </c>
      <c r="C276" t="s">
        <v>852</v>
      </c>
      <c r="D276" t="s">
        <v>3058</v>
      </c>
      <c r="E276" s="1">
        <v>45706</v>
      </c>
      <c r="F276" t="s">
        <v>122</v>
      </c>
      <c r="G276" t="s">
        <v>120</v>
      </c>
      <c r="H276" t="s">
        <v>121</v>
      </c>
      <c r="I276" t="s">
        <v>2631</v>
      </c>
      <c r="J276" t="s">
        <v>2673</v>
      </c>
      <c r="K276" t="s">
        <v>52</v>
      </c>
      <c r="L276">
        <v>54</v>
      </c>
      <c r="M276">
        <v>2</v>
      </c>
      <c r="N276">
        <v>5</v>
      </c>
      <c r="O276" t="s">
        <v>600</v>
      </c>
      <c r="P276" t="s">
        <v>33</v>
      </c>
      <c r="Q276" t="s">
        <v>31</v>
      </c>
      <c r="R276" t="s">
        <v>62</v>
      </c>
      <c r="S276" t="s">
        <v>123</v>
      </c>
      <c r="T276">
        <v>5</v>
      </c>
      <c r="U276" s="5">
        <v>526.24</v>
      </c>
      <c r="V276" s="5">
        <v>740.05</v>
      </c>
      <c r="W276">
        <v>5</v>
      </c>
      <c r="X276" t="s">
        <v>34</v>
      </c>
      <c r="Y276">
        <v>2025</v>
      </c>
      <c r="Z276" t="str">
        <f>TEXT(Table1[[#This Row],[Order Date]],"MMM")</f>
        <v>Feb</v>
      </c>
      <c r="AA276" s="5">
        <f>Table1[[#This Row],[Unit Price]]*Table1[[#This Row],[Quantity]]*(1-Table1[[#This Row],[Discount %]]/100)</f>
        <v>999.85599999999999</v>
      </c>
      <c r="AB276" s="5">
        <f>Table1[[#This Row],[Sales]]-Table1[[#This Row],[Cost]]</f>
        <v>259.80600000000004</v>
      </c>
    </row>
    <row r="277" spans="1:28" x14ac:dyDescent="0.3">
      <c r="A277" t="s">
        <v>853</v>
      </c>
      <c r="B277" s="1">
        <v>45648</v>
      </c>
      <c r="C277" t="s">
        <v>854</v>
      </c>
      <c r="D277" t="s">
        <v>3059</v>
      </c>
      <c r="E277" s="1">
        <v>45655</v>
      </c>
      <c r="F277" t="s">
        <v>100</v>
      </c>
      <c r="G277" t="s">
        <v>98</v>
      </c>
      <c r="H277" t="s">
        <v>99</v>
      </c>
      <c r="I277" t="s">
        <v>2619</v>
      </c>
      <c r="J277" t="s">
        <v>2697</v>
      </c>
      <c r="K277" t="s">
        <v>52</v>
      </c>
      <c r="L277">
        <v>52</v>
      </c>
      <c r="M277">
        <v>4</v>
      </c>
      <c r="N277">
        <v>0</v>
      </c>
      <c r="O277" t="s">
        <v>855</v>
      </c>
      <c r="P277" t="s">
        <v>33</v>
      </c>
      <c r="Q277" t="s">
        <v>58</v>
      </c>
      <c r="R277" t="s">
        <v>71</v>
      </c>
      <c r="S277" t="s">
        <v>101</v>
      </c>
      <c r="T277">
        <v>3</v>
      </c>
      <c r="U277" s="5">
        <v>47.08</v>
      </c>
      <c r="V277" s="5">
        <v>108.09</v>
      </c>
      <c r="W277">
        <v>7</v>
      </c>
      <c r="X277" t="s">
        <v>94</v>
      </c>
      <c r="Y277">
        <v>2024</v>
      </c>
      <c r="Z277" t="str">
        <f>TEXT(Table1[[#This Row],[Order Date]],"MMM")</f>
        <v>Dec</v>
      </c>
      <c r="AA277" s="5">
        <f>Table1[[#This Row],[Unit Price]]*Table1[[#This Row],[Quantity]]*(1-Table1[[#This Row],[Discount %]]/100)</f>
        <v>188.32</v>
      </c>
      <c r="AB277" s="5">
        <f>Table1[[#This Row],[Sales]]-Table1[[#This Row],[Cost]]</f>
        <v>80.22999999999999</v>
      </c>
    </row>
    <row r="278" spans="1:28" x14ac:dyDescent="0.3">
      <c r="A278" t="s">
        <v>856</v>
      </c>
      <c r="B278" s="1">
        <v>45847</v>
      </c>
      <c r="C278" t="s">
        <v>364</v>
      </c>
      <c r="D278" t="s">
        <v>3060</v>
      </c>
      <c r="E278" s="1">
        <v>45852</v>
      </c>
      <c r="F278" t="s">
        <v>115</v>
      </c>
      <c r="G278" t="s">
        <v>66</v>
      </c>
      <c r="H278" t="s">
        <v>114</v>
      </c>
      <c r="I278" t="s">
        <v>2655</v>
      </c>
      <c r="J278" t="s">
        <v>2677</v>
      </c>
      <c r="K278" t="s">
        <v>25</v>
      </c>
      <c r="L278">
        <v>23</v>
      </c>
      <c r="M278">
        <v>2</v>
      </c>
      <c r="N278">
        <v>25</v>
      </c>
      <c r="O278" t="s">
        <v>344</v>
      </c>
      <c r="P278" t="s">
        <v>44</v>
      </c>
      <c r="Q278" t="s">
        <v>31</v>
      </c>
      <c r="R278" t="s">
        <v>32</v>
      </c>
      <c r="S278" t="s">
        <v>116</v>
      </c>
      <c r="T278">
        <v>5</v>
      </c>
      <c r="U278" s="5">
        <v>688.26</v>
      </c>
      <c r="V278" s="5">
        <v>606.17999999999995</v>
      </c>
      <c r="W278">
        <v>5</v>
      </c>
      <c r="X278" t="s">
        <v>45</v>
      </c>
      <c r="Y278">
        <v>2025</v>
      </c>
      <c r="Z278" t="str">
        <f>TEXT(Table1[[#This Row],[Order Date]],"MMM")</f>
        <v>Jul</v>
      </c>
      <c r="AA278" s="5">
        <f>Table1[[#This Row],[Unit Price]]*Table1[[#This Row],[Quantity]]*(1-Table1[[#This Row],[Discount %]]/100)</f>
        <v>1032.3899999999999</v>
      </c>
      <c r="AB278" s="5">
        <f>Table1[[#This Row],[Sales]]-Table1[[#This Row],[Cost]]</f>
        <v>426.20999999999992</v>
      </c>
    </row>
    <row r="279" spans="1:28" x14ac:dyDescent="0.3">
      <c r="A279" t="s">
        <v>857</v>
      </c>
      <c r="B279" s="1">
        <v>45780</v>
      </c>
      <c r="C279" t="s">
        <v>858</v>
      </c>
      <c r="D279" t="s">
        <v>3061</v>
      </c>
      <c r="E279" s="1">
        <v>45783</v>
      </c>
      <c r="F279" t="s">
        <v>56</v>
      </c>
      <c r="G279" t="s">
        <v>54</v>
      </c>
      <c r="H279" t="s">
        <v>55</v>
      </c>
      <c r="I279" t="s">
        <v>2618</v>
      </c>
      <c r="J279" t="s">
        <v>2682</v>
      </c>
      <c r="K279" t="s">
        <v>52</v>
      </c>
      <c r="L279">
        <v>21</v>
      </c>
      <c r="M279">
        <v>2</v>
      </c>
      <c r="N279">
        <v>5</v>
      </c>
      <c r="O279" t="s">
        <v>859</v>
      </c>
      <c r="P279" t="s">
        <v>75</v>
      </c>
      <c r="Q279" t="s">
        <v>31</v>
      </c>
      <c r="R279" t="s">
        <v>32</v>
      </c>
      <c r="S279" t="s">
        <v>57</v>
      </c>
      <c r="T279">
        <v>2</v>
      </c>
      <c r="U279" s="5">
        <v>315.29000000000002</v>
      </c>
      <c r="V279" s="5">
        <v>428.25</v>
      </c>
      <c r="W279">
        <v>3</v>
      </c>
      <c r="X279" t="s">
        <v>49</v>
      </c>
      <c r="Y279">
        <v>2025</v>
      </c>
      <c r="Z279" t="str">
        <f>TEXT(Table1[[#This Row],[Order Date]],"MMM")</f>
        <v>May</v>
      </c>
      <c r="AA279" s="5">
        <f>Table1[[#This Row],[Unit Price]]*Table1[[#This Row],[Quantity]]*(1-Table1[[#This Row],[Discount %]]/100)</f>
        <v>599.05100000000004</v>
      </c>
      <c r="AB279" s="5">
        <f>Table1[[#This Row],[Sales]]-Table1[[#This Row],[Cost]]</f>
        <v>170.80100000000004</v>
      </c>
    </row>
    <row r="280" spans="1:28" x14ac:dyDescent="0.3">
      <c r="A280" t="s">
        <v>860</v>
      </c>
      <c r="B280" s="1">
        <v>45662</v>
      </c>
      <c r="C280" t="s">
        <v>861</v>
      </c>
      <c r="D280" t="s">
        <v>3062</v>
      </c>
      <c r="E280" s="1">
        <v>45663</v>
      </c>
      <c r="F280" t="s">
        <v>56</v>
      </c>
      <c r="G280" t="s">
        <v>54</v>
      </c>
      <c r="H280" t="s">
        <v>55</v>
      </c>
      <c r="I280" t="s">
        <v>2675</v>
      </c>
      <c r="J280" t="s">
        <v>2681</v>
      </c>
      <c r="K280" t="s">
        <v>52</v>
      </c>
      <c r="L280">
        <v>43</v>
      </c>
      <c r="M280">
        <v>1</v>
      </c>
      <c r="N280">
        <v>0</v>
      </c>
      <c r="O280" t="s">
        <v>862</v>
      </c>
      <c r="P280" t="s">
        <v>75</v>
      </c>
      <c r="Q280" t="s">
        <v>117</v>
      </c>
      <c r="R280" t="s">
        <v>71</v>
      </c>
      <c r="S280" t="s">
        <v>57</v>
      </c>
      <c r="T280">
        <v>1</v>
      </c>
      <c r="U280" s="5">
        <v>406.35</v>
      </c>
      <c r="V280" s="5">
        <v>333.23</v>
      </c>
      <c r="W280">
        <v>1</v>
      </c>
      <c r="X280" t="s">
        <v>34</v>
      </c>
      <c r="Y280">
        <v>2025</v>
      </c>
      <c r="Z280" t="str">
        <f>TEXT(Table1[[#This Row],[Order Date]],"MMM")</f>
        <v>Jan</v>
      </c>
      <c r="AA280" s="5">
        <f>Table1[[#This Row],[Unit Price]]*Table1[[#This Row],[Quantity]]*(1-Table1[[#This Row],[Discount %]]/100)</f>
        <v>406.35</v>
      </c>
      <c r="AB280" s="5">
        <f>Table1[[#This Row],[Sales]]-Table1[[#This Row],[Cost]]</f>
        <v>73.12</v>
      </c>
    </row>
    <row r="281" spans="1:28" x14ac:dyDescent="0.3">
      <c r="A281" t="s">
        <v>863</v>
      </c>
      <c r="B281" s="1">
        <v>45312</v>
      </c>
      <c r="C281" t="s">
        <v>864</v>
      </c>
      <c r="D281" t="s">
        <v>3063</v>
      </c>
      <c r="E281" s="1">
        <v>45317</v>
      </c>
      <c r="F281" t="s">
        <v>2617</v>
      </c>
      <c r="G281" t="s">
        <v>27</v>
      </c>
      <c r="H281" t="s">
        <v>28</v>
      </c>
      <c r="I281" t="s">
        <v>2630</v>
      </c>
      <c r="J281" t="s">
        <v>2710</v>
      </c>
      <c r="K281" t="s">
        <v>25</v>
      </c>
      <c r="L281">
        <v>56</v>
      </c>
      <c r="M281">
        <v>3</v>
      </c>
      <c r="N281">
        <v>0</v>
      </c>
      <c r="O281" t="s">
        <v>865</v>
      </c>
      <c r="P281" t="s">
        <v>44</v>
      </c>
      <c r="Q281" t="s">
        <v>31</v>
      </c>
      <c r="R281" t="s">
        <v>62</v>
      </c>
      <c r="S281" t="s">
        <v>30</v>
      </c>
      <c r="T281">
        <v>2</v>
      </c>
      <c r="U281" s="5">
        <v>42.11</v>
      </c>
      <c r="V281" s="5">
        <v>81.8</v>
      </c>
      <c r="W281">
        <v>5</v>
      </c>
      <c r="X281" t="s">
        <v>34</v>
      </c>
      <c r="Y281">
        <v>2024</v>
      </c>
      <c r="Z281" t="str">
        <f>TEXT(Table1[[#This Row],[Order Date]],"MMM")</f>
        <v>Jan</v>
      </c>
      <c r="AA281" s="5">
        <f>Table1[[#This Row],[Unit Price]]*Table1[[#This Row],[Quantity]]*(1-Table1[[#This Row],[Discount %]]/100)</f>
        <v>126.33</v>
      </c>
      <c r="AB281" s="5">
        <f>Table1[[#This Row],[Sales]]-Table1[[#This Row],[Cost]]</f>
        <v>44.53</v>
      </c>
    </row>
    <row r="282" spans="1:28" x14ac:dyDescent="0.3">
      <c r="A282" t="s">
        <v>866</v>
      </c>
      <c r="B282" s="1">
        <v>46041</v>
      </c>
      <c r="C282" t="s">
        <v>867</v>
      </c>
      <c r="D282" t="s">
        <v>3064</v>
      </c>
      <c r="E282" s="1">
        <v>46043</v>
      </c>
      <c r="F282" t="s">
        <v>100</v>
      </c>
      <c r="G282" t="s">
        <v>98</v>
      </c>
      <c r="H282" t="s">
        <v>99</v>
      </c>
      <c r="I282" t="s">
        <v>2625</v>
      </c>
      <c r="J282" t="s">
        <v>2626</v>
      </c>
      <c r="K282" t="s">
        <v>25</v>
      </c>
      <c r="L282">
        <v>29</v>
      </c>
      <c r="M282">
        <v>1</v>
      </c>
      <c r="N282">
        <v>5</v>
      </c>
      <c r="O282" t="s">
        <v>868</v>
      </c>
      <c r="P282" t="s">
        <v>75</v>
      </c>
      <c r="Q282" t="s">
        <v>58</v>
      </c>
      <c r="R282" t="s">
        <v>71</v>
      </c>
      <c r="S282" t="s">
        <v>101</v>
      </c>
      <c r="T282">
        <v>5</v>
      </c>
      <c r="U282" s="5">
        <v>219.54</v>
      </c>
      <c r="V282" s="5">
        <v>174.84</v>
      </c>
      <c r="W282">
        <v>2</v>
      </c>
      <c r="X282" t="s">
        <v>34</v>
      </c>
      <c r="Y282">
        <v>2026</v>
      </c>
      <c r="Z282" t="str">
        <f>TEXT(Table1[[#This Row],[Order Date]],"MMM")</f>
        <v>Jan</v>
      </c>
      <c r="AA282" s="5">
        <f>Table1[[#This Row],[Unit Price]]*Table1[[#This Row],[Quantity]]*(1-Table1[[#This Row],[Discount %]]/100)</f>
        <v>208.56299999999999</v>
      </c>
      <c r="AB282" s="5">
        <f>Table1[[#This Row],[Sales]]-Table1[[#This Row],[Cost]]</f>
        <v>33.722999999999985</v>
      </c>
    </row>
    <row r="283" spans="1:28" x14ac:dyDescent="0.3">
      <c r="A283" t="s">
        <v>869</v>
      </c>
      <c r="B283" s="1">
        <v>45637</v>
      </c>
      <c r="C283" t="s">
        <v>870</v>
      </c>
      <c r="D283" t="s">
        <v>3065</v>
      </c>
      <c r="E283" s="1">
        <v>45638</v>
      </c>
      <c r="F283" t="s">
        <v>122</v>
      </c>
      <c r="G283" t="s">
        <v>120</v>
      </c>
      <c r="H283" t="s">
        <v>121</v>
      </c>
      <c r="I283" t="s">
        <v>2621</v>
      </c>
      <c r="J283" t="s">
        <v>2647</v>
      </c>
      <c r="K283" t="s">
        <v>52</v>
      </c>
      <c r="L283">
        <v>28</v>
      </c>
      <c r="M283">
        <v>2</v>
      </c>
      <c r="N283">
        <v>0</v>
      </c>
      <c r="O283" t="s">
        <v>871</v>
      </c>
      <c r="P283" t="s">
        <v>75</v>
      </c>
      <c r="Q283" t="s">
        <v>70</v>
      </c>
      <c r="R283" t="s">
        <v>32</v>
      </c>
      <c r="S283" t="s">
        <v>123</v>
      </c>
      <c r="T283">
        <v>5</v>
      </c>
      <c r="U283" s="5">
        <v>633.98</v>
      </c>
      <c r="V283" s="5">
        <v>766.52</v>
      </c>
      <c r="W283">
        <v>1</v>
      </c>
      <c r="X283" t="s">
        <v>94</v>
      </c>
      <c r="Y283">
        <v>2024</v>
      </c>
      <c r="Z283" t="str">
        <f>TEXT(Table1[[#This Row],[Order Date]],"MMM")</f>
        <v>Dec</v>
      </c>
      <c r="AA283" s="5">
        <f>Table1[[#This Row],[Unit Price]]*Table1[[#This Row],[Quantity]]*(1-Table1[[#This Row],[Discount %]]/100)</f>
        <v>1267.96</v>
      </c>
      <c r="AB283" s="5">
        <f>Table1[[#This Row],[Sales]]-Table1[[#This Row],[Cost]]</f>
        <v>501.44000000000005</v>
      </c>
    </row>
    <row r="284" spans="1:28" x14ac:dyDescent="0.3">
      <c r="A284" t="s">
        <v>872</v>
      </c>
      <c r="B284" s="1">
        <v>45922</v>
      </c>
      <c r="C284" t="s">
        <v>873</v>
      </c>
      <c r="D284" t="s">
        <v>3066</v>
      </c>
      <c r="E284" s="1">
        <v>45928</v>
      </c>
      <c r="F284" t="s">
        <v>122</v>
      </c>
      <c r="G284" t="s">
        <v>120</v>
      </c>
      <c r="H284" t="s">
        <v>121</v>
      </c>
      <c r="I284" t="s">
        <v>2621</v>
      </c>
      <c r="J284" t="s">
        <v>2699</v>
      </c>
      <c r="K284" t="s">
        <v>25</v>
      </c>
      <c r="L284">
        <v>21</v>
      </c>
      <c r="M284">
        <v>4</v>
      </c>
      <c r="N284">
        <v>10</v>
      </c>
      <c r="O284" t="s">
        <v>874</v>
      </c>
      <c r="P284" t="s">
        <v>75</v>
      </c>
      <c r="Q284" t="s">
        <v>58</v>
      </c>
      <c r="R284" t="s">
        <v>62</v>
      </c>
      <c r="S284" t="s">
        <v>123</v>
      </c>
      <c r="T284">
        <v>2</v>
      </c>
      <c r="U284" s="5">
        <v>961.64</v>
      </c>
      <c r="V284" s="5">
        <v>2637.41</v>
      </c>
      <c r="W284">
        <v>6</v>
      </c>
      <c r="X284" t="s">
        <v>45</v>
      </c>
      <c r="Y284">
        <v>2025</v>
      </c>
      <c r="Z284" t="str">
        <f>TEXT(Table1[[#This Row],[Order Date]],"MMM")</f>
        <v>Sep</v>
      </c>
      <c r="AA284" s="5">
        <f>Table1[[#This Row],[Unit Price]]*Table1[[#This Row],[Quantity]]*(1-Table1[[#This Row],[Discount %]]/100)</f>
        <v>3461.904</v>
      </c>
      <c r="AB284" s="5">
        <f>Table1[[#This Row],[Sales]]-Table1[[#This Row],[Cost]]</f>
        <v>824.49400000000014</v>
      </c>
    </row>
    <row r="285" spans="1:28" x14ac:dyDescent="0.3">
      <c r="A285" t="s">
        <v>875</v>
      </c>
      <c r="B285" s="1">
        <v>45612</v>
      </c>
      <c r="C285" t="s">
        <v>876</v>
      </c>
      <c r="D285" t="s">
        <v>3067</v>
      </c>
      <c r="E285" s="1">
        <v>45617</v>
      </c>
      <c r="F285" t="s">
        <v>2617</v>
      </c>
      <c r="G285" t="s">
        <v>27</v>
      </c>
      <c r="H285" t="s">
        <v>28</v>
      </c>
      <c r="I285" t="s">
        <v>2650</v>
      </c>
      <c r="J285" t="s">
        <v>2698</v>
      </c>
      <c r="K285" t="s">
        <v>25</v>
      </c>
      <c r="L285">
        <v>61</v>
      </c>
      <c r="M285">
        <v>1</v>
      </c>
      <c r="N285">
        <v>0</v>
      </c>
      <c r="O285" t="s">
        <v>877</v>
      </c>
      <c r="P285" t="s">
        <v>33</v>
      </c>
      <c r="Q285" t="s">
        <v>58</v>
      </c>
      <c r="R285" t="s">
        <v>62</v>
      </c>
      <c r="S285" t="s">
        <v>30</v>
      </c>
      <c r="T285">
        <v>2</v>
      </c>
      <c r="U285" s="5">
        <v>263.04000000000002</v>
      </c>
      <c r="V285" s="5">
        <v>207.99</v>
      </c>
      <c r="W285">
        <v>5</v>
      </c>
      <c r="X285" t="s">
        <v>94</v>
      </c>
      <c r="Y285">
        <v>2024</v>
      </c>
      <c r="Z285" t="str">
        <f>TEXT(Table1[[#This Row],[Order Date]],"MMM")</f>
        <v>Nov</v>
      </c>
      <c r="AA285" s="5">
        <f>Table1[[#This Row],[Unit Price]]*Table1[[#This Row],[Quantity]]*(1-Table1[[#This Row],[Discount %]]/100)</f>
        <v>263.04000000000002</v>
      </c>
      <c r="AB285" s="5">
        <f>Table1[[#This Row],[Sales]]-Table1[[#This Row],[Cost]]</f>
        <v>55.050000000000011</v>
      </c>
    </row>
    <row r="286" spans="1:28" x14ac:dyDescent="0.3">
      <c r="A286" t="s">
        <v>878</v>
      </c>
      <c r="B286" s="1">
        <v>45484</v>
      </c>
      <c r="C286" t="s">
        <v>879</v>
      </c>
      <c r="D286" t="s">
        <v>3068</v>
      </c>
      <c r="E286" s="1">
        <v>45485</v>
      </c>
      <c r="F286" t="s">
        <v>122</v>
      </c>
      <c r="G286" t="s">
        <v>120</v>
      </c>
      <c r="H286" t="s">
        <v>121</v>
      </c>
      <c r="I286" t="s">
        <v>2655</v>
      </c>
      <c r="J286" t="s">
        <v>2714</v>
      </c>
      <c r="K286" t="s">
        <v>52</v>
      </c>
      <c r="L286">
        <v>53</v>
      </c>
      <c r="M286">
        <v>2</v>
      </c>
      <c r="N286">
        <v>10</v>
      </c>
      <c r="O286" t="s">
        <v>880</v>
      </c>
      <c r="P286" t="s">
        <v>33</v>
      </c>
      <c r="Q286" t="s">
        <v>31</v>
      </c>
      <c r="R286" t="s">
        <v>32</v>
      </c>
      <c r="S286" t="s">
        <v>123</v>
      </c>
      <c r="T286">
        <v>5</v>
      </c>
      <c r="U286" s="5">
        <v>97.2</v>
      </c>
      <c r="V286" s="5">
        <v>125.94</v>
      </c>
      <c r="W286">
        <v>1</v>
      </c>
      <c r="X286" t="s">
        <v>45</v>
      </c>
      <c r="Y286">
        <v>2024</v>
      </c>
      <c r="Z286" t="str">
        <f>TEXT(Table1[[#This Row],[Order Date]],"MMM")</f>
        <v>Jul</v>
      </c>
      <c r="AA286" s="5">
        <f>Table1[[#This Row],[Unit Price]]*Table1[[#This Row],[Quantity]]*(1-Table1[[#This Row],[Discount %]]/100)</f>
        <v>174.96</v>
      </c>
      <c r="AB286" s="5">
        <f>Table1[[#This Row],[Sales]]-Table1[[#This Row],[Cost]]</f>
        <v>49.02000000000001</v>
      </c>
    </row>
    <row r="287" spans="1:28" x14ac:dyDescent="0.3">
      <c r="A287" t="s">
        <v>881</v>
      </c>
      <c r="B287" s="1">
        <v>45665</v>
      </c>
      <c r="C287" t="s">
        <v>882</v>
      </c>
      <c r="D287" t="s">
        <v>3069</v>
      </c>
      <c r="E287" s="1">
        <v>45671</v>
      </c>
      <c r="F287" t="s">
        <v>40</v>
      </c>
      <c r="G287" t="s">
        <v>38</v>
      </c>
      <c r="H287" t="s">
        <v>39</v>
      </c>
      <c r="I287" t="s">
        <v>2631</v>
      </c>
      <c r="J287" t="s">
        <v>2716</v>
      </c>
      <c r="K287" t="s">
        <v>52</v>
      </c>
      <c r="L287">
        <v>28</v>
      </c>
      <c r="M287">
        <v>5</v>
      </c>
      <c r="N287">
        <v>30</v>
      </c>
      <c r="O287" t="s">
        <v>883</v>
      </c>
      <c r="P287" t="s">
        <v>33</v>
      </c>
      <c r="Q287" t="s">
        <v>58</v>
      </c>
      <c r="R287" t="s">
        <v>62</v>
      </c>
      <c r="S287" t="s">
        <v>41</v>
      </c>
      <c r="T287">
        <v>1</v>
      </c>
      <c r="U287" s="5">
        <v>522.25</v>
      </c>
      <c r="V287" s="5">
        <v>1548</v>
      </c>
      <c r="W287">
        <v>6</v>
      </c>
      <c r="X287" t="s">
        <v>34</v>
      </c>
      <c r="Y287">
        <v>2025</v>
      </c>
      <c r="Z287" t="str">
        <f>TEXT(Table1[[#This Row],[Order Date]],"MMM")</f>
        <v>Jan</v>
      </c>
      <c r="AA287" s="5">
        <f>Table1[[#This Row],[Unit Price]]*Table1[[#This Row],[Quantity]]*(1-Table1[[#This Row],[Discount %]]/100)</f>
        <v>1827.8749999999998</v>
      </c>
      <c r="AB287" s="5">
        <f>Table1[[#This Row],[Sales]]-Table1[[#This Row],[Cost]]</f>
        <v>279.87499999999977</v>
      </c>
    </row>
    <row r="288" spans="1:28" x14ac:dyDescent="0.3">
      <c r="A288" t="s">
        <v>884</v>
      </c>
      <c r="B288" s="1">
        <v>45740</v>
      </c>
      <c r="C288" t="s">
        <v>885</v>
      </c>
      <c r="D288" t="s">
        <v>3070</v>
      </c>
      <c r="E288" s="1">
        <v>45743</v>
      </c>
      <c r="F288" t="s">
        <v>115</v>
      </c>
      <c r="G288" t="s">
        <v>66</v>
      </c>
      <c r="H288" t="s">
        <v>114</v>
      </c>
      <c r="I288" t="s">
        <v>2621</v>
      </c>
      <c r="J288" t="s">
        <v>2663</v>
      </c>
      <c r="K288" t="s">
        <v>52</v>
      </c>
      <c r="L288">
        <v>24</v>
      </c>
      <c r="M288">
        <v>5</v>
      </c>
      <c r="N288">
        <v>25</v>
      </c>
      <c r="O288" t="s">
        <v>886</v>
      </c>
      <c r="P288" t="s">
        <v>33</v>
      </c>
      <c r="Q288" t="s">
        <v>117</v>
      </c>
      <c r="R288" t="s">
        <v>43</v>
      </c>
      <c r="S288" t="s">
        <v>116</v>
      </c>
      <c r="T288">
        <v>5</v>
      </c>
      <c r="U288" s="5">
        <v>730.73</v>
      </c>
      <c r="V288" s="5">
        <v>1908.54</v>
      </c>
      <c r="W288">
        <v>3</v>
      </c>
      <c r="X288" t="s">
        <v>34</v>
      </c>
      <c r="Y288">
        <v>2025</v>
      </c>
      <c r="Z288" t="str">
        <f>TEXT(Table1[[#This Row],[Order Date]],"MMM")</f>
        <v>Mar</v>
      </c>
      <c r="AA288" s="5">
        <f>Table1[[#This Row],[Unit Price]]*Table1[[#This Row],[Quantity]]*(1-Table1[[#This Row],[Discount %]]/100)</f>
        <v>2740.2375000000002</v>
      </c>
      <c r="AB288" s="5">
        <f>Table1[[#This Row],[Sales]]-Table1[[#This Row],[Cost]]</f>
        <v>831.69750000000022</v>
      </c>
    </row>
    <row r="289" spans="1:28" x14ac:dyDescent="0.3">
      <c r="A289" t="s">
        <v>887</v>
      </c>
      <c r="B289" s="1">
        <v>45520</v>
      </c>
      <c r="C289" t="s">
        <v>888</v>
      </c>
      <c r="D289" t="s">
        <v>3071</v>
      </c>
      <c r="E289" s="1">
        <v>45525</v>
      </c>
      <c r="F289" t="s">
        <v>122</v>
      </c>
      <c r="G289" t="s">
        <v>120</v>
      </c>
      <c r="H289" t="s">
        <v>121</v>
      </c>
      <c r="I289" t="s">
        <v>2661</v>
      </c>
      <c r="J289" t="s">
        <v>2662</v>
      </c>
      <c r="K289" t="s">
        <v>25</v>
      </c>
      <c r="L289">
        <v>22</v>
      </c>
      <c r="M289">
        <v>1</v>
      </c>
      <c r="N289">
        <v>30</v>
      </c>
      <c r="O289" t="s">
        <v>889</v>
      </c>
      <c r="P289" t="s">
        <v>44</v>
      </c>
      <c r="Q289" t="s">
        <v>70</v>
      </c>
      <c r="R289" t="s">
        <v>71</v>
      </c>
      <c r="S289" t="s">
        <v>123</v>
      </c>
      <c r="T289">
        <v>5</v>
      </c>
      <c r="U289" s="5">
        <v>386.33</v>
      </c>
      <c r="V289" s="5">
        <v>168.13</v>
      </c>
      <c r="W289">
        <v>5</v>
      </c>
      <c r="X289" t="s">
        <v>45</v>
      </c>
      <c r="Y289">
        <v>2024</v>
      </c>
      <c r="Z289" t="str">
        <f>TEXT(Table1[[#This Row],[Order Date]],"MMM")</f>
        <v>Aug</v>
      </c>
      <c r="AA289" s="5">
        <f>Table1[[#This Row],[Unit Price]]*Table1[[#This Row],[Quantity]]*(1-Table1[[#This Row],[Discount %]]/100)</f>
        <v>270.43099999999998</v>
      </c>
      <c r="AB289" s="5">
        <f>Table1[[#This Row],[Sales]]-Table1[[#This Row],[Cost]]</f>
        <v>102.30099999999999</v>
      </c>
    </row>
    <row r="290" spans="1:28" x14ac:dyDescent="0.3">
      <c r="A290" t="s">
        <v>890</v>
      </c>
      <c r="B290" s="1">
        <v>45569</v>
      </c>
      <c r="C290" t="s">
        <v>891</v>
      </c>
      <c r="D290" t="s">
        <v>3072</v>
      </c>
      <c r="E290" s="1">
        <v>45570</v>
      </c>
      <c r="F290" t="s">
        <v>56</v>
      </c>
      <c r="G290" t="s">
        <v>54</v>
      </c>
      <c r="H290" t="s">
        <v>55</v>
      </c>
      <c r="I290" t="s">
        <v>2655</v>
      </c>
      <c r="J290" t="s">
        <v>2656</v>
      </c>
      <c r="K290" t="s">
        <v>25</v>
      </c>
      <c r="L290">
        <v>46</v>
      </c>
      <c r="M290">
        <v>5</v>
      </c>
      <c r="N290">
        <v>30</v>
      </c>
      <c r="O290" t="s">
        <v>892</v>
      </c>
      <c r="P290" t="s">
        <v>75</v>
      </c>
      <c r="Q290" t="s">
        <v>70</v>
      </c>
      <c r="R290" t="s">
        <v>32</v>
      </c>
      <c r="S290" t="s">
        <v>57</v>
      </c>
      <c r="T290">
        <v>1</v>
      </c>
      <c r="U290" s="5">
        <v>346.19</v>
      </c>
      <c r="V290" s="5">
        <v>739.71</v>
      </c>
      <c r="W290">
        <v>1</v>
      </c>
      <c r="X290" t="s">
        <v>94</v>
      </c>
      <c r="Y290">
        <v>2024</v>
      </c>
      <c r="Z290" t="str">
        <f>TEXT(Table1[[#This Row],[Order Date]],"MMM")</f>
        <v>Oct</v>
      </c>
      <c r="AA290" s="5">
        <f>Table1[[#This Row],[Unit Price]]*Table1[[#This Row],[Quantity]]*(1-Table1[[#This Row],[Discount %]]/100)</f>
        <v>1211.665</v>
      </c>
      <c r="AB290" s="5">
        <f>Table1[[#This Row],[Sales]]-Table1[[#This Row],[Cost]]</f>
        <v>471.95499999999993</v>
      </c>
    </row>
    <row r="291" spans="1:28" x14ac:dyDescent="0.3">
      <c r="A291" t="s">
        <v>893</v>
      </c>
      <c r="B291" s="1">
        <v>45988</v>
      </c>
      <c r="C291" t="s">
        <v>894</v>
      </c>
      <c r="D291" t="s">
        <v>3073</v>
      </c>
      <c r="E291" s="1">
        <v>45995</v>
      </c>
      <c r="F291" t="s">
        <v>2617</v>
      </c>
      <c r="G291" t="s">
        <v>27</v>
      </c>
      <c r="H291" t="s">
        <v>28</v>
      </c>
      <c r="I291" t="s">
        <v>2661</v>
      </c>
      <c r="J291" t="s">
        <v>2715</v>
      </c>
      <c r="K291" t="s">
        <v>52</v>
      </c>
      <c r="L291">
        <v>32</v>
      </c>
      <c r="M291">
        <v>2</v>
      </c>
      <c r="N291">
        <v>10</v>
      </c>
      <c r="O291" t="s">
        <v>586</v>
      </c>
      <c r="P291" t="s">
        <v>33</v>
      </c>
      <c r="Q291" t="s">
        <v>70</v>
      </c>
      <c r="R291" t="s">
        <v>62</v>
      </c>
      <c r="S291" t="s">
        <v>30</v>
      </c>
      <c r="T291">
        <v>2</v>
      </c>
      <c r="U291" s="5">
        <v>610.73</v>
      </c>
      <c r="V291" s="5">
        <v>750.55</v>
      </c>
      <c r="W291">
        <v>7</v>
      </c>
      <c r="X291" t="s">
        <v>94</v>
      </c>
      <c r="Y291">
        <v>2025</v>
      </c>
      <c r="Z291" t="str">
        <f>TEXT(Table1[[#This Row],[Order Date]],"MMM")</f>
        <v>Nov</v>
      </c>
      <c r="AA291" s="5">
        <f>Table1[[#This Row],[Unit Price]]*Table1[[#This Row],[Quantity]]*(1-Table1[[#This Row],[Discount %]]/100)</f>
        <v>1099.3140000000001</v>
      </c>
      <c r="AB291" s="5">
        <f>Table1[[#This Row],[Sales]]-Table1[[#This Row],[Cost]]</f>
        <v>348.76400000000012</v>
      </c>
    </row>
    <row r="292" spans="1:28" x14ac:dyDescent="0.3">
      <c r="A292" t="s">
        <v>895</v>
      </c>
      <c r="B292" s="1">
        <v>45733</v>
      </c>
      <c r="C292" t="s">
        <v>896</v>
      </c>
      <c r="D292" t="s">
        <v>3074</v>
      </c>
      <c r="E292" s="1">
        <v>45739</v>
      </c>
      <c r="F292" t="s">
        <v>122</v>
      </c>
      <c r="G292" t="s">
        <v>120</v>
      </c>
      <c r="H292" t="s">
        <v>121</v>
      </c>
      <c r="I292" t="s">
        <v>2652</v>
      </c>
      <c r="J292" t="s">
        <v>2653</v>
      </c>
      <c r="K292" t="s">
        <v>52</v>
      </c>
      <c r="L292">
        <v>37</v>
      </c>
      <c r="M292">
        <v>1</v>
      </c>
      <c r="N292">
        <v>15</v>
      </c>
      <c r="O292" t="s">
        <v>845</v>
      </c>
      <c r="P292" t="s">
        <v>75</v>
      </c>
      <c r="Q292" t="s">
        <v>58</v>
      </c>
      <c r="R292" t="s">
        <v>71</v>
      </c>
      <c r="S292" t="s">
        <v>123</v>
      </c>
      <c r="T292">
        <v>3</v>
      </c>
      <c r="U292" s="5">
        <v>182.08</v>
      </c>
      <c r="V292" s="5">
        <v>93.88</v>
      </c>
      <c r="W292">
        <v>6</v>
      </c>
      <c r="X292" t="s">
        <v>34</v>
      </c>
      <c r="Y292">
        <v>2025</v>
      </c>
      <c r="Z292" t="str">
        <f>TEXT(Table1[[#This Row],[Order Date]],"MMM")</f>
        <v>Mar</v>
      </c>
      <c r="AA292" s="5">
        <f>Table1[[#This Row],[Unit Price]]*Table1[[#This Row],[Quantity]]*(1-Table1[[#This Row],[Discount %]]/100)</f>
        <v>154.768</v>
      </c>
      <c r="AB292" s="5">
        <f>Table1[[#This Row],[Sales]]-Table1[[#This Row],[Cost]]</f>
        <v>60.888000000000005</v>
      </c>
    </row>
    <row r="293" spans="1:28" x14ac:dyDescent="0.3">
      <c r="A293" t="s">
        <v>897</v>
      </c>
      <c r="B293" s="1">
        <v>46056</v>
      </c>
      <c r="C293" t="s">
        <v>898</v>
      </c>
      <c r="D293" t="s">
        <v>3075</v>
      </c>
      <c r="E293" s="1">
        <v>46062</v>
      </c>
      <c r="F293" t="s">
        <v>122</v>
      </c>
      <c r="G293" t="s">
        <v>120</v>
      </c>
      <c r="H293" t="s">
        <v>121</v>
      </c>
      <c r="I293" t="s">
        <v>2668</v>
      </c>
      <c r="J293" t="s">
        <v>2712</v>
      </c>
      <c r="K293" t="s">
        <v>25</v>
      </c>
      <c r="L293">
        <v>53</v>
      </c>
      <c r="M293">
        <v>1</v>
      </c>
      <c r="N293">
        <v>10</v>
      </c>
      <c r="O293" t="s">
        <v>899</v>
      </c>
      <c r="P293" t="s">
        <v>44</v>
      </c>
      <c r="Q293" t="s">
        <v>31</v>
      </c>
      <c r="R293" t="s">
        <v>32</v>
      </c>
      <c r="S293" t="s">
        <v>123</v>
      </c>
      <c r="T293">
        <v>5</v>
      </c>
      <c r="U293" s="5">
        <v>949.29</v>
      </c>
      <c r="V293" s="5">
        <v>566.66</v>
      </c>
      <c r="W293">
        <v>6</v>
      </c>
      <c r="X293" t="s">
        <v>34</v>
      </c>
      <c r="Y293">
        <v>2026</v>
      </c>
      <c r="Z293" t="str">
        <f>TEXT(Table1[[#This Row],[Order Date]],"MMM")</f>
        <v>Feb</v>
      </c>
      <c r="AA293" s="5">
        <f>Table1[[#This Row],[Unit Price]]*Table1[[#This Row],[Quantity]]*(1-Table1[[#This Row],[Discount %]]/100)</f>
        <v>854.36099999999999</v>
      </c>
      <c r="AB293" s="5">
        <f>Table1[[#This Row],[Sales]]-Table1[[#This Row],[Cost]]</f>
        <v>287.70100000000002</v>
      </c>
    </row>
    <row r="294" spans="1:28" x14ac:dyDescent="0.3">
      <c r="A294" t="s">
        <v>900</v>
      </c>
      <c r="B294" s="1">
        <v>45956</v>
      </c>
      <c r="C294" t="s">
        <v>901</v>
      </c>
      <c r="D294" t="s">
        <v>3076</v>
      </c>
      <c r="E294" s="1">
        <v>45962</v>
      </c>
      <c r="F294" t="s">
        <v>68</v>
      </c>
      <c r="G294" t="s">
        <v>66</v>
      </c>
      <c r="H294" t="s">
        <v>67</v>
      </c>
      <c r="I294" t="s">
        <v>2625</v>
      </c>
      <c r="J294" t="s">
        <v>2693</v>
      </c>
      <c r="K294" t="s">
        <v>52</v>
      </c>
      <c r="L294">
        <v>24</v>
      </c>
      <c r="M294">
        <v>4</v>
      </c>
      <c r="N294">
        <v>25</v>
      </c>
      <c r="O294" t="s">
        <v>902</v>
      </c>
      <c r="P294" t="s">
        <v>75</v>
      </c>
      <c r="Q294" t="s">
        <v>58</v>
      </c>
      <c r="R294" t="s">
        <v>62</v>
      </c>
      <c r="S294" t="s">
        <v>69</v>
      </c>
      <c r="T294">
        <v>5</v>
      </c>
      <c r="U294" s="5">
        <v>475.48</v>
      </c>
      <c r="V294" s="5">
        <v>888.97</v>
      </c>
      <c r="W294">
        <v>6</v>
      </c>
      <c r="X294" t="s">
        <v>94</v>
      </c>
      <c r="Y294">
        <v>2025</v>
      </c>
      <c r="Z294" t="str">
        <f>TEXT(Table1[[#This Row],[Order Date]],"MMM")</f>
        <v>Oct</v>
      </c>
      <c r="AA294" s="5">
        <f>Table1[[#This Row],[Unit Price]]*Table1[[#This Row],[Quantity]]*(1-Table1[[#This Row],[Discount %]]/100)</f>
        <v>1426.44</v>
      </c>
      <c r="AB294" s="5">
        <f>Table1[[#This Row],[Sales]]-Table1[[#This Row],[Cost]]</f>
        <v>537.47</v>
      </c>
    </row>
    <row r="295" spans="1:28" x14ac:dyDescent="0.3">
      <c r="A295" t="s">
        <v>903</v>
      </c>
      <c r="B295" s="1">
        <v>45718</v>
      </c>
      <c r="C295" t="s">
        <v>904</v>
      </c>
      <c r="D295" t="s">
        <v>3077</v>
      </c>
      <c r="E295" s="1">
        <v>45719</v>
      </c>
      <c r="F295" t="s">
        <v>56</v>
      </c>
      <c r="G295" t="s">
        <v>54</v>
      </c>
      <c r="H295" t="s">
        <v>55</v>
      </c>
      <c r="I295" t="s">
        <v>2643</v>
      </c>
      <c r="J295" t="s">
        <v>2654</v>
      </c>
      <c r="K295" t="s">
        <v>25</v>
      </c>
      <c r="L295">
        <v>55</v>
      </c>
      <c r="M295">
        <v>4</v>
      </c>
      <c r="N295">
        <v>0</v>
      </c>
      <c r="O295" t="s">
        <v>631</v>
      </c>
      <c r="P295" t="s">
        <v>44</v>
      </c>
      <c r="Q295" t="s">
        <v>31</v>
      </c>
      <c r="R295" t="s">
        <v>43</v>
      </c>
      <c r="S295" t="s">
        <v>57</v>
      </c>
      <c r="T295">
        <v>5</v>
      </c>
      <c r="U295" s="5">
        <v>203.31</v>
      </c>
      <c r="V295" s="5">
        <v>428.75</v>
      </c>
      <c r="W295">
        <v>1</v>
      </c>
      <c r="X295" t="s">
        <v>34</v>
      </c>
      <c r="Y295">
        <v>2025</v>
      </c>
      <c r="Z295" t="str">
        <f>TEXT(Table1[[#This Row],[Order Date]],"MMM")</f>
        <v>Mar</v>
      </c>
      <c r="AA295" s="5">
        <f>Table1[[#This Row],[Unit Price]]*Table1[[#This Row],[Quantity]]*(1-Table1[[#This Row],[Discount %]]/100)</f>
        <v>813.24</v>
      </c>
      <c r="AB295" s="5">
        <f>Table1[[#This Row],[Sales]]-Table1[[#This Row],[Cost]]</f>
        <v>384.49</v>
      </c>
    </row>
    <row r="296" spans="1:28" x14ac:dyDescent="0.3">
      <c r="A296" t="s">
        <v>905</v>
      </c>
      <c r="B296" s="1">
        <v>45739</v>
      </c>
      <c r="C296" t="s">
        <v>906</v>
      </c>
      <c r="D296" t="s">
        <v>3078</v>
      </c>
      <c r="E296" s="1">
        <v>45740</v>
      </c>
      <c r="F296" t="s">
        <v>40</v>
      </c>
      <c r="G296" t="s">
        <v>38</v>
      </c>
      <c r="H296" t="s">
        <v>39</v>
      </c>
      <c r="I296" t="s">
        <v>2619</v>
      </c>
      <c r="J296" t="s">
        <v>2692</v>
      </c>
      <c r="K296" t="s">
        <v>25</v>
      </c>
      <c r="L296">
        <v>41</v>
      </c>
      <c r="M296">
        <v>5</v>
      </c>
      <c r="N296">
        <v>30</v>
      </c>
      <c r="O296" t="s">
        <v>907</v>
      </c>
      <c r="P296" t="s">
        <v>44</v>
      </c>
      <c r="Q296" t="s">
        <v>42</v>
      </c>
      <c r="R296" t="s">
        <v>71</v>
      </c>
      <c r="S296" t="s">
        <v>41</v>
      </c>
      <c r="T296">
        <v>1</v>
      </c>
      <c r="U296" s="5">
        <v>322.89999999999998</v>
      </c>
      <c r="V296" s="5">
        <v>949.99</v>
      </c>
      <c r="W296">
        <v>1</v>
      </c>
      <c r="X296" t="s">
        <v>34</v>
      </c>
      <c r="Y296">
        <v>2025</v>
      </c>
      <c r="Z296" t="str">
        <f>TEXT(Table1[[#This Row],[Order Date]],"MMM")</f>
        <v>Mar</v>
      </c>
      <c r="AA296" s="5">
        <f>Table1[[#This Row],[Unit Price]]*Table1[[#This Row],[Quantity]]*(1-Table1[[#This Row],[Discount %]]/100)</f>
        <v>1130.1499999999999</v>
      </c>
      <c r="AB296" s="5">
        <f>Table1[[#This Row],[Sales]]-Table1[[#This Row],[Cost]]</f>
        <v>180.15999999999985</v>
      </c>
    </row>
    <row r="297" spans="1:28" x14ac:dyDescent="0.3">
      <c r="A297" t="s">
        <v>908</v>
      </c>
      <c r="B297" s="1">
        <v>45337</v>
      </c>
      <c r="C297" t="s">
        <v>909</v>
      </c>
      <c r="D297" t="s">
        <v>3079</v>
      </c>
      <c r="E297" s="1">
        <v>45341</v>
      </c>
      <c r="F297" t="s">
        <v>2617</v>
      </c>
      <c r="G297" t="s">
        <v>27</v>
      </c>
      <c r="H297" t="s">
        <v>28</v>
      </c>
      <c r="I297" t="s">
        <v>2621</v>
      </c>
      <c r="J297" t="s">
        <v>2663</v>
      </c>
      <c r="K297" t="s">
        <v>52</v>
      </c>
      <c r="L297">
        <v>48</v>
      </c>
      <c r="M297">
        <v>2</v>
      </c>
      <c r="N297">
        <v>15</v>
      </c>
      <c r="O297" t="s">
        <v>910</v>
      </c>
      <c r="P297" t="s">
        <v>33</v>
      </c>
      <c r="Q297" t="s">
        <v>70</v>
      </c>
      <c r="R297" t="s">
        <v>32</v>
      </c>
      <c r="S297" t="s">
        <v>30</v>
      </c>
      <c r="T297">
        <v>2</v>
      </c>
      <c r="U297" s="5">
        <v>364.33</v>
      </c>
      <c r="V297" s="5">
        <v>334.42</v>
      </c>
      <c r="W297">
        <v>4</v>
      </c>
      <c r="X297" t="s">
        <v>34</v>
      </c>
      <c r="Y297">
        <v>2024</v>
      </c>
      <c r="Z297" t="str">
        <f>TEXT(Table1[[#This Row],[Order Date]],"MMM")</f>
        <v>Feb</v>
      </c>
      <c r="AA297" s="5">
        <f>Table1[[#This Row],[Unit Price]]*Table1[[#This Row],[Quantity]]*(1-Table1[[#This Row],[Discount %]]/100)</f>
        <v>619.36099999999999</v>
      </c>
      <c r="AB297" s="5">
        <f>Table1[[#This Row],[Sales]]-Table1[[#This Row],[Cost]]</f>
        <v>284.94099999999997</v>
      </c>
    </row>
    <row r="298" spans="1:28" x14ac:dyDescent="0.3">
      <c r="A298" t="s">
        <v>911</v>
      </c>
      <c r="B298" s="1">
        <v>45689</v>
      </c>
      <c r="C298" t="s">
        <v>912</v>
      </c>
      <c r="D298" t="s">
        <v>3080</v>
      </c>
      <c r="E298" s="1">
        <v>45694</v>
      </c>
      <c r="F298" t="s">
        <v>2617</v>
      </c>
      <c r="G298" t="s">
        <v>27</v>
      </c>
      <c r="H298" t="s">
        <v>28</v>
      </c>
      <c r="I298" t="s">
        <v>2631</v>
      </c>
      <c r="J298" t="s">
        <v>2639</v>
      </c>
      <c r="K298" t="s">
        <v>52</v>
      </c>
      <c r="L298">
        <v>55</v>
      </c>
      <c r="M298">
        <v>2</v>
      </c>
      <c r="N298">
        <v>20</v>
      </c>
      <c r="O298" t="s">
        <v>144</v>
      </c>
      <c r="P298" t="s">
        <v>44</v>
      </c>
      <c r="Q298" t="s">
        <v>31</v>
      </c>
      <c r="R298" t="s">
        <v>43</v>
      </c>
      <c r="S298" t="s">
        <v>30</v>
      </c>
      <c r="T298">
        <v>3</v>
      </c>
      <c r="U298" s="5">
        <v>905.45</v>
      </c>
      <c r="V298" s="5">
        <v>1041.9000000000001</v>
      </c>
      <c r="W298">
        <v>5</v>
      </c>
      <c r="X298" t="s">
        <v>34</v>
      </c>
      <c r="Y298">
        <v>2025</v>
      </c>
      <c r="Z298" t="str">
        <f>TEXT(Table1[[#This Row],[Order Date]],"MMM")</f>
        <v>Feb</v>
      </c>
      <c r="AA298" s="5">
        <f>Table1[[#This Row],[Unit Price]]*Table1[[#This Row],[Quantity]]*(1-Table1[[#This Row],[Discount %]]/100)</f>
        <v>1448.7200000000003</v>
      </c>
      <c r="AB298" s="5">
        <f>Table1[[#This Row],[Sales]]-Table1[[#This Row],[Cost]]</f>
        <v>406.82000000000016</v>
      </c>
    </row>
    <row r="299" spans="1:28" x14ac:dyDescent="0.3">
      <c r="A299" t="s">
        <v>913</v>
      </c>
      <c r="B299" s="1">
        <v>45897</v>
      </c>
      <c r="C299" t="s">
        <v>914</v>
      </c>
      <c r="D299" t="s">
        <v>3081</v>
      </c>
      <c r="E299" s="1">
        <v>45902</v>
      </c>
      <c r="F299" t="s">
        <v>2617</v>
      </c>
      <c r="G299" t="s">
        <v>27</v>
      </c>
      <c r="H299" t="s">
        <v>28</v>
      </c>
      <c r="I299" t="s">
        <v>2671</v>
      </c>
      <c r="J299" t="s">
        <v>2672</v>
      </c>
      <c r="K299" t="s">
        <v>52</v>
      </c>
      <c r="L299">
        <v>34</v>
      </c>
      <c r="M299">
        <v>3</v>
      </c>
      <c r="N299">
        <v>15</v>
      </c>
      <c r="O299" t="s">
        <v>915</v>
      </c>
      <c r="P299" t="s">
        <v>75</v>
      </c>
      <c r="Q299" t="s">
        <v>42</v>
      </c>
      <c r="R299" t="s">
        <v>43</v>
      </c>
      <c r="S299" t="s">
        <v>30</v>
      </c>
      <c r="T299">
        <v>1</v>
      </c>
      <c r="U299" s="5">
        <v>352.59</v>
      </c>
      <c r="V299" s="5">
        <v>461.66</v>
      </c>
      <c r="W299">
        <v>5</v>
      </c>
      <c r="X299" t="s">
        <v>45</v>
      </c>
      <c r="Y299">
        <v>2025</v>
      </c>
      <c r="Z299" t="str">
        <f>TEXT(Table1[[#This Row],[Order Date]],"MMM")</f>
        <v>Aug</v>
      </c>
      <c r="AA299" s="5">
        <f>Table1[[#This Row],[Unit Price]]*Table1[[#This Row],[Quantity]]*(1-Table1[[#This Row],[Discount %]]/100)</f>
        <v>899.10449999999992</v>
      </c>
      <c r="AB299" s="5">
        <f>Table1[[#This Row],[Sales]]-Table1[[#This Row],[Cost]]</f>
        <v>437.44449999999989</v>
      </c>
    </row>
    <row r="300" spans="1:28" x14ac:dyDescent="0.3">
      <c r="A300" t="s">
        <v>916</v>
      </c>
      <c r="B300" s="1">
        <v>45564</v>
      </c>
      <c r="C300" t="s">
        <v>917</v>
      </c>
      <c r="D300" t="s">
        <v>3082</v>
      </c>
      <c r="E300" s="1">
        <v>45568</v>
      </c>
      <c r="F300" t="s">
        <v>40</v>
      </c>
      <c r="G300" t="s">
        <v>38</v>
      </c>
      <c r="H300" t="s">
        <v>39</v>
      </c>
      <c r="I300" t="s">
        <v>2643</v>
      </c>
      <c r="J300" t="s">
        <v>2644</v>
      </c>
      <c r="K300" t="s">
        <v>25</v>
      </c>
      <c r="L300">
        <v>36</v>
      </c>
      <c r="M300">
        <v>4</v>
      </c>
      <c r="N300">
        <v>20</v>
      </c>
      <c r="O300" t="s">
        <v>110</v>
      </c>
      <c r="P300" t="s">
        <v>44</v>
      </c>
      <c r="Q300" t="s">
        <v>117</v>
      </c>
      <c r="R300" t="s">
        <v>71</v>
      </c>
      <c r="S300" t="s">
        <v>41</v>
      </c>
      <c r="T300">
        <v>3</v>
      </c>
      <c r="U300" s="5">
        <v>819.51</v>
      </c>
      <c r="V300" s="5">
        <v>2198.94</v>
      </c>
      <c r="W300">
        <v>4</v>
      </c>
      <c r="X300" t="s">
        <v>45</v>
      </c>
      <c r="Y300">
        <v>2024</v>
      </c>
      <c r="Z300" t="str">
        <f>TEXT(Table1[[#This Row],[Order Date]],"MMM")</f>
        <v>Sep</v>
      </c>
      <c r="AA300" s="5">
        <f>Table1[[#This Row],[Unit Price]]*Table1[[#This Row],[Quantity]]*(1-Table1[[#This Row],[Discount %]]/100)</f>
        <v>2622.4320000000002</v>
      </c>
      <c r="AB300" s="5">
        <f>Table1[[#This Row],[Sales]]-Table1[[#This Row],[Cost]]</f>
        <v>423.49200000000019</v>
      </c>
    </row>
    <row r="301" spans="1:28" x14ac:dyDescent="0.3">
      <c r="A301" t="s">
        <v>918</v>
      </c>
      <c r="B301" s="1">
        <v>45925</v>
      </c>
      <c r="C301" t="s">
        <v>919</v>
      </c>
      <c r="D301" t="s">
        <v>3083</v>
      </c>
      <c r="E301" s="1">
        <v>45930</v>
      </c>
      <c r="F301" t="s">
        <v>68</v>
      </c>
      <c r="G301" t="s">
        <v>66</v>
      </c>
      <c r="H301" t="s">
        <v>67</v>
      </c>
      <c r="I301" t="s">
        <v>2625</v>
      </c>
      <c r="J301" t="s">
        <v>2685</v>
      </c>
      <c r="K301" t="s">
        <v>25</v>
      </c>
      <c r="L301">
        <v>25</v>
      </c>
      <c r="M301">
        <v>1</v>
      </c>
      <c r="N301">
        <v>10</v>
      </c>
      <c r="O301" t="s">
        <v>920</v>
      </c>
      <c r="P301" t="s">
        <v>75</v>
      </c>
      <c r="Q301" t="s">
        <v>58</v>
      </c>
      <c r="R301" t="s">
        <v>32</v>
      </c>
      <c r="S301" t="s">
        <v>69</v>
      </c>
      <c r="T301">
        <v>5</v>
      </c>
      <c r="U301" s="5">
        <v>51.56</v>
      </c>
      <c r="V301" s="5">
        <v>32.090000000000003</v>
      </c>
      <c r="W301">
        <v>5</v>
      </c>
      <c r="X301" t="s">
        <v>45</v>
      </c>
      <c r="Y301">
        <v>2025</v>
      </c>
      <c r="Z301" t="str">
        <f>TEXT(Table1[[#This Row],[Order Date]],"MMM")</f>
        <v>Sep</v>
      </c>
      <c r="AA301" s="5">
        <f>Table1[[#This Row],[Unit Price]]*Table1[[#This Row],[Quantity]]*(1-Table1[[#This Row],[Discount %]]/100)</f>
        <v>46.404000000000003</v>
      </c>
      <c r="AB301" s="5">
        <f>Table1[[#This Row],[Sales]]-Table1[[#This Row],[Cost]]</f>
        <v>14.314</v>
      </c>
    </row>
    <row r="302" spans="1:28" x14ac:dyDescent="0.3">
      <c r="A302" t="s">
        <v>921</v>
      </c>
      <c r="B302" s="1">
        <v>45509</v>
      </c>
      <c r="C302" t="s">
        <v>922</v>
      </c>
      <c r="D302" t="s">
        <v>3084</v>
      </c>
      <c r="E302" s="1">
        <v>45511</v>
      </c>
      <c r="F302" t="s">
        <v>56</v>
      </c>
      <c r="G302" t="s">
        <v>54</v>
      </c>
      <c r="H302" t="s">
        <v>55</v>
      </c>
      <c r="I302" t="s">
        <v>2668</v>
      </c>
      <c r="J302" t="s">
        <v>2669</v>
      </c>
      <c r="K302" t="s">
        <v>52</v>
      </c>
      <c r="L302">
        <v>59</v>
      </c>
      <c r="M302">
        <v>5</v>
      </c>
      <c r="N302">
        <v>30</v>
      </c>
      <c r="O302" t="s">
        <v>706</v>
      </c>
      <c r="P302" t="s">
        <v>75</v>
      </c>
      <c r="Q302" t="s">
        <v>70</v>
      </c>
      <c r="R302" t="s">
        <v>62</v>
      </c>
      <c r="S302" t="s">
        <v>57</v>
      </c>
      <c r="T302">
        <v>1</v>
      </c>
      <c r="U302" s="5">
        <v>143.74</v>
      </c>
      <c r="V302" s="5">
        <v>410.49</v>
      </c>
      <c r="W302">
        <v>2</v>
      </c>
      <c r="X302" t="s">
        <v>45</v>
      </c>
      <c r="Y302">
        <v>2024</v>
      </c>
      <c r="Z302" t="str">
        <f>TEXT(Table1[[#This Row],[Order Date]],"MMM")</f>
        <v>Aug</v>
      </c>
      <c r="AA302" s="5">
        <f>Table1[[#This Row],[Unit Price]]*Table1[[#This Row],[Quantity]]*(1-Table1[[#This Row],[Discount %]]/100)</f>
        <v>503.09</v>
      </c>
      <c r="AB302" s="5">
        <f>Table1[[#This Row],[Sales]]-Table1[[#This Row],[Cost]]</f>
        <v>92.599999999999966</v>
      </c>
    </row>
    <row r="303" spans="1:28" x14ac:dyDescent="0.3">
      <c r="A303" t="s">
        <v>923</v>
      </c>
      <c r="B303" s="1">
        <v>45527</v>
      </c>
      <c r="C303" t="s">
        <v>924</v>
      </c>
      <c r="D303" t="s">
        <v>3085</v>
      </c>
      <c r="E303" s="1">
        <v>45530</v>
      </c>
      <c r="F303" t="s">
        <v>68</v>
      </c>
      <c r="G303" t="s">
        <v>66</v>
      </c>
      <c r="H303" t="s">
        <v>67</v>
      </c>
      <c r="I303" t="s">
        <v>2621</v>
      </c>
      <c r="J303" t="s">
        <v>2663</v>
      </c>
      <c r="K303" t="s">
        <v>25</v>
      </c>
      <c r="L303">
        <v>45</v>
      </c>
      <c r="M303">
        <v>3</v>
      </c>
      <c r="N303">
        <v>30</v>
      </c>
      <c r="O303" t="s">
        <v>925</v>
      </c>
      <c r="P303" t="s">
        <v>75</v>
      </c>
      <c r="Q303" t="s">
        <v>58</v>
      </c>
      <c r="R303" t="s">
        <v>32</v>
      </c>
      <c r="S303" t="s">
        <v>69</v>
      </c>
      <c r="T303">
        <v>3</v>
      </c>
      <c r="U303" s="5">
        <v>483.94</v>
      </c>
      <c r="V303" s="5">
        <v>811.98</v>
      </c>
      <c r="W303">
        <v>3</v>
      </c>
      <c r="X303" t="s">
        <v>45</v>
      </c>
      <c r="Y303">
        <v>2024</v>
      </c>
      <c r="Z303" t="str">
        <f>TEXT(Table1[[#This Row],[Order Date]],"MMM")</f>
        <v>Aug</v>
      </c>
      <c r="AA303" s="5">
        <f>Table1[[#This Row],[Unit Price]]*Table1[[#This Row],[Quantity]]*(1-Table1[[#This Row],[Discount %]]/100)</f>
        <v>1016.2739999999999</v>
      </c>
      <c r="AB303" s="5">
        <f>Table1[[#This Row],[Sales]]-Table1[[#This Row],[Cost]]</f>
        <v>204.29399999999987</v>
      </c>
    </row>
    <row r="304" spans="1:28" x14ac:dyDescent="0.3">
      <c r="A304" t="s">
        <v>926</v>
      </c>
      <c r="B304" s="1">
        <v>45552</v>
      </c>
      <c r="C304" t="s">
        <v>927</v>
      </c>
      <c r="D304" t="s">
        <v>3086</v>
      </c>
      <c r="E304" s="1">
        <v>45555</v>
      </c>
      <c r="F304" t="s">
        <v>122</v>
      </c>
      <c r="G304" t="s">
        <v>120</v>
      </c>
      <c r="H304" t="s">
        <v>121</v>
      </c>
      <c r="I304" t="s">
        <v>2621</v>
      </c>
      <c r="J304" t="s">
        <v>2663</v>
      </c>
      <c r="K304" t="s">
        <v>25</v>
      </c>
      <c r="L304">
        <v>47</v>
      </c>
      <c r="M304">
        <v>5</v>
      </c>
      <c r="N304">
        <v>10</v>
      </c>
      <c r="O304" t="s">
        <v>214</v>
      </c>
      <c r="P304" t="s">
        <v>44</v>
      </c>
      <c r="Q304" t="s">
        <v>58</v>
      </c>
      <c r="R304" t="s">
        <v>32</v>
      </c>
      <c r="S304" t="s">
        <v>123</v>
      </c>
      <c r="T304">
        <v>4</v>
      </c>
      <c r="U304" s="5">
        <v>621.53</v>
      </c>
      <c r="V304" s="5">
        <v>1562.43</v>
      </c>
      <c r="W304">
        <v>3</v>
      </c>
      <c r="X304" t="s">
        <v>45</v>
      </c>
      <c r="Y304">
        <v>2024</v>
      </c>
      <c r="Z304" t="str">
        <f>TEXT(Table1[[#This Row],[Order Date]],"MMM")</f>
        <v>Sep</v>
      </c>
      <c r="AA304" s="5">
        <f>Table1[[#This Row],[Unit Price]]*Table1[[#This Row],[Quantity]]*(1-Table1[[#This Row],[Discount %]]/100)</f>
        <v>2796.8849999999998</v>
      </c>
      <c r="AB304" s="5">
        <f>Table1[[#This Row],[Sales]]-Table1[[#This Row],[Cost]]</f>
        <v>1234.4549999999997</v>
      </c>
    </row>
    <row r="305" spans="1:28" x14ac:dyDescent="0.3">
      <c r="A305" t="s">
        <v>928</v>
      </c>
      <c r="B305" s="1">
        <v>45302</v>
      </c>
      <c r="C305" t="s">
        <v>929</v>
      </c>
      <c r="D305" t="s">
        <v>3087</v>
      </c>
      <c r="E305" s="1">
        <v>45303</v>
      </c>
      <c r="F305" t="s">
        <v>122</v>
      </c>
      <c r="G305" t="s">
        <v>120</v>
      </c>
      <c r="H305" t="s">
        <v>121</v>
      </c>
      <c r="I305" t="s">
        <v>2675</v>
      </c>
      <c r="J305" t="s">
        <v>2703</v>
      </c>
      <c r="K305" t="s">
        <v>25</v>
      </c>
      <c r="L305">
        <v>31</v>
      </c>
      <c r="M305">
        <v>5</v>
      </c>
      <c r="N305">
        <v>5</v>
      </c>
      <c r="O305" t="s">
        <v>674</v>
      </c>
      <c r="P305" t="s">
        <v>44</v>
      </c>
      <c r="Q305" t="s">
        <v>31</v>
      </c>
      <c r="R305" t="s">
        <v>71</v>
      </c>
      <c r="S305" t="s">
        <v>123</v>
      </c>
      <c r="T305">
        <v>2</v>
      </c>
      <c r="U305" s="5">
        <v>580.73</v>
      </c>
      <c r="V305" s="5">
        <v>2005.99</v>
      </c>
      <c r="W305">
        <v>1</v>
      </c>
      <c r="X305" t="s">
        <v>34</v>
      </c>
      <c r="Y305">
        <v>2024</v>
      </c>
      <c r="Z305" t="str">
        <f>TEXT(Table1[[#This Row],[Order Date]],"MMM")</f>
        <v>Jan</v>
      </c>
      <c r="AA305" s="5">
        <f>Table1[[#This Row],[Unit Price]]*Table1[[#This Row],[Quantity]]*(1-Table1[[#This Row],[Discount %]]/100)</f>
        <v>2758.4674999999997</v>
      </c>
      <c r="AB305" s="5">
        <f>Table1[[#This Row],[Sales]]-Table1[[#This Row],[Cost]]</f>
        <v>752.47749999999974</v>
      </c>
    </row>
    <row r="306" spans="1:28" x14ac:dyDescent="0.3">
      <c r="A306" t="s">
        <v>930</v>
      </c>
      <c r="B306" s="1">
        <v>46112</v>
      </c>
      <c r="C306" t="s">
        <v>931</v>
      </c>
      <c r="D306" t="s">
        <v>3088</v>
      </c>
      <c r="E306" s="1">
        <v>46113</v>
      </c>
      <c r="F306" t="s">
        <v>100</v>
      </c>
      <c r="G306" t="s">
        <v>98</v>
      </c>
      <c r="H306" t="s">
        <v>99</v>
      </c>
      <c r="I306" t="s">
        <v>2625</v>
      </c>
      <c r="J306" t="s">
        <v>2705</v>
      </c>
      <c r="K306" t="s">
        <v>52</v>
      </c>
      <c r="L306">
        <v>60</v>
      </c>
      <c r="M306">
        <v>1</v>
      </c>
      <c r="N306">
        <v>30</v>
      </c>
      <c r="O306" t="s">
        <v>247</v>
      </c>
      <c r="P306" t="s">
        <v>44</v>
      </c>
      <c r="Q306" t="s">
        <v>58</v>
      </c>
      <c r="R306" t="s">
        <v>71</v>
      </c>
      <c r="S306" t="s">
        <v>101</v>
      </c>
      <c r="T306">
        <v>1</v>
      </c>
      <c r="U306" s="5">
        <v>553.63</v>
      </c>
      <c r="V306" s="5">
        <v>213.01</v>
      </c>
      <c r="W306">
        <v>1</v>
      </c>
      <c r="X306" t="s">
        <v>34</v>
      </c>
      <c r="Y306">
        <v>2026</v>
      </c>
      <c r="Z306" t="str">
        <f>TEXT(Table1[[#This Row],[Order Date]],"MMM")</f>
        <v>Mar</v>
      </c>
      <c r="AA306" s="5">
        <f>Table1[[#This Row],[Unit Price]]*Table1[[#This Row],[Quantity]]*(1-Table1[[#This Row],[Discount %]]/100)</f>
        <v>387.541</v>
      </c>
      <c r="AB306" s="5">
        <f>Table1[[#This Row],[Sales]]-Table1[[#This Row],[Cost]]</f>
        <v>174.53100000000001</v>
      </c>
    </row>
    <row r="307" spans="1:28" x14ac:dyDescent="0.3">
      <c r="A307" t="s">
        <v>932</v>
      </c>
      <c r="B307" s="1">
        <v>46134</v>
      </c>
      <c r="C307" t="s">
        <v>933</v>
      </c>
      <c r="D307" t="s">
        <v>3089</v>
      </c>
      <c r="E307" s="1">
        <v>46137</v>
      </c>
      <c r="F307" t="s">
        <v>68</v>
      </c>
      <c r="G307" t="s">
        <v>66</v>
      </c>
      <c r="H307" t="s">
        <v>67</v>
      </c>
      <c r="I307" t="s">
        <v>2618</v>
      </c>
      <c r="J307" t="s">
        <v>2682</v>
      </c>
      <c r="K307" t="s">
        <v>52</v>
      </c>
      <c r="L307">
        <v>55</v>
      </c>
      <c r="M307">
        <v>5</v>
      </c>
      <c r="N307">
        <v>10</v>
      </c>
      <c r="O307" t="s">
        <v>934</v>
      </c>
      <c r="P307" t="s">
        <v>44</v>
      </c>
      <c r="Q307" t="s">
        <v>70</v>
      </c>
      <c r="R307" t="s">
        <v>32</v>
      </c>
      <c r="S307" t="s">
        <v>69</v>
      </c>
      <c r="T307">
        <v>4</v>
      </c>
      <c r="U307" s="5">
        <v>931.29</v>
      </c>
      <c r="V307" s="5">
        <v>2975.43</v>
      </c>
      <c r="W307">
        <v>3</v>
      </c>
      <c r="X307" t="s">
        <v>49</v>
      </c>
      <c r="Y307">
        <v>2026</v>
      </c>
      <c r="Z307" t="str">
        <f>TEXT(Table1[[#This Row],[Order Date]],"MMM")</f>
        <v>Apr</v>
      </c>
      <c r="AA307" s="5">
        <f>Table1[[#This Row],[Unit Price]]*Table1[[#This Row],[Quantity]]*(1-Table1[[#This Row],[Discount %]]/100)</f>
        <v>4190.8050000000003</v>
      </c>
      <c r="AB307" s="5">
        <f>Table1[[#This Row],[Sales]]-Table1[[#This Row],[Cost]]</f>
        <v>1215.3750000000005</v>
      </c>
    </row>
    <row r="308" spans="1:28" x14ac:dyDescent="0.3">
      <c r="A308" t="s">
        <v>935</v>
      </c>
      <c r="B308" s="1">
        <v>45733</v>
      </c>
      <c r="C308" t="s">
        <v>936</v>
      </c>
      <c r="D308" t="s">
        <v>3090</v>
      </c>
      <c r="E308" s="1">
        <v>45734</v>
      </c>
      <c r="F308" t="s">
        <v>140</v>
      </c>
      <c r="G308" t="s">
        <v>38</v>
      </c>
      <c r="H308" t="s">
        <v>139</v>
      </c>
      <c r="I308" t="s">
        <v>2618</v>
      </c>
      <c r="J308" t="s">
        <v>2700</v>
      </c>
      <c r="K308" t="s">
        <v>52</v>
      </c>
      <c r="L308">
        <v>43</v>
      </c>
      <c r="M308">
        <v>2</v>
      </c>
      <c r="N308">
        <v>25</v>
      </c>
      <c r="O308" t="s">
        <v>400</v>
      </c>
      <c r="P308" t="s">
        <v>44</v>
      </c>
      <c r="Q308" t="s">
        <v>58</v>
      </c>
      <c r="R308" t="s">
        <v>71</v>
      </c>
      <c r="S308" t="s">
        <v>141</v>
      </c>
      <c r="T308">
        <v>5</v>
      </c>
      <c r="U308" s="5">
        <v>682.8</v>
      </c>
      <c r="V308" s="5">
        <v>809.5</v>
      </c>
      <c r="W308">
        <v>1</v>
      </c>
      <c r="X308" t="s">
        <v>34</v>
      </c>
      <c r="Y308">
        <v>2025</v>
      </c>
      <c r="Z308" t="str">
        <f>TEXT(Table1[[#This Row],[Order Date]],"MMM")</f>
        <v>Mar</v>
      </c>
      <c r="AA308" s="5">
        <f>Table1[[#This Row],[Unit Price]]*Table1[[#This Row],[Quantity]]*(1-Table1[[#This Row],[Discount %]]/100)</f>
        <v>1024.1999999999998</v>
      </c>
      <c r="AB308" s="5">
        <f>Table1[[#This Row],[Sales]]-Table1[[#This Row],[Cost]]</f>
        <v>214.69999999999982</v>
      </c>
    </row>
    <row r="309" spans="1:28" x14ac:dyDescent="0.3">
      <c r="A309" t="s">
        <v>937</v>
      </c>
      <c r="B309" s="1">
        <v>45803</v>
      </c>
      <c r="C309" t="s">
        <v>938</v>
      </c>
      <c r="D309" t="s">
        <v>3091</v>
      </c>
      <c r="E309" s="1">
        <v>45809</v>
      </c>
      <c r="F309" t="s">
        <v>68</v>
      </c>
      <c r="G309" t="s">
        <v>66</v>
      </c>
      <c r="H309" t="s">
        <v>67</v>
      </c>
      <c r="I309" t="s">
        <v>2637</v>
      </c>
      <c r="J309" t="s">
        <v>2688</v>
      </c>
      <c r="K309" t="s">
        <v>25</v>
      </c>
      <c r="L309">
        <v>29</v>
      </c>
      <c r="M309">
        <v>5</v>
      </c>
      <c r="N309">
        <v>25</v>
      </c>
      <c r="O309" t="s">
        <v>939</v>
      </c>
      <c r="P309" t="s">
        <v>44</v>
      </c>
      <c r="Q309" t="s">
        <v>58</v>
      </c>
      <c r="R309" t="s">
        <v>62</v>
      </c>
      <c r="S309" t="s">
        <v>69</v>
      </c>
      <c r="T309">
        <v>5</v>
      </c>
      <c r="U309" s="5">
        <v>880.9</v>
      </c>
      <c r="V309" s="5">
        <v>1953.16</v>
      </c>
      <c r="W309">
        <v>6</v>
      </c>
      <c r="X309" t="s">
        <v>49</v>
      </c>
      <c r="Y309">
        <v>2025</v>
      </c>
      <c r="Z309" t="str">
        <f>TEXT(Table1[[#This Row],[Order Date]],"MMM")</f>
        <v>May</v>
      </c>
      <c r="AA309" s="5">
        <f>Table1[[#This Row],[Unit Price]]*Table1[[#This Row],[Quantity]]*(1-Table1[[#This Row],[Discount %]]/100)</f>
        <v>3303.375</v>
      </c>
      <c r="AB309" s="5">
        <f>Table1[[#This Row],[Sales]]-Table1[[#This Row],[Cost]]</f>
        <v>1350.2149999999999</v>
      </c>
    </row>
    <row r="310" spans="1:28" x14ac:dyDescent="0.3">
      <c r="A310" t="s">
        <v>940</v>
      </c>
      <c r="B310" s="1">
        <v>45590</v>
      </c>
      <c r="C310" t="s">
        <v>941</v>
      </c>
      <c r="D310" t="s">
        <v>3092</v>
      </c>
      <c r="E310" s="1">
        <v>45595</v>
      </c>
      <c r="F310" t="s">
        <v>128</v>
      </c>
      <c r="G310" t="s">
        <v>98</v>
      </c>
      <c r="H310" t="s">
        <v>127</v>
      </c>
      <c r="I310" t="s">
        <v>2619</v>
      </c>
      <c r="J310" t="s">
        <v>2620</v>
      </c>
      <c r="K310" t="s">
        <v>25</v>
      </c>
      <c r="L310">
        <v>61</v>
      </c>
      <c r="M310">
        <v>3</v>
      </c>
      <c r="N310">
        <v>25</v>
      </c>
      <c r="O310" t="s">
        <v>942</v>
      </c>
      <c r="P310" t="s">
        <v>33</v>
      </c>
      <c r="Q310" t="s">
        <v>58</v>
      </c>
      <c r="R310" t="s">
        <v>32</v>
      </c>
      <c r="S310" t="s">
        <v>129</v>
      </c>
      <c r="T310">
        <v>2</v>
      </c>
      <c r="U310" s="5">
        <v>874.19</v>
      </c>
      <c r="V310" s="5">
        <v>1319.53</v>
      </c>
      <c r="W310">
        <v>5</v>
      </c>
      <c r="X310" t="s">
        <v>94</v>
      </c>
      <c r="Y310">
        <v>2024</v>
      </c>
      <c r="Z310" t="str">
        <f>TEXT(Table1[[#This Row],[Order Date]],"MMM")</f>
        <v>Oct</v>
      </c>
      <c r="AA310" s="5">
        <f>Table1[[#This Row],[Unit Price]]*Table1[[#This Row],[Quantity]]*(1-Table1[[#This Row],[Discount %]]/100)</f>
        <v>1966.9275000000002</v>
      </c>
      <c r="AB310" s="5">
        <f>Table1[[#This Row],[Sales]]-Table1[[#This Row],[Cost]]</f>
        <v>647.39750000000026</v>
      </c>
    </row>
    <row r="311" spans="1:28" x14ac:dyDescent="0.3">
      <c r="A311" t="s">
        <v>943</v>
      </c>
      <c r="B311" s="1">
        <v>46122</v>
      </c>
      <c r="C311" t="s">
        <v>944</v>
      </c>
      <c r="D311" t="s">
        <v>3093</v>
      </c>
      <c r="E311" s="1">
        <v>46126</v>
      </c>
      <c r="F311" t="s">
        <v>140</v>
      </c>
      <c r="G311" t="s">
        <v>38</v>
      </c>
      <c r="H311" t="s">
        <v>139</v>
      </c>
      <c r="I311" t="s">
        <v>2661</v>
      </c>
      <c r="J311" t="s">
        <v>2689</v>
      </c>
      <c r="K311" t="s">
        <v>52</v>
      </c>
      <c r="L311">
        <v>31</v>
      </c>
      <c r="M311">
        <v>5</v>
      </c>
      <c r="N311">
        <v>20</v>
      </c>
      <c r="O311" t="s">
        <v>945</v>
      </c>
      <c r="P311" t="s">
        <v>75</v>
      </c>
      <c r="Q311" t="s">
        <v>31</v>
      </c>
      <c r="R311" t="s">
        <v>32</v>
      </c>
      <c r="S311" t="s">
        <v>141</v>
      </c>
      <c r="T311">
        <v>2</v>
      </c>
      <c r="U311" s="5">
        <v>92.25</v>
      </c>
      <c r="V311" s="5">
        <v>215.61</v>
      </c>
      <c r="W311">
        <v>4</v>
      </c>
      <c r="X311" t="s">
        <v>49</v>
      </c>
      <c r="Y311">
        <v>2026</v>
      </c>
      <c r="Z311" t="str">
        <f>TEXT(Table1[[#This Row],[Order Date]],"MMM")</f>
        <v>Apr</v>
      </c>
      <c r="AA311" s="5">
        <f>Table1[[#This Row],[Unit Price]]*Table1[[#This Row],[Quantity]]*(1-Table1[[#This Row],[Discount %]]/100)</f>
        <v>369</v>
      </c>
      <c r="AB311" s="5">
        <f>Table1[[#This Row],[Sales]]-Table1[[#This Row],[Cost]]</f>
        <v>153.38999999999999</v>
      </c>
    </row>
    <row r="312" spans="1:28" x14ac:dyDescent="0.3">
      <c r="A312" t="s">
        <v>946</v>
      </c>
      <c r="B312" s="1">
        <v>45351</v>
      </c>
      <c r="C312" t="s">
        <v>947</v>
      </c>
      <c r="D312" t="s">
        <v>3094</v>
      </c>
      <c r="E312" s="1">
        <v>45357</v>
      </c>
      <c r="F312" t="s">
        <v>122</v>
      </c>
      <c r="G312" t="s">
        <v>120</v>
      </c>
      <c r="H312" t="s">
        <v>121</v>
      </c>
      <c r="I312" t="s">
        <v>2621</v>
      </c>
      <c r="J312" t="s">
        <v>2699</v>
      </c>
      <c r="K312" t="s">
        <v>25</v>
      </c>
      <c r="L312">
        <v>40</v>
      </c>
      <c r="M312">
        <v>1</v>
      </c>
      <c r="N312">
        <v>15</v>
      </c>
      <c r="O312" t="s">
        <v>948</v>
      </c>
      <c r="P312" t="s">
        <v>33</v>
      </c>
      <c r="Q312" t="s">
        <v>58</v>
      </c>
      <c r="R312" t="s">
        <v>43</v>
      </c>
      <c r="S312" t="s">
        <v>123</v>
      </c>
      <c r="T312">
        <v>2</v>
      </c>
      <c r="U312" s="5">
        <v>145.97</v>
      </c>
      <c r="V312" s="5">
        <v>64.790000000000006</v>
      </c>
      <c r="W312">
        <v>6</v>
      </c>
      <c r="X312" t="s">
        <v>34</v>
      </c>
      <c r="Y312">
        <v>2024</v>
      </c>
      <c r="Z312" t="str">
        <f>TEXT(Table1[[#This Row],[Order Date]],"MMM")</f>
        <v>Feb</v>
      </c>
      <c r="AA312" s="5">
        <f>Table1[[#This Row],[Unit Price]]*Table1[[#This Row],[Quantity]]*(1-Table1[[#This Row],[Discount %]]/100)</f>
        <v>124.0745</v>
      </c>
      <c r="AB312" s="5">
        <f>Table1[[#This Row],[Sales]]-Table1[[#This Row],[Cost]]</f>
        <v>59.284499999999994</v>
      </c>
    </row>
    <row r="313" spans="1:28" x14ac:dyDescent="0.3">
      <c r="A313" t="s">
        <v>949</v>
      </c>
      <c r="B313" s="1">
        <v>45882</v>
      </c>
      <c r="C313" t="s">
        <v>950</v>
      </c>
      <c r="D313" t="s">
        <v>3095</v>
      </c>
      <c r="E313" s="1">
        <v>45888</v>
      </c>
      <c r="F313" t="s">
        <v>56</v>
      </c>
      <c r="G313" t="s">
        <v>54</v>
      </c>
      <c r="H313" t="s">
        <v>55</v>
      </c>
      <c r="I313" t="s">
        <v>2633</v>
      </c>
      <c r="J313" t="s">
        <v>2645</v>
      </c>
      <c r="K313" t="s">
        <v>52</v>
      </c>
      <c r="L313">
        <v>37</v>
      </c>
      <c r="M313">
        <v>4</v>
      </c>
      <c r="N313">
        <v>10</v>
      </c>
      <c r="O313" t="s">
        <v>951</v>
      </c>
      <c r="P313" t="s">
        <v>33</v>
      </c>
      <c r="Q313" t="s">
        <v>70</v>
      </c>
      <c r="R313" t="s">
        <v>62</v>
      </c>
      <c r="S313" t="s">
        <v>57</v>
      </c>
      <c r="T313">
        <v>4</v>
      </c>
      <c r="U313" s="5">
        <v>323.41000000000003</v>
      </c>
      <c r="V313" s="5">
        <v>762.17</v>
      </c>
      <c r="W313">
        <v>6</v>
      </c>
      <c r="X313" t="s">
        <v>45</v>
      </c>
      <c r="Y313">
        <v>2025</v>
      </c>
      <c r="Z313" t="str">
        <f>TEXT(Table1[[#This Row],[Order Date]],"MMM")</f>
        <v>Aug</v>
      </c>
      <c r="AA313" s="5">
        <f>Table1[[#This Row],[Unit Price]]*Table1[[#This Row],[Quantity]]*(1-Table1[[#This Row],[Discount %]]/100)</f>
        <v>1164.2760000000001</v>
      </c>
      <c r="AB313" s="5">
        <f>Table1[[#This Row],[Sales]]-Table1[[#This Row],[Cost]]</f>
        <v>402.10600000000011</v>
      </c>
    </row>
    <row r="314" spans="1:28" x14ac:dyDescent="0.3">
      <c r="A314" t="s">
        <v>952</v>
      </c>
      <c r="B314" s="1">
        <v>46183</v>
      </c>
      <c r="C314" t="s">
        <v>812</v>
      </c>
      <c r="D314" t="s">
        <v>3096</v>
      </c>
      <c r="E314" s="1">
        <v>46188</v>
      </c>
      <c r="F314" t="s">
        <v>68</v>
      </c>
      <c r="G314" t="s">
        <v>66</v>
      </c>
      <c r="H314" t="s">
        <v>67</v>
      </c>
      <c r="I314" t="s">
        <v>2618</v>
      </c>
      <c r="J314" t="s">
        <v>2701</v>
      </c>
      <c r="K314" t="s">
        <v>25</v>
      </c>
      <c r="L314">
        <v>36</v>
      </c>
      <c r="M314">
        <v>4</v>
      </c>
      <c r="N314">
        <v>0</v>
      </c>
      <c r="O314" t="s">
        <v>953</v>
      </c>
      <c r="P314" t="s">
        <v>75</v>
      </c>
      <c r="Q314" t="s">
        <v>31</v>
      </c>
      <c r="R314" t="s">
        <v>62</v>
      </c>
      <c r="S314" t="s">
        <v>69</v>
      </c>
      <c r="T314">
        <v>3</v>
      </c>
      <c r="U314" s="5">
        <v>397.43</v>
      </c>
      <c r="V314" s="5">
        <v>1166.94</v>
      </c>
      <c r="W314">
        <v>5</v>
      </c>
      <c r="X314" t="s">
        <v>49</v>
      </c>
      <c r="Y314">
        <v>2026</v>
      </c>
      <c r="Z314" t="str">
        <f>TEXT(Table1[[#This Row],[Order Date]],"MMM")</f>
        <v>Jun</v>
      </c>
      <c r="AA314" s="5">
        <f>Table1[[#This Row],[Unit Price]]*Table1[[#This Row],[Quantity]]*(1-Table1[[#This Row],[Discount %]]/100)</f>
        <v>1589.72</v>
      </c>
      <c r="AB314" s="5">
        <f>Table1[[#This Row],[Sales]]-Table1[[#This Row],[Cost]]</f>
        <v>422.78</v>
      </c>
    </row>
    <row r="315" spans="1:28" x14ac:dyDescent="0.3">
      <c r="A315" t="s">
        <v>954</v>
      </c>
      <c r="B315" s="1">
        <v>45811</v>
      </c>
      <c r="C315" t="s">
        <v>955</v>
      </c>
      <c r="D315" t="s">
        <v>3097</v>
      </c>
      <c r="E315" s="1">
        <v>45814</v>
      </c>
      <c r="F315" t="s">
        <v>122</v>
      </c>
      <c r="G315" t="s">
        <v>120</v>
      </c>
      <c r="H315" t="s">
        <v>121</v>
      </c>
      <c r="I315" t="s">
        <v>2630</v>
      </c>
      <c r="J315" t="s">
        <v>2646</v>
      </c>
      <c r="K315" t="s">
        <v>25</v>
      </c>
      <c r="L315">
        <v>30</v>
      </c>
      <c r="M315">
        <v>4</v>
      </c>
      <c r="N315">
        <v>5</v>
      </c>
      <c r="O315" t="s">
        <v>706</v>
      </c>
      <c r="P315" t="s">
        <v>44</v>
      </c>
      <c r="Q315" t="s">
        <v>117</v>
      </c>
      <c r="R315" t="s">
        <v>43</v>
      </c>
      <c r="S315" t="s">
        <v>123</v>
      </c>
      <c r="T315">
        <v>3</v>
      </c>
      <c r="U315" s="5">
        <v>360.19</v>
      </c>
      <c r="V315" s="5">
        <v>1034.0999999999999</v>
      </c>
      <c r="W315">
        <v>3</v>
      </c>
      <c r="X315" t="s">
        <v>49</v>
      </c>
      <c r="Y315">
        <v>2025</v>
      </c>
      <c r="Z315" t="str">
        <f>TEXT(Table1[[#This Row],[Order Date]],"MMM")</f>
        <v>Jun</v>
      </c>
      <c r="AA315" s="5">
        <f>Table1[[#This Row],[Unit Price]]*Table1[[#This Row],[Quantity]]*(1-Table1[[#This Row],[Discount %]]/100)</f>
        <v>1368.722</v>
      </c>
      <c r="AB315" s="5">
        <f>Table1[[#This Row],[Sales]]-Table1[[#This Row],[Cost]]</f>
        <v>334.62200000000007</v>
      </c>
    </row>
    <row r="316" spans="1:28" x14ac:dyDescent="0.3">
      <c r="A316" t="s">
        <v>956</v>
      </c>
      <c r="B316" s="1">
        <v>45564</v>
      </c>
      <c r="C316" t="s">
        <v>957</v>
      </c>
      <c r="D316" t="s">
        <v>3098</v>
      </c>
      <c r="E316" s="1">
        <v>45570</v>
      </c>
      <c r="F316" t="s">
        <v>40</v>
      </c>
      <c r="G316" t="s">
        <v>38</v>
      </c>
      <c r="H316" t="s">
        <v>39</v>
      </c>
      <c r="I316" t="s">
        <v>2637</v>
      </c>
      <c r="J316" t="s">
        <v>2709</v>
      </c>
      <c r="K316" t="s">
        <v>52</v>
      </c>
      <c r="L316">
        <v>61</v>
      </c>
      <c r="M316">
        <v>5</v>
      </c>
      <c r="N316">
        <v>15</v>
      </c>
      <c r="O316" t="s">
        <v>712</v>
      </c>
      <c r="P316" t="s">
        <v>33</v>
      </c>
      <c r="Q316" t="s">
        <v>31</v>
      </c>
      <c r="R316" t="s">
        <v>71</v>
      </c>
      <c r="S316" t="s">
        <v>41</v>
      </c>
      <c r="T316">
        <v>3</v>
      </c>
      <c r="U316" s="5">
        <v>352.91</v>
      </c>
      <c r="V316" s="5">
        <v>1208.82</v>
      </c>
      <c r="W316">
        <v>6</v>
      </c>
      <c r="X316" t="s">
        <v>45</v>
      </c>
      <c r="Y316">
        <v>2024</v>
      </c>
      <c r="Z316" t="str">
        <f>TEXT(Table1[[#This Row],[Order Date]],"MMM")</f>
        <v>Sep</v>
      </c>
      <c r="AA316" s="5">
        <f>Table1[[#This Row],[Unit Price]]*Table1[[#This Row],[Quantity]]*(1-Table1[[#This Row],[Discount %]]/100)</f>
        <v>1499.8675000000001</v>
      </c>
      <c r="AB316" s="5">
        <f>Table1[[#This Row],[Sales]]-Table1[[#This Row],[Cost]]</f>
        <v>291.04750000000013</v>
      </c>
    </row>
    <row r="317" spans="1:28" x14ac:dyDescent="0.3">
      <c r="A317" t="s">
        <v>958</v>
      </c>
      <c r="B317" s="1">
        <v>46013</v>
      </c>
      <c r="C317" t="s">
        <v>959</v>
      </c>
      <c r="D317" t="s">
        <v>3099</v>
      </c>
      <c r="E317" s="1">
        <v>46019</v>
      </c>
      <c r="F317" t="s">
        <v>2617</v>
      </c>
      <c r="G317" t="s">
        <v>27</v>
      </c>
      <c r="H317" t="s">
        <v>28</v>
      </c>
      <c r="I317" t="s">
        <v>2623</v>
      </c>
      <c r="J317" t="s">
        <v>2624</v>
      </c>
      <c r="K317" t="s">
        <v>25</v>
      </c>
      <c r="L317">
        <v>45</v>
      </c>
      <c r="M317">
        <v>4</v>
      </c>
      <c r="N317">
        <v>5</v>
      </c>
      <c r="O317" t="s">
        <v>960</v>
      </c>
      <c r="P317" t="s">
        <v>75</v>
      </c>
      <c r="Q317" t="s">
        <v>58</v>
      </c>
      <c r="R317" t="s">
        <v>71</v>
      </c>
      <c r="S317" t="s">
        <v>30</v>
      </c>
      <c r="T317">
        <v>1</v>
      </c>
      <c r="U317" s="5">
        <v>126.62</v>
      </c>
      <c r="V317" s="5">
        <v>310.79000000000002</v>
      </c>
      <c r="W317">
        <v>6</v>
      </c>
      <c r="X317" t="s">
        <v>94</v>
      </c>
      <c r="Y317">
        <v>2025</v>
      </c>
      <c r="Z317" t="str">
        <f>TEXT(Table1[[#This Row],[Order Date]],"MMM")</f>
        <v>Dec</v>
      </c>
      <c r="AA317" s="5">
        <f>Table1[[#This Row],[Unit Price]]*Table1[[#This Row],[Quantity]]*(1-Table1[[#This Row],[Discount %]]/100)</f>
        <v>481.15600000000001</v>
      </c>
      <c r="AB317" s="5">
        <f>Table1[[#This Row],[Sales]]-Table1[[#This Row],[Cost]]</f>
        <v>170.36599999999999</v>
      </c>
    </row>
    <row r="318" spans="1:28" x14ac:dyDescent="0.3">
      <c r="A318" t="s">
        <v>961</v>
      </c>
      <c r="B318" s="1">
        <v>45322</v>
      </c>
      <c r="C318" t="s">
        <v>962</v>
      </c>
      <c r="D318" t="s">
        <v>3100</v>
      </c>
      <c r="E318" s="1">
        <v>45326</v>
      </c>
      <c r="F318" t="s">
        <v>115</v>
      </c>
      <c r="G318" t="s">
        <v>66</v>
      </c>
      <c r="H318" t="s">
        <v>114</v>
      </c>
      <c r="I318" t="s">
        <v>2655</v>
      </c>
      <c r="J318" t="s">
        <v>2714</v>
      </c>
      <c r="K318" t="s">
        <v>52</v>
      </c>
      <c r="L318">
        <v>23</v>
      </c>
      <c r="M318">
        <v>5</v>
      </c>
      <c r="N318">
        <v>25</v>
      </c>
      <c r="O318" t="s">
        <v>963</v>
      </c>
      <c r="P318" t="s">
        <v>44</v>
      </c>
      <c r="Q318" t="s">
        <v>58</v>
      </c>
      <c r="R318" t="s">
        <v>71</v>
      </c>
      <c r="S318" t="s">
        <v>116</v>
      </c>
      <c r="T318">
        <v>2</v>
      </c>
      <c r="U318" s="5">
        <v>208.45</v>
      </c>
      <c r="V318" s="5">
        <v>659.19</v>
      </c>
      <c r="W318">
        <v>4</v>
      </c>
      <c r="X318" t="s">
        <v>34</v>
      </c>
      <c r="Y318">
        <v>2024</v>
      </c>
      <c r="Z318" t="str">
        <f>TEXT(Table1[[#This Row],[Order Date]],"MMM")</f>
        <v>Jan</v>
      </c>
      <c r="AA318" s="5">
        <f>Table1[[#This Row],[Unit Price]]*Table1[[#This Row],[Quantity]]*(1-Table1[[#This Row],[Discount %]]/100)</f>
        <v>781.6875</v>
      </c>
      <c r="AB318" s="5">
        <f>Table1[[#This Row],[Sales]]-Table1[[#This Row],[Cost]]</f>
        <v>122.49749999999995</v>
      </c>
    </row>
    <row r="319" spans="1:28" x14ac:dyDescent="0.3">
      <c r="A319" t="s">
        <v>964</v>
      </c>
      <c r="B319" s="1">
        <v>45640</v>
      </c>
      <c r="C319" t="s">
        <v>965</v>
      </c>
      <c r="D319" t="s">
        <v>3101</v>
      </c>
      <c r="E319" s="1">
        <v>45642</v>
      </c>
      <c r="F319" t="s">
        <v>40</v>
      </c>
      <c r="G319" t="s">
        <v>38</v>
      </c>
      <c r="H319" t="s">
        <v>39</v>
      </c>
      <c r="I319" t="s">
        <v>2652</v>
      </c>
      <c r="J319" t="s">
        <v>2679</v>
      </c>
      <c r="K319" t="s">
        <v>25</v>
      </c>
      <c r="L319">
        <v>45</v>
      </c>
      <c r="M319">
        <v>5</v>
      </c>
      <c r="N319">
        <v>30</v>
      </c>
      <c r="O319" t="s">
        <v>966</v>
      </c>
      <c r="P319" t="s">
        <v>33</v>
      </c>
      <c r="Q319" t="s">
        <v>58</v>
      </c>
      <c r="R319" t="s">
        <v>43</v>
      </c>
      <c r="S319" t="s">
        <v>41</v>
      </c>
      <c r="T319">
        <v>1</v>
      </c>
      <c r="U319" s="5">
        <v>843.53</v>
      </c>
      <c r="V319" s="5">
        <v>2115.37</v>
      </c>
      <c r="W319">
        <v>2</v>
      </c>
      <c r="X319" t="s">
        <v>94</v>
      </c>
      <c r="Y319">
        <v>2024</v>
      </c>
      <c r="Z319" t="str">
        <f>TEXT(Table1[[#This Row],[Order Date]],"MMM")</f>
        <v>Dec</v>
      </c>
      <c r="AA319" s="5">
        <f>Table1[[#This Row],[Unit Price]]*Table1[[#This Row],[Quantity]]*(1-Table1[[#This Row],[Discount %]]/100)</f>
        <v>2952.3549999999996</v>
      </c>
      <c r="AB319" s="5">
        <f>Table1[[#This Row],[Sales]]-Table1[[#This Row],[Cost]]</f>
        <v>836.98499999999967</v>
      </c>
    </row>
    <row r="320" spans="1:28" x14ac:dyDescent="0.3">
      <c r="A320" t="s">
        <v>967</v>
      </c>
      <c r="B320" s="1">
        <v>45772</v>
      </c>
      <c r="C320" t="s">
        <v>968</v>
      </c>
      <c r="D320" t="s">
        <v>3102</v>
      </c>
      <c r="E320" s="1">
        <v>45779</v>
      </c>
      <c r="F320" t="s">
        <v>128</v>
      </c>
      <c r="G320" t="s">
        <v>98</v>
      </c>
      <c r="H320" t="s">
        <v>127</v>
      </c>
      <c r="I320" t="s">
        <v>2628</v>
      </c>
      <c r="J320" t="s">
        <v>2641</v>
      </c>
      <c r="K320" t="s">
        <v>52</v>
      </c>
      <c r="L320">
        <v>34</v>
      </c>
      <c r="M320">
        <v>4</v>
      </c>
      <c r="N320">
        <v>0</v>
      </c>
      <c r="O320" t="s">
        <v>969</v>
      </c>
      <c r="P320" t="s">
        <v>33</v>
      </c>
      <c r="Q320" t="s">
        <v>42</v>
      </c>
      <c r="R320" t="s">
        <v>43</v>
      </c>
      <c r="S320" t="s">
        <v>129</v>
      </c>
      <c r="T320">
        <v>2</v>
      </c>
      <c r="U320" s="5">
        <v>244.2</v>
      </c>
      <c r="V320" s="5">
        <v>650.20000000000005</v>
      </c>
      <c r="W320">
        <v>7</v>
      </c>
      <c r="X320" t="s">
        <v>49</v>
      </c>
      <c r="Y320">
        <v>2025</v>
      </c>
      <c r="Z320" t="str">
        <f>TEXT(Table1[[#This Row],[Order Date]],"MMM")</f>
        <v>Apr</v>
      </c>
      <c r="AA320" s="5">
        <f>Table1[[#This Row],[Unit Price]]*Table1[[#This Row],[Quantity]]*(1-Table1[[#This Row],[Discount %]]/100)</f>
        <v>976.8</v>
      </c>
      <c r="AB320" s="5">
        <f>Table1[[#This Row],[Sales]]-Table1[[#This Row],[Cost]]</f>
        <v>326.59999999999991</v>
      </c>
    </row>
    <row r="321" spans="1:28" x14ac:dyDescent="0.3">
      <c r="A321" t="s">
        <v>970</v>
      </c>
      <c r="B321" s="1">
        <v>46110</v>
      </c>
      <c r="C321" t="s">
        <v>971</v>
      </c>
      <c r="D321" t="s">
        <v>3103</v>
      </c>
      <c r="E321" s="1">
        <v>46115</v>
      </c>
      <c r="F321" t="s">
        <v>68</v>
      </c>
      <c r="G321" t="s">
        <v>66</v>
      </c>
      <c r="H321" t="s">
        <v>67</v>
      </c>
      <c r="I321" t="s">
        <v>2643</v>
      </c>
      <c r="J321" t="s">
        <v>2644</v>
      </c>
      <c r="K321" t="s">
        <v>52</v>
      </c>
      <c r="L321">
        <v>20</v>
      </c>
      <c r="M321">
        <v>2</v>
      </c>
      <c r="N321">
        <v>25</v>
      </c>
      <c r="O321" t="s">
        <v>972</v>
      </c>
      <c r="P321" t="s">
        <v>44</v>
      </c>
      <c r="Q321" t="s">
        <v>117</v>
      </c>
      <c r="R321" t="s">
        <v>71</v>
      </c>
      <c r="S321" t="s">
        <v>69</v>
      </c>
      <c r="T321">
        <v>2</v>
      </c>
      <c r="U321" s="5">
        <v>323.97000000000003</v>
      </c>
      <c r="V321" s="5">
        <v>325.60000000000002</v>
      </c>
      <c r="W321">
        <v>5</v>
      </c>
      <c r="X321" t="s">
        <v>34</v>
      </c>
      <c r="Y321">
        <v>2026</v>
      </c>
      <c r="Z321" t="str">
        <f>TEXT(Table1[[#This Row],[Order Date]],"MMM")</f>
        <v>Mar</v>
      </c>
      <c r="AA321" s="5">
        <f>Table1[[#This Row],[Unit Price]]*Table1[[#This Row],[Quantity]]*(1-Table1[[#This Row],[Discount %]]/100)</f>
        <v>485.95500000000004</v>
      </c>
      <c r="AB321" s="5">
        <f>Table1[[#This Row],[Sales]]-Table1[[#This Row],[Cost]]</f>
        <v>160.35500000000002</v>
      </c>
    </row>
    <row r="322" spans="1:28" x14ac:dyDescent="0.3">
      <c r="A322" t="s">
        <v>973</v>
      </c>
      <c r="B322" s="1">
        <v>45314</v>
      </c>
      <c r="C322" t="s">
        <v>974</v>
      </c>
      <c r="D322" t="s">
        <v>3104</v>
      </c>
      <c r="E322" s="1">
        <v>45317</v>
      </c>
      <c r="F322" t="s">
        <v>40</v>
      </c>
      <c r="G322" t="s">
        <v>38</v>
      </c>
      <c r="H322" t="s">
        <v>39</v>
      </c>
      <c r="I322" t="s">
        <v>2668</v>
      </c>
      <c r="J322" t="s">
        <v>2669</v>
      </c>
      <c r="K322" t="s">
        <v>25</v>
      </c>
      <c r="L322">
        <v>21</v>
      </c>
      <c r="M322">
        <v>5</v>
      </c>
      <c r="N322">
        <v>30</v>
      </c>
      <c r="O322" t="s">
        <v>975</v>
      </c>
      <c r="P322" t="s">
        <v>75</v>
      </c>
      <c r="Q322" t="s">
        <v>117</v>
      </c>
      <c r="R322" t="s">
        <v>71</v>
      </c>
      <c r="S322" t="s">
        <v>41</v>
      </c>
      <c r="T322">
        <v>4</v>
      </c>
      <c r="U322" s="5">
        <v>303.69</v>
      </c>
      <c r="V322" s="5">
        <v>785.77</v>
      </c>
      <c r="W322">
        <v>3</v>
      </c>
      <c r="X322" t="s">
        <v>34</v>
      </c>
      <c r="Y322">
        <v>2024</v>
      </c>
      <c r="Z322" t="str">
        <f>TEXT(Table1[[#This Row],[Order Date]],"MMM")</f>
        <v>Jan</v>
      </c>
      <c r="AA322" s="5">
        <f>Table1[[#This Row],[Unit Price]]*Table1[[#This Row],[Quantity]]*(1-Table1[[#This Row],[Discount %]]/100)</f>
        <v>1062.915</v>
      </c>
      <c r="AB322" s="5">
        <f>Table1[[#This Row],[Sales]]-Table1[[#This Row],[Cost]]</f>
        <v>277.14499999999998</v>
      </c>
    </row>
    <row r="323" spans="1:28" x14ac:dyDescent="0.3">
      <c r="A323" t="s">
        <v>976</v>
      </c>
      <c r="B323" s="1">
        <v>46033</v>
      </c>
      <c r="C323" t="s">
        <v>977</v>
      </c>
      <c r="D323" t="s">
        <v>3105</v>
      </c>
      <c r="E323" s="1">
        <v>46039</v>
      </c>
      <c r="F323" t="s">
        <v>115</v>
      </c>
      <c r="G323" t="s">
        <v>66</v>
      </c>
      <c r="H323" t="s">
        <v>114</v>
      </c>
      <c r="I323" t="s">
        <v>2648</v>
      </c>
      <c r="J323" t="s">
        <v>2702</v>
      </c>
      <c r="K323" t="s">
        <v>25</v>
      </c>
      <c r="L323">
        <v>32</v>
      </c>
      <c r="M323">
        <v>3</v>
      </c>
      <c r="N323">
        <v>20</v>
      </c>
      <c r="O323" t="s">
        <v>978</v>
      </c>
      <c r="P323" t="s">
        <v>75</v>
      </c>
      <c r="Q323" t="s">
        <v>42</v>
      </c>
      <c r="R323" t="s">
        <v>71</v>
      </c>
      <c r="S323" t="s">
        <v>116</v>
      </c>
      <c r="T323">
        <v>1</v>
      </c>
      <c r="U323" s="5">
        <v>673.65</v>
      </c>
      <c r="V323" s="5">
        <v>1072.71</v>
      </c>
      <c r="W323">
        <v>6</v>
      </c>
      <c r="X323" t="s">
        <v>34</v>
      </c>
      <c r="Y323">
        <v>2026</v>
      </c>
      <c r="Z323" t="str">
        <f>TEXT(Table1[[#This Row],[Order Date]],"MMM")</f>
        <v>Jan</v>
      </c>
      <c r="AA323" s="5">
        <f>Table1[[#This Row],[Unit Price]]*Table1[[#This Row],[Quantity]]*(1-Table1[[#This Row],[Discount %]]/100)</f>
        <v>1616.76</v>
      </c>
      <c r="AB323" s="5">
        <f>Table1[[#This Row],[Sales]]-Table1[[#This Row],[Cost]]</f>
        <v>544.04999999999995</v>
      </c>
    </row>
    <row r="324" spans="1:28" x14ac:dyDescent="0.3">
      <c r="A324" t="s">
        <v>979</v>
      </c>
      <c r="B324" s="1">
        <v>45851</v>
      </c>
      <c r="C324" t="s">
        <v>146</v>
      </c>
      <c r="D324" t="s">
        <v>3106</v>
      </c>
      <c r="E324" s="1">
        <v>45858</v>
      </c>
      <c r="F324" t="s">
        <v>100</v>
      </c>
      <c r="G324" t="s">
        <v>98</v>
      </c>
      <c r="H324" t="s">
        <v>99</v>
      </c>
      <c r="I324" t="s">
        <v>2668</v>
      </c>
      <c r="J324" t="s">
        <v>2686</v>
      </c>
      <c r="K324" t="s">
        <v>25</v>
      </c>
      <c r="L324">
        <v>61</v>
      </c>
      <c r="M324">
        <v>1</v>
      </c>
      <c r="N324">
        <v>30</v>
      </c>
      <c r="O324" t="s">
        <v>980</v>
      </c>
      <c r="P324" t="s">
        <v>75</v>
      </c>
      <c r="Q324" t="s">
        <v>42</v>
      </c>
      <c r="R324" t="s">
        <v>62</v>
      </c>
      <c r="S324" t="s">
        <v>101</v>
      </c>
      <c r="T324">
        <v>5</v>
      </c>
      <c r="U324" s="5">
        <v>85.04</v>
      </c>
      <c r="V324" s="5">
        <v>38.61</v>
      </c>
      <c r="W324">
        <v>7</v>
      </c>
      <c r="X324" t="s">
        <v>45</v>
      </c>
      <c r="Y324">
        <v>2025</v>
      </c>
      <c r="Z324" t="str">
        <f>TEXT(Table1[[#This Row],[Order Date]],"MMM")</f>
        <v>Jul</v>
      </c>
      <c r="AA324" s="5">
        <f>Table1[[#This Row],[Unit Price]]*Table1[[#This Row],[Quantity]]*(1-Table1[[#This Row],[Discount %]]/100)</f>
        <v>59.527999999999999</v>
      </c>
      <c r="AB324" s="5">
        <f>Table1[[#This Row],[Sales]]-Table1[[#This Row],[Cost]]</f>
        <v>20.917999999999999</v>
      </c>
    </row>
    <row r="325" spans="1:28" x14ac:dyDescent="0.3">
      <c r="A325" t="s">
        <v>981</v>
      </c>
      <c r="B325" s="1">
        <v>45347</v>
      </c>
      <c r="C325" t="s">
        <v>982</v>
      </c>
      <c r="D325" t="s">
        <v>3107</v>
      </c>
      <c r="E325" s="1">
        <v>45351</v>
      </c>
      <c r="F325" t="s">
        <v>140</v>
      </c>
      <c r="G325" t="s">
        <v>38</v>
      </c>
      <c r="H325" t="s">
        <v>139</v>
      </c>
      <c r="I325" t="s">
        <v>2631</v>
      </c>
      <c r="J325" t="s">
        <v>2716</v>
      </c>
      <c r="K325" t="s">
        <v>25</v>
      </c>
      <c r="L325">
        <v>56</v>
      </c>
      <c r="M325">
        <v>5</v>
      </c>
      <c r="N325">
        <v>0</v>
      </c>
      <c r="O325" t="s">
        <v>983</v>
      </c>
      <c r="P325" t="s">
        <v>44</v>
      </c>
      <c r="Q325" t="s">
        <v>58</v>
      </c>
      <c r="R325" t="s">
        <v>71</v>
      </c>
      <c r="S325" t="s">
        <v>141</v>
      </c>
      <c r="T325">
        <v>5</v>
      </c>
      <c r="U325" s="5">
        <v>298.92</v>
      </c>
      <c r="V325" s="5">
        <v>1208.29</v>
      </c>
      <c r="W325">
        <v>4</v>
      </c>
      <c r="X325" t="s">
        <v>34</v>
      </c>
      <c r="Y325">
        <v>2024</v>
      </c>
      <c r="Z325" t="str">
        <f>TEXT(Table1[[#This Row],[Order Date]],"MMM")</f>
        <v>Feb</v>
      </c>
      <c r="AA325" s="5">
        <f>Table1[[#This Row],[Unit Price]]*Table1[[#This Row],[Quantity]]*(1-Table1[[#This Row],[Discount %]]/100)</f>
        <v>1494.6000000000001</v>
      </c>
      <c r="AB325" s="5">
        <f>Table1[[#This Row],[Sales]]-Table1[[#This Row],[Cost]]</f>
        <v>286.31000000000017</v>
      </c>
    </row>
    <row r="326" spans="1:28" x14ac:dyDescent="0.3">
      <c r="A326" t="s">
        <v>984</v>
      </c>
      <c r="B326" s="1">
        <v>45742</v>
      </c>
      <c r="C326" t="s">
        <v>985</v>
      </c>
      <c r="D326" t="s">
        <v>3108</v>
      </c>
      <c r="E326" s="1">
        <v>45748</v>
      </c>
      <c r="F326" t="s">
        <v>68</v>
      </c>
      <c r="G326" t="s">
        <v>66</v>
      </c>
      <c r="H326" t="s">
        <v>67</v>
      </c>
      <c r="I326" t="s">
        <v>2633</v>
      </c>
      <c r="J326" t="s">
        <v>2645</v>
      </c>
      <c r="K326" t="s">
        <v>52</v>
      </c>
      <c r="L326">
        <v>63</v>
      </c>
      <c r="M326">
        <v>3</v>
      </c>
      <c r="N326">
        <v>15</v>
      </c>
      <c r="O326" t="s">
        <v>986</v>
      </c>
      <c r="P326" t="s">
        <v>75</v>
      </c>
      <c r="Q326" t="s">
        <v>70</v>
      </c>
      <c r="R326" t="s">
        <v>71</v>
      </c>
      <c r="S326" t="s">
        <v>69</v>
      </c>
      <c r="T326">
        <v>1</v>
      </c>
      <c r="U326" s="5">
        <v>51.78</v>
      </c>
      <c r="V326" s="5">
        <v>91.81</v>
      </c>
      <c r="W326">
        <v>6</v>
      </c>
      <c r="X326" t="s">
        <v>34</v>
      </c>
      <c r="Y326">
        <v>2025</v>
      </c>
      <c r="Z326" t="str">
        <f>TEXT(Table1[[#This Row],[Order Date]],"MMM")</f>
        <v>Mar</v>
      </c>
      <c r="AA326" s="5">
        <f>Table1[[#This Row],[Unit Price]]*Table1[[#This Row],[Quantity]]*(1-Table1[[#This Row],[Discount %]]/100)</f>
        <v>132.03899999999999</v>
      </c>
      <c r="AB326" s="5">
        <f>Table1[[#This Row],[Sales]]-Table1[[#This Row],[Cost]]</f>
        <v>40.228999999999985</v>
      </c>
    </row>
    <row r="327" spans="1:28" x14ac:dyDescent="0.3">
      <c r="A327" t="s">
        <v>987</v>
      </c>
      <c r="B327" s="1">
        <v>45625</v>
      </c>
      <c r="C327" t="s">
        <v>988</v>
      </c>
      <c r="D327" t="s">
        <v>3109</v>
      </c>
      <c r="E327" s="1">
        <v>45631</v>
      </c>
      <c r="F327" t="s">
        <v>56</v>
      </c>
      <c r="G327" t="s">
        <v>54</v>
      </c>
      <c r="H327" t="s">
        <v>55</v>
      </c>
      <c r="I327" t="s">
        <v>2625</v>
      </c>
      <c r="J327" t="s">
        <v>2705</v>
      </c>
      <c r="K327" t="s">
        <v>25</v>
      </c>
      <c r="L327">
        <v>61</v>
      </c>
      <c r="M327">
        <v>5</v>
      </c>
      <c r="N327">
        <v>20</v>
      </c>
      <c r="O327" t="s">
        <v>989</v>
      </c>
      <c r="P327" t="s">
        <v>33</v>
      </c>
      <c r="Q327" t="s">
        <v>70</v>
      </c>
      <c r="R327" t="s">
        <v>62</v>
      </c>
      <c r="S327" t="s">
        <v>57</v>
      </c>
      <c r="T327">
        <v>4</v>
      </c>
      <c r="U327" s="5">
        <v>193.29</v>
      </c>
      <c r="V327" s="5">
        <v>405.27</v>
      </c>
      <c r="W327">
        <v>6</v>
      </c>
      <c r="X327" t="s">
        <v>94</v>
      </c>
      <c r="Y327">
        <v>2024</v>
      </c>
      <c r="Z327" t="str">
        <f>TEXT(Table1[[#This Row],[Order Date]],"MMM")</f>
        <v>Nov</v>
      </c>
      <c r="AA327" s="5">
        <f>Table1[[#This Row],[Unit Price]]*Table1[[#This Row],[Quantity]]*(1-Table1[[#This Row],[Discount %]]/100)</f>
        <v>773.16</v>
      </c>
      <c r="AB327" s="5">
        <f>Table1[[#This Row],[Sales]]-Table1[[#This Row],[Cost]]</f>
        <v>367.89</v>
      </c>
    </row>
    <row r="328" spans="1:28" x14ac:dyDescent="0.3">
      <c r="A328" t="s">
        <v>990</v>
      </c>
      <c r="B328" s="1">
        <v>45464</v>
      </c>
      <c r="C328" t="s">
        <v>991</v>
      </c>
      <c r="D328" t="s">
        <v>3110</v>
      </c>
      <c r="E328" s="1">
        <v>45470</v>
      </c>
      <c r="F328" t="s">
        <v>68</v>
      </c>
      <c r="G328" t="s">
        <v>66</v>
      </c>
      <c r="H328" t="s">
        <v>67</v>
      </c>
      <c r="I328" t="s">
        <v>2659</v>
      </c>
      <c r="J328" t="s">
        <v>2690</v>
      </c>
      <c r="K328" t="s">
        <v>52</v>
      </c>
      <c r="L328">
        <v>37</v>
      </c>
      <c r="M328">
        <v>1</v>
      </c>
      <c r="N328">
        <v>15</v>
      </c>
      <c r="O328" t="s">
        <v>992</v>
      </c>
      <c r="P328" t="s">
        <v>75</v>
      </c>
      <c r="Q328" t="s">
        <v>42</v>
      </c>
      <c r="R328" t="s">
        <v>32</v>
      </c>
      <c r="S328" t="s">
        <v>69</v>
      </c>
      <c r="T328">
        <v>4</v>
      </c>
      <c r="U328" s="5">
        <v>569.64</v>
      </c>
      <c r="V328" s="5">
        <v>350.15</v>
      </c>
      <c r="W328">
        <v>6</v>
      </c>
      <c r="X328" t="s">
        <v>49</v>
      </c>
      <c r="Y328">
        <v>2024</v>
      </c>
      <c r="Z328" t="str">
        <f>TEXT(Table1[[#This Row],[Order Date]],"MMM")</f>
        <v>Jun</v>
      </c>
      <c r="AA328" s="5">
        <f>Table1[[#This Row],[Unit Price]]*Table1[[#This Row],[Quantity]]*(1-Table1[[#This Row],[Discount %]]/100)</f>
        <v>484.19399999999996</v>
      </c>
      <c r="AB328" s="5">
        <f>Table1[[#This Row],[Sales]]-Table1[[#This Row],[Cost]]</f>
        <v>134.04399999999998</v>
      </c>
    </row>
    <row r="329" spans="1:28" x14ac:dyDescent="0.3">
      <c r="A329" t="s">
        <v>993</v>
      </c>
      <c r="B329" s="1">
        <v>45635</v>
      </c>
      <c r="C329" t="s">
        <v>994</v>
      </c>
      <c r="D329" t="s">
        <v>3111</v>
      </c>
      <c r="E329" s="1">
        <v>45638</v>
      </c>
      <c r="F329" t="s">
        <v>40</v>
      </c>
      <c r="G329" t="s">
        <v>38</v>
      </c>
      <c r="H329" t="s">
        <v>39</v>
      </c>
      <c r="I329" t="s">
        <v>2637</v>
      </c>
      <c r="J329" t="s">
        <v>2709</v>
      </c>
      <c r="K329" t="s">
        <v>52</v>
      </c>
      <c r="L329">
        <v>25</v>
      </c>
      <c r="M329">
        <v>3</v>
      </c>
      <c r="N329">
        <v>20</v>
      </c>
      <c r="O329" t="s">
        <v>509</v>
      </c>
      <c r="P329" t="s">
        <v>33</v>
      </c>
      <c r="Q329" t="s">
        <v>70</v>
      </c>
      <c r="R329" t="s">
        <v>71</v>
      </c>
      <c r="S329" t="s">
        <v>41</v>
      </c>
      <c r="T329">
        <v>1</v>
      </c>
      <c r="U329" s="5">
        <v>265.31</v>
      </c>
      <c r="V329" s="5">
        <v>404.29</v>
      </c>
      <c r="W329">
        <v>3</v>
      </c>
      <c r="X329" t="s">
        <v>94</v>
      </c>
      <c r="Y329">
        <v>2024</v>
      </c>
      <c r="Z329" t="str">
        <f>TEXT(Table1[[#This Row],[Order Date]],"MMM")</f>
        <v>Dec</v>
      </c>
      <c r="AA329" s="5">
        <f>Table1[[#This Row],[Unit Price]]*Table1[[#This Row],[Quantity]]*(1-Table1[[#This Row],[Discount %]]/100)</f>
        <v>636.74400000000014</v>
      </c>
      <c r="AB329" s="5">
        <f>Table1[[#This Row],[Sales]]-Table1[[#This Row],[Cost]]</f>
        <v>232.45400000000012</v>
      </c>
    </row>
    <row r="330" spans="1:28" x14ac:dyDescent="0.3">
      <c r="A330" t="s">
        <v>995</v>
      </c>
      <c r="B330" s="1">
        <v>45973</v>
      </c>
      <c r="C330" t="s">
        <v>996</v>
      </c>
      <c r="D330" t="s">
        <v>3112</v>
      </c>
      <c r="E330" s="1">
        <v>45975</v>
      </c>
      <c r="F330" t="s">
        <v>128</v>
      </c>
      <c r="G330" t="s">
        <v>98</v>
      </c>
      <c r="H330" t="s">
        <v>127</v>
      </c>
      <c r="I330" t="s">
        <v>2648</v>
      </c>
      <c r="J330" t="s">
        <v>2649</v>
      </c>
      <c r="K330" t="s">
        <v>52</v>
      </c>
      <c r="L330">
        <v>43</v>
      </c>
      <c r="M330">
        <v>3</v>
      </c>
      <c r="N330">
        <v>5</v>
      </c>
      <c r="O330" t="s">
        <v>997</v>
      </c>
      <c r="P330" t="s">
        <v>33</v>
      </c>
      <c r="Q330" t="s">
        <v>117</v>
      </c>
      <c r="R330" t="s">
        <v>32</v>
      </c>
      <c r="S330" t="s">
        <v>129</v>
      </c>
      <c r="T330">
        <v>1</v>
      </c>
      <c r="U330" s="5">
        <v>535.41999999999996</v>
      </c>
      <c r="V330" s="5">
        <v>896.93</v>
      </c>
      <c r="W330">
        <v>2</v>
      </c>
      <c r="X330" t="s">
        <v>94</v>
      </c>
      <c r="Y330">
        <v>2025</v>
      </c>
      <c r="Z330" t="str">
        <f>TEXT(Table1[[#This Row],[Order Date]],"MMM")</f>
        <v>Nov</v>
      </c>
      <c r="AA330" s="5">
        <f>Table1[[#This Row],[Unit Price]]*Table1[[#This Row],[Quantity]]*(1-Table1[[#This Row],[Discount %]]/100)</f>
        <v>1525.9469999999997</v>
      </c>
      <c r="AB330" s="5">
        <f>Table1[[#This Row],[Sales]]-Table1[[#This Row],[Cost]]</f>
        <v>629.01699999999971</v>
      </c>
    </row>
    <row r="331" spans="1:28" x14ac:dyDescent="0.3">
      <c r="A331" t="s">
        <v>998</v>
      </c>
      <c r="B331" s="1">
        <v>46097</v>
      </c>
      <c r="C331" t="s">
        <v>999</v>
      </c>
      <c r="D331" t="s">
        <v>3113</v>
      </c>
      <c r="E331" s="1">
        <v>46102</v>
      </c>
      <c r="F331" t="s">
        <v>68</v>
      </c>
      <c r="G331" t="s">
        <v>66</v>
      </c>
      <c r="H331" t="s">
        <v>67</v>
      </c>
      <c r="I331" t="s">
        <v>2619</v>
      </c>
      <c r="J331" t="s">
        <v>2697</v>
      </c>
      <c r="K331" t="s">
        <v>52</v>
      </c>
      <c r="L331">
        <v>28</v>
      </c>
      <c r="M331">
        <v>4</v>
      </c>
      <c r="N331">
        <v>10</v>
      </c>
      <c r="O331" t="s">
        <v>1000</v>
      </c>
      <c r="P331" t="s">
        <v>75</v>
      </c>
      <c r="Q331" t="s">
        <v>70</v>
      </c>
      <c r="R331" t="s">
        <v>71</v>
      </c>
      <c r="S331" t="s">
        <v>69</v>
      </c>
      <c r="T331">
        <v>2</v>
      </c>
      <c r="U331" s="5">
        <v>34.06</v>
      </c>
      <c r="V331" s="5">
        <v>71.180000000000007</v>
      </c>
      <c r="W331">
        <v>5</v>
      </c>
      <c r="X331" t="s">
        <v>34</v>
      </c>
      <c r="Y331">
        <v>2026</v>
      </c>
      <c r="Z331" t="str">
        <f>TEXT(Table1[[#This Row],[Order Date]],"MMM")</f>
        <v>Mar</v>
      </c>
      <c r="AA331" s="5">
        <f>Table1[[#This Row],[Unit Price]]*Table1[[#This Row],[Quantity]]*(1-Table1[[#This Row],[Discount %]]/100)</f>
        <v>122.61600000000001</v>
      </c>
      <c r="AB331" s="5">
        <f>Table1[[#This Row],[Sales]]-Table1[[#This Row],[Cost]]</f>
        <v>51.436000000000007</v>
      </c>
    </row>
    <row r="332" spans="1:28" x14ac:dyDescent="0.3">
      <c r="A332" t="s">
        <v>1001</v>
      </c>
      <c r="B332" s="1">
        <v>45421</v>
      </c>
      <c r="C332" t="s">
        <v>1002</v>
      </c>
      <c r="D332" t="s">
        <v>3114</v>
      </c>
      <c r="E332" s="1">
        <v>45427</v>
      </c>
      <c r="F332" t="s">
        <v>122</v>
      </c>
      <c r="G332" t="s">
        <v>120</v>
      </c>
      <c r="H332" t="s">
        <v>121</v>
      </c>
      <c r="I332" t="s">
        <v>2618</v>
      </c>
      <c r="J332" t="s">
        <v>2618</v>
      </c>
      <c r="K332" t="s">
        <v>25</v>
      </c>
      <c r="L332">
        <v>25</v>
      </c>
      <c r="M332">
        <v>4</v>
      </c>
      <c r="N332">
        <v>25</v>
      </c>
      <c r="O332" t="s">
        <v>84</v>
      </c>
      <c r="P332" t="s">
        <v>75</v>
      </c>
      <c r="Q332" t="s">
        <v>117</v>
      </c>
      <c r="R332" t="s">
        <v>71</v>
      </c>
      <c r="S332" t="s">
        <v>123</v>
      </c>
      <c r="T332">
        <v>1</v>
      </c>
      <c r="U332" s="5">
        <v>713.54</v>
      </c>
      <c r="V332" s="5">
        <v>1184.03</v>
      </c>
      <c r="W332">
        <v>6</v>
      </c>
      <c r="X332" t="s">
        <v>49</v>
      </c>
      <c r="Y332">
        <v>2024</v>
      </c>
      <c r="Z332" t="str">
        <f>TEXT(Table1[[#This Row],[Order Date]],"MMM")</f>
        <v>May</v>
      </c>
      <c r="AA332" s="5">
        <f>Table1[[#This Row],[Unit Price]]*Table1[[#This Row],[Quantity]]*(1-Table1[[#This Row],[Discount %]]/100)</f>
        <v>2140.62</v>
      </c>
      <c r="AB332" s="5">
        <f>Table1[[#This Row],[Sales]]-Table1[[#This Row],[Cost]]</f>
        <v>956.58999999999992</v>
      </c>
    </row>
    <row r="333" spans="1:28" x14ac:dyDescent="0.3">
      <c r="A333" t="s">
        <v>1003</v>
      </c>
      <c r="B333" s="1">
        <v>46065</v>
      </c>
      <c r="C333" t="s">
        <v>1004</v>
      </c>
      <c r="D333" t="s">
        <v>3115</v>
      </c>
      <c r="E333" s="1">
        <v>46066</v>
      </c>
      <c r="F333" t="s">
        <v>115</v>
      </c>
      <c r="G333" t="s">
        <v>66</v>
      </c>
      <c r="H333" t="s">
        <v>114</v>
      </c>
      <c r="I333" t="s">
        <v>2628</v>
      </c>
      <c r="J333" t="s">
        <v>2641</v>
      </c>
      <c r="K333" t="s">
        <v>25</v>
      </c>
      <c r="L333">
        <v>54</v>
      </c>
      <c r="M333">
        <v>3</v>
      </c>
      <c r="N333">
        <v>5</v>
      </c>
      <c r="O333" t="s">
        <v>1005</v>
      </c>
      <c r="P333" t="s">
        <v>75</v>
      </c>
      <c r="Q333" t="s">
        <v>42</v>
      </c>
      <c r="R333" t="s">
        <v>62</v>
      </c>
      <c r="S333" t="s">
        <v>116</v>
      </c>
      <c r="T333">
        <v>3</v>
      </c>
      <c r="U333" s="5">
        <v>302.52</v>
      </c>
      <c r="V333" s="5">
        <v>572.73</v>
      </c>
      <c r="W333">
        <v>1</v>
      </c>
      <c r="X333" t="s">
        <v>34</v>
      </c>
      <c r="Y333">
        <v>2026</v>
      </c>
      <c r="Z333" t="str">
        <f>TEXT(Table1[[#This Row],[Order Date]],"MMM")</f>
        <v>Feb</v>
      </c>
      <c r="AA333" s="5">
        <f>Table1[[#This Row],[Unit Price]]*Table1[[#This Row],[Quantity]]*(1-Table1[[#This Row],[Discount %]]/100)</f>
        <v>862.1819999999999</v>
      </c>
      <c r="AB333" s="5">
        <f>Table1[[#This Row],[Sales]]-Table1[[#This Row],[Cost]]</f>
        <v>289.45199999999988</v>
      </c>
    </row>
    <row r="334" spans="1:28" x14ac:dyDescent="0.3">
      <c r="A334" t="s">
        <v>1006</v>
      </c>
      <c r="B334" s="1">
        <v>45351</v>
      </c>
      <c r="C334" t="s">
        <v>1007</v>
      </c>
      <c r="D334" t="s">
        <v>3116</v>
      </c>
      <c r="E334" s="1">
        <v>45358</v>
      </c>
      <c r="F334" t="s">
        <v>2617</v>
      </c>
      <c r="G334" t="s">
        <v>27</v>
      </c>
      <c r="H334" t="s">
        <v>28</v>
      </c>
      <c r="I334" t="s">
        <v>2650</v>
      </c>
      <c r="J334" t="s">
        <v>2680</v>
      </c>
      <c r="K334" t="s">
        <v>25</v>
      </c>
      <c r="L334">
        <v>64</v>
      </c>
      <c r="M334">
        <v>3</v>
      </c>
      <c r="N334">
        <v>20</v>
      </c>
      <c r="O334" t="s">
        <v>580</v>
      </c>
      <c r="P334" t="s">
        <v>75</v>
      </c>
      <c r="Q334" t="s">
        <v>58</v>
      </c>
      <c r="R334" t="s">
        <v>71</v>
      </c>
      <c r="S334" t="s">
        <v>30</v>
      </c>
      <c r="T334">
        <v>5</v>
      </c>
      <c r="U334" s="5">
        <v>468.12</v>
      </c>
      <c r="V334" s="5">
        <v>747.37</v>
      </c>
      <c r="W334">
        <v>7</v>
      </c>
      <c r="X334" t="s">
        <v>34</v>
      </c>
      <c r="Y334">
        <v>2024</v>
      </c>
      <c r="Z334" t="str">
        <f>TEXT(Table1[[#This Row],[Order Date]],"MMM")</f>
        <v>Feb</v>
      </c>
      <c r="AA334" s="5">
        <f>Table1[[#This Row],[Unit Price]]*Table1[[#This Row],[Quantity]]*(1-Table1[[#This Row],[Discount %]]/100)</f>
        <v>1123.4880000000001</v>
      </c>
      <c r="AB334" s="5">
        <f>Table1[[#This Row],[Sales]]-Table1[[#This Row],[Cost]]</f>
        <v>376.11800000000005</v>
      </c>
    </row>
    <row r="335" spans="1:28" x14ac:dyDescent="0.3">
      <c r="A335" t="s">
        <v>1008</v>
      </c>
      <c r="B335" s="1">
        <v>45742</v>
      </c>
      <c r="C335" t="s">
        <v>1009</v>
      </c>
      <c r="D335" t="s">
        <v>3117</v>
      </c>
      <c r="E335" s="1">
        <v>45749</v>
      </c>
      <c r="F335" t="s">
        <v>56</v>
      </c>
      <c r="G335" t="s">
        <v>54</v>
      </c>
      <c r="H335" t="s">
        <v>55</v>
      </c>
      <c r="I335" t="s">
        <v>2621</v>
      </c>
      <c r="J335" t="s">
        <v>2647</v>
      </c>
      <c r="K335" t="s">
        <v>52</v>
      </c>
      <c r="L335">
        <v>44</v>
      </c>
      <c r="M335">
        <v>5</v>
      </c>
      <c r="N335">
        <v>10</v>
      </c>
      <c r="O335" t="s">
        <v>1010</v>
      </c>
      <c r="P335" t="s">
        <v>75</v>
      </c>
      <c r="Q335" t="s">
        <v>31</v>
      </c>
      <c r="R335" t="s">
        <v>62</v>
      </c>
      <c r="S335" t="s">
        <v>57</v>
      </c>
      <c r="T335">
        <v>1</v>
      </c>
      <c r="U335" s="5">
        <v>980.35</v>
      </c>
      <c r="V335" s="5">
        <v>3199.24</v>
      </c>
      <c r="W335">
        <v>7</v>
      </c>
      <c r="X335" t="s">
        <v>34</v>
      </c>
      <c r="Y335">
        <v>2025</v>
      </c>
      <c r="Z335" t="str">
        <f>TEXT(Table1[[#This Row],[Order Date]],"MMM")</f>
        <v>Mar</v>
      </c>
      <c r="AA335" s="5">
        <f>Table1[[#This Row],[Unit Price]]*Table1[[#This Row],[Quantity]]*(1-Table1[[#This Row],[Discount %]]/100)</f>
        <v>4411.5749999999998</v>
      </c>
      <c r="AB335" s="5">
        <f>Table1[[#This Row],[Sales]]-Table1[[#This Row],[Cost]]</f>
        <v>1212.335</v>
      </c>
    </row>
    <row r="336" spans="1:28" x14ac:dyDescent="0.3">
      <c r="A336" t="s">
        <v>1011</v>
      </c>
      <c r="B336" s="1">
        <v>46123</v>
      </c>
      <c r="C336" t="s">
        <v>1012</v>
      </c>
      <c r="D336" t="s">
        <v>3118</v>
      </c>
      <c r="E336" s="1">
        <v>46128</v>
      </c>
      <c r="F336" t="s">
        <v>140</v>
      </c>
      <c r="G336" t="s">
        <v>38</v>
      </c>
      <c r="H336" t="s">
        <v>139</v>
      </c>
      <c r="I336" t="s">
        <v>2671</v>
      </c>
      <c r="J336" t="s">
        <v>2695</v>
      </c>
      <c r="K336" t="s">
        <v>25</v>
      </c>
      <c r="L336">
        <v>59</v>
      </c>
      <c r="M336">
        <v>4</v>
      </c>
      <c r="N336">
        <v>15</v>
      </c>
      <c r="O336" t="s">
        <v>1013</v>
      </c>
      <c r="P336" t="s">
        <v>44</v>
      </c>
      <c r="Q336" t="s">
        <v>117</v>
      </c>
      <c r="R336" t="s">
        <v>62</v>
      </c>
      <c r="S336" t="s">
        <v>141</v>
      </c>
      <c r="T336">
        <v>4</v>
      </c>
      <c r="U336" s="5">
        <v>742.99</v>
      </c>
      <c r="V336" s="5">
        <v>1314.7</v>
      </c>
      <c r="W336">
        <v>5</v>
      </c>
      <c r="X336" t="s">
        <v>49</v>
      </c>
      <c r="Y336">
        <v>2026</v>
      </c>
      <c r="Z336" t="str">
        <f>TEXT(Table1[[#This Row],[Order Date]],"MMM")</f>
        <v>Apr</v>
      </c>
      <c r="AA336" s="5">
        <f>Table1[[#This Row],[Unit Price]]*Table1[[#This Row],[Quantity]]*(1-Table1[[#This Row],[Discount %]]/100)</f>
        <v>2526.1660000000002</v>
      </c>
      <c r="AB336" s="5">
        <f>Table1[[#This Row],[Sales]]-Table1[[#This Row],[Cost]]</f>
        <v>1211.4660000000001</v>
      </c>
    </row>
    <row r="337" spans="1:30" x14ac:dyDescent="0.3">
      <c r="A337" t="s">
        <v>1014</v>
      </c>
      <c r="B337" s="1">
        <v>46130</v>
      </c>
      <c r="C337" t="s">
        <v>1015</v>
      </c>
      <c r="D337" t="s">
        <v>3119</v>
      </c>
      <c r="E337" s="1">
        <v>46136</v>
      </c>
      <c r="F337" t="s">
        <v>29</v>
      </c>
      <c r="G337" t="s">
        <v>27</v>
      </c>
      <c r="H337" t="s">
        <v>28</v>
      </c>
      <c r="I337" t="s">
        <v>2648</v>
      </c>
      <c r="J337" t="s">
        <v>2702</v>
      </c>
      <c r="K337" t="s">
        <v>52</v>
      </c>
      <c r="L337">
        <v>30</v>
      </c>
      <c r="M337">
        <v>2</v>
      </c>
      <c r="N337">
        <v>10</v>
      </c>
      <c r="O337" t="s">
        <v>580</v>
      </c>
      <c r="P337" t="s">
        <v>33</v>
      </c>
      <c r="Q337" t="s">
        <v>117</v>
      </c>
      <c r="R337" t="s">
        <v>32</v>
      </c>
      <c r="S337" t="s">
        <v>30</v>
      </c>
      <c r="T337">
        <v>5</v>
      </c>
      <c r="U337" s="5">
        <v>335.57</v>
      </c>
      <c r="V337" s="5">
        <v>463.14</v>
      </c>
      <c r="W337">
        <v>6</v>
      </c>
      <c r="X337" t="s">
        <v>49</v>
      </c>
      <c r="Y337">
        <v>2026</v>
      </c>
      <c r="Z337" t="str">
        <f>TEXT(Table1[[#This Row],[Order Date]],"MMM")</f>
        <v>Apr</v>
      </c>
      <c r="AA337" s="5">
        <f>Table1[[#This Row],[Unit Price]]*Table1[[#This Row],[Quantity]]*(1-Table1[[#This Row],[Discount %]]/100)</f>
        <v>604.02599999999995</v>
      </c>
      <c r="AB337" s="5">
        <f>Table1[[#This Row],[Sales]]-Table1[[#This Row],[Cost]]</f>
        <v>140.88599999999997</v>
      </c>
    </row>
    <row r="338" spans="1:30" x14ac:dyDescent="0.3">
      <c r="A338" t="s">
        <v>1016</v>
      </c>
      <c r="B338" s="1">
        <v>45583</v>
      </c>
      <c r="C338" t="s">
        <v>1017</v>
      </c>
      <c r="D338" t="s">
        <v>3120</v>
      </c>
      <c r="E338" s="1">
        <v>45584</v>
      </c>
      <c r="F338" t="s">
        <v>29</v>
      </c>
      <c r="G338" t="s">
        <v>27</v>
      </c>
      <c r="H338" t="s">
        <v>28</v>
      </c>
      <c r="I338" t="s">
        <v>2625</v>
      </c>
      <c r="J338" t="s">
        <v>2693</v>
      </c>
      <c r="K338" t="s">
        <v>52</v>
      </c>
      <c r="L338">
        <v>59</v>
      </c>
      <c r="M338">
        <v>3</v>
      </c>
      <c r="N338">
        <v>0</v>
      </c>
      <c r="O338" t="s">
        <v>168</v>
      </c>
      <c r="P338" t="s">
        <v>44</v>
      </c>
      <c r="Q338" t="s">
        <v>58</v>
      </c>
      <c r="R338" t="s">
        <v>43</v>
      </c>
      <c r="S338" t="s">
        <v>30</v>
      </c>
      <c r="T338">
        <v>2</v>
      </c>
      <c r="U338" s="5">
        <v>485.06</v>
      </c>
      <c r="V338" s="5">
        <v>1092.29</v>
      </c>
      <c r="W338">
        <v>1</v>
      </c>
      <c r="X338" t="s">
        <v>94</v>
      </c>
      <c r="Y338">
        <v>2024</v>
      </c>
      <c r="Z338" t="str">
        <f>TEXT(Table1[[#This Row],[Order Date]],"MMM")</f>
        <v>Oct</v>
      </c>
      <c r="AA338" s="5">
        <f>Table1[[#This Row],[Unit Price]]*Table1[[#This Row],[Quantity]]*(1-Table1[[#This Row],[Discount %]]/100)</f>
        <v>1455.18</v>
      </c>
      <c r="AB338" s="5">
        <f>Table1[[#This Row],[Sales]]-Table1[[#This Row],[Cost]]</f>
        <v>362.8900000000001</v>
      </c>
    </row>
    <row r="339" spans="1:30" x14ac:dyDescent="0.3">
      <c r="A339" t="s">
        <v>1018</v>
      </c>
      <c r="B339" s="1">
        <v>45718</v>
      </c>
      <c r="C339" t="s">
        <v>1019</v>
      </c>
      <c r="D339" t="s">
        <v>3121</v>
      </c>
      <c r="E339" s="1">
        <v>45719</v>
      </c>
      <c r="F339" t="s">
        <v>56</v>
      </c>
      <c r="G339" t="s">
        <v>54</v>
      </c>
      <c r="H339" t="s">
        <v>55</v>
      </c>
      <c r="I339" t="s">
        <v>2648</v>
      </c>
      <c r="J339" t="s">
        <v>2702</v>
      </c>
      <c r="K339" t="s">
        <v>25</v>
      </c>
      <c r="L339">
        <v>26</v>
      </c>
      <c r="M339">
        <v>2</v>
      </c>
      <c r="N339">
        <v>5</v>
      </c>
      <c r="O339" t="s">
        <v>622</v>
      </c>
      <c r="P339" t="s">
        <v>44</v>
      </c>
      <c r="Q339" t="s">
        <v>31</v>
      </c>
      <c r="R339" t="s">
        <v>43</v>
      </c>
      <c r="S339" t="s">
        <v>57</v>
      </c>
      <c r="T339">
        <v>4</v>
      </c>
      <c r="U339" s="5">
        <v>923.56</v>
      </c>
      <c r="V339" s="5">
        <v>888.56</v>
      </c>
      <c r="W339">
        <v>1</v>
      </c>
      <c r="X339" t="s">
        <v>34</v>
      </c>
      <c r="Y339">
        <v>2025</v>
      </c>
      <c r="Z339" t="str">
        <f>TEXT(Table1[[#This Row],[Order Date]],"MMM")</f>
        <v>Mar</v>
      </c>
      <c r="AA339" s="5">
        <f>Table1[[#This Row],[Unit Price]]*Table1[[#This Row],[Quantity]]*(1-Table1[[#This Row],[Discount %]]/100)</f>
        <v>1754.7639999999999</v>
      </c>
      <c r="AB339" s="5">
        <f>Table1[[#This Row],[Sales]]-Table1[[#This Row],[Cost]]</f>
        <v>866.20399999999995</v>
      </c>
    </row>
    <row r="340" spans="1:30" x14ac:dyDescent="0.3">
      <c r="A340" t="s">
        <v>1020</v>
      </c>
      <c r="B340" s="1">
        <v>45433</v>
      </c>
      <c r="C340" t="s">
        <v>1021</v>
      </c>
      <c r="D340" t="s">
        <v>3122</v>
      </c>
      <c r="E340" s="1">
        <v>45438</v>
      </c>
      <c r="F340" t="s">
        <v>128</v>
      </c>
      <c r="G340" t="s">
        <v>98</v>
      </c>
      <c r="H340" t="s">
        <v>127</v>
      </c>
      <c r="I340" t="s">
        <v>2655</v>
      </c>
      <c r="J340" t="s">
        <v>2656</v>
      </c>
      <c r="K340" t="s">
        <v>25</v>
      </c>
      <c r="L340">
        <v>33</v>
      </c>
      <c r="M340">
        <v>4</v>
      </c>
      <c r="N340">
        <v>30</v>
      </c>
      <c r="O340" t="s">
        <v>1022</v>
      </c>
      <c r="P340" t="s">
        <v>44</v>
      </c>
      <c r="Q340" t="s">
        <v>58</v>
      </c>
      <c r="R340" t="s">
        <v>32</v>
      </c>
      <c r="S340" t="s">
        <v>129</v>
      </c>
      <c r="T340">
        <v>4</v>
      </c>
      <c r="U340" s="5">
        <v>629.97</v>
      </c>
      <c r="V340" s="5">
        <v>1423.56</v>
      </c>
      <c r="W340">
        <v>5</v>
      </c>
      <c r="X340" t="s">
        <v>49</v>
      </c>
      <c r="Y340">
        <v>2024</v>
      </c>
      <c r="Z340" t="str">
        <f>TEXT(Table1[[#This Row],[Order Date]],"MMM")</f>
        <v>May</v>
      </c>
      <c r="AA340" s="5">
        <f>Table1[[#This Row],[Unit Price]]*Table1[[#This Row],[Quantity]]*(1-Table1[[#This Row],[Discount %]]/100)</f>
        <v>1763.9159999999999</v>
      </c>
      <c r="AB340" s="5">
        <f>Table1[[#This Row],[Sales]]-Table1[[#This Row],[Cost]]</f>
        <v>340.35599999999999</v>
      </c>
    </row>
    <row r="341" spans="1:30" x14ac:dyDescent="0.3">
      <c r="A341" t="s">
        <v>1023</v>
      </c>
      <c r="B341" s="1">
        <v>46078</v>
      </c>
      <c r="C341" t="s">
        <v>1024</v>
      </c>
      <c r="D341" t="s">
        <v>3123</v>
      </c>
      <c r="E341" s="1">
        <v>46080</v>
      </c>
      <c r="F341" t="s">
        <v>122</v>
      </c>
      <c r="G341" t="s">
        <v>120</v>
      </c>
      <c r="H341" t="s">
        <v>121</v>
      </c>
      <c r="I341" t="s">
        <v>2621</v>
      </c>
      <c r="J341" t="s">
        <v>2699</v>
      </c>
      <c r="K341" t="s">
        <v>25</v>
      </c>
      <c r="L341">
        <v>50</v>
      </c>
      <c r="M341">
        <v>2</v>
      </c>
      <c r="N341">
        <v>20</v>
      </c>
      <c r="O341" t="s">
        <v>344</v>
      </c>
      <c r="P341" t="s">
        <v>44</v>
      </c>
      <c r="Q341" t="s">
        <v>58</v>
      </c>
      <c r="R341" t="s">
        <v>43</v>
      </c>
      <c r="S341" t="s">
        <v>123</v>
      </c>
      <c r="T341">
        <v>4</v>
      </c>
      <c r="U341" s="5">
        <v>55.43</v>
      </c>
      <c r="V341" s="5">
        <v>64.87</v>
      </c>
      <c r="W341">
        <v>2</v>
      </c>
      <c r="X341" t="s">
        <v>34</v>
      </c>
      <c r="Y341">
        <v>2026</v>
      </c>
      <c r="Z341" t="str">
        <f>TEXT(Table1[[#This Row],[Order Date]],"MMM")</f>
        <v>Feb</v>
      </c>
      <c r="AA341" s="5">
        <f>Table1[[#This Row],[Unit Price]]*Table1[[#This Row],[Quantity]]*(1-Table1[[#This Row],[Discount %]]/100)</f>
        <v>88.688000000000002</v>
      </c>
      <c r="AB341" s="5">
        <f>Table1[[#This Row],[Sales]]-Table1[[#This Row],[Cost]]</f>
        <v>23.817999999999998</v>
      </c>
    </row>
    <row r="342" spans="1:30" x14ac:dyDescent="0.3">
      <c r="A342" t="s">
        <v>1025</v>
      </c>
      <c r="B342" s="1">
        <v>45824</v>
      </c>
      <c r="C342" t="s">
        <v>1026</v>
      </c>
      <c r="D342" t="s">
        <v>3124</v>
      </c>
      <c r="E342" s="1">
        <v>45828</v>
      </c>
      <c r="F342" t="s">
        <v>128</v>
      </c>
      <c r="G342" t="s">
        <v>98</v>
      </c>
      <c r="H342" t="s">
        <v>127</v>
      </c>
      <c r="I342" t="s">
        <v>2628</v>
      </c>
      <c r="J342" t="s">
        <v>2711</v>
      </c>
      <c r="K342" t="s">
        <v>52</v>
      </c>
      <c r="L342">
        <v>63</v>
      </c>
      <c r="M342">
        <v>2</v>
      </c>
      <c r="N342">
        <v>5</v>
      </c>
      <c r="O342" t="s">
        <v>717</v>
      </c>
      <c r="P342" t="s">
        <v>33</v>
      </c>
      <c r="Q342" t="s">
        <v>42</v>
      </c>
      <c r="R342" t="s">
        <v>32</v>
      </c>
      <c r="S342" t="s">
        <v>129</v>
      </c>
      <c r="T342">
        <v>4</v>
      </c>
      <c r="U342" s="5">
        <v>21.91</v>
      </c>
      <c r="V342" s="5">
        <v>25.39</v>
      </c>
      <c r="W342">
        <v>4</v>
      </c>
      <c r="X342" t="s">
        <v>49</v>
      </c>
      <c r="Y342">
        <v>2025</v>
      </c>
      <c r="Z342" t="str">
        <f>TEXT(Table1[[#This Row],[Order Date]],"MMM")</f>
        <v>Jun</v>
      </c>
      <c r="AA342" s="5">
        <f>Table1[[#This Row],[Unit Price]]*Table1[[#This Row],[Quantity]]*(1-Table1[[#This Row],[Discount %]]/100)</f>
        <v>41.628999999999998</v>
      </c>
      <c r="AB342" s="5">
        <f>Table1[[#This Row],[Sales]]-Table1[[#This Row],[Cost]]</f>
        <v>16.238999999999997</v>
      </c>
    </row>
    <row r="343" spans="1:30" x14ac:dyDescent="0.3">
      <c r="A343" t="s">
        <v>1027</v>
      </c>
      <c r="B343" s="1">
        <v>45725</v>
      </c>
      <c r="C343" t="s">
        <v>1028</v>
      </c>
      <c r="D343" t="s">
        <v>3125</v>
      </c>
      <c r="E343" s="1">
        <v>45729</v>
      </c>
      <c r="F343" t="s">
        <v>100</v>
      </c>
      <c r="G343" t="s">
        <v>98</v>
      </c>
      <c r="H343" t="s">
        <v>99</v>
      </c>
      <c r="I343" t="s">
        <v>2629</v>
      </c>
      <c r="J343" t="s">
        <v>2632</v>
      </c>
      <c r="K343" t="s">
        <v>25</v>
      </c>
      <c r="L343">
        <v>26</v>
      </c>
      <c r="M343">
        <v>2</v>
      </c>
      <c r="N343">
        <v>0</v>
      </c>
      <c r="O343" t="s">
        <v>1029</v>
      </c>
      <c r="P343" t="s">
        <v>44</v>
      </c>
      <c r="Q343" t="s">
        <v>31</v>
      </c>
      <c r="R343" t="s">
        <v>71</v>
      </c>
      <c r="S343" t="s">
        <v>101</v>
      </c>
      <c r="T343">
        <v>2</v>
      </c>
      <c r="U343" s="5">
        <v>415.24</v>
      </c>
      <c r="V343" s="5">
        <v>450.53</v>
      </c>
      <c r="W343">
        <v>4</v>
      </c>
      <c r="X343" t="s">
        <v>34</v>
      </c>
      <c r="Y343">
        <v>2025</v>
      </c>
      <c r="Z343" t="str">
        <f>TEXT(Table1[[#This Row],[Order Date]],"MMM")</f>
        <v>Mar</v>
      </c>
      <c r="AA343" s="5">
        <f>Table1[[#This Row],[Unit Price]]*Table1[[#This Row],[Quantity]]*(1-Table1[[#This Row],[Discount %]]/100)</f>
        <v>830.48</v>
      </c>
      <c r="AB343" s="5">
        <f>Table1[[#This Row],[Sales]]-Table1[[#This Row],[Cost]]</f>
        <v>379.95000000000005</v>
      </c>
    </row>
    <row r="344" spans="1:30" x14ac:dyDescent="0.3">
      <c r="A344" t="s">
        <v>1030</v>
      </c>
      <c r="B344" s="1">
        <v>46180</v>
      </c>
      <c r="C344" t="s">
        <v>1031</v>
      </c>
      <c r="D344" t="s">
        <v>3126</v>
      </c>
      <c r="E344" s="1">
        <v>46187</v>
      </c>
      <c r="F344" t="s">
        <v>115</v>
      </c>
      <c r="G344" t="s">
        <v>66</v>
      </c>
      <c r="H344" t="s">
        <v>114</v>
      </c>
      <c r="I344" t="s">
        <v>2659</v>
      </c>
      <c r="J344" t="s">
        <v>2660</v>
      </c>
      <c r="K344" t="s">
        <v>25</v>
      </c>
      <c r="L344">
        <v>65</v>
      </c>
      <c r="M344">
        <v>3</v>
      </c>
      <c r="N344">
        <v>25</v>
      </c>
      <c r="O344" t="s">
        <v>1032</v>
      </c>
      <c r="P344" t="s">
        <v>75</v>
      </c>
      <c r="Q344" t="s">
        <v>31</v>
      </c>
      <c r="R344" t="s">
        <v>32</v>
      </c>
      <c r="S344" t="s">
        <v>116</v>
      </c>
      <c r="T344">
        <v>3</v>
      </c>
      <c r="U344" s="5">
        <v>821.05</v>
      </c>
      <c r="V344" s="5">
        <v>1215.29</v>
      </c>
      <c r="W344">
        <v>7</v>
      </c>
      <c r="X344" t="s">
        <v>49</v>
      </c>
      <c r="Y344">
        <v>2026</v>
      </c>
      <c r="Z344" t="str">
        <f>TEXT(Table1[[#This Row],[Order Date]],"MMM")</f>
        <v>Jun</v>
      </c>
      <c r="AA344" s="5">
        <f>Table1[[#This Row],[Unit Price]]*Table1[[#This Row],[Quantity]]*(1-Table1[[#This Row],[Discount %]]/100)</f>
        <v>1847.3624999999997</v>
      </c>
      <c r="AB344" s="5">
        <f>Table1[[#This Row],[Sales]]-Table1[[#This Row],[Cost]]</f>
        <v>632.07249999999976</v>
      </c>
    </row>
    <row r="345" spans="1:30" x14ac:dyDescent="0.3">
      <c r="A345" t="s">
        <v>1033</v>
      </c>
      <c r="B345" s="1">
        <v>45676</v>
      </c>
      <c r="C345" t="s">
        <v>1034</v>
      </c>
      <c r="D345" t="s">
        <v>3127</v>
      </c>
      <c r="E345" s="1">
        <v>45682</v>
      </c>
      <c r="F345" t="s">
        <v>56</v>
      </c>
      <c r="G345" t="s">
        <v>54</v>
      </c>
      <c r="H345" t="s">
        <v>55</v>
      </c>
      <c r="I345" t="s">
        <v>2628</v>
      </c>
      <c r="J345" t="s">
        <v>2642</v>
      </c>
      <c r="K345" t="s">
        <v>52</v>
      </c>
      <c r="L345">
        <v>22</v>
      </c>
      <c r="M345">
        <v>5</v>
      </c>
      <c r="N345">
        <v>15</v>
      </c>
      <c r="O345" t="s">
        <v>1035</v>
      </c>
      <c r="P345" t="s">
        <v>33</v>
      </c>
      <c r="Q345" t="s">
        <v>58</v>
      </c>
      <c r="R345" t="s">
        <v>71</v>
      </c>
      <c r="S345" t="s">
        <v>57</v>
      </c>
      <c r="T345">
        <v>5</v>
      </c>
      <c r="U345" s="5">
        <v>17.75</v>
      </c>
      <c r="V345" s="5">
        <v>48.45</v>
      </c>
      <c r="W345">
        <v>6</v>
      </c>
      <c r="X345" t="s">
        <v>34</v>
      </c>
      <c r="Y345">
        <v>2025</v>
      </c>
      <c r="Z345" t="str">
        <f>TEXT(Table1[[#This Row],[Order Date]],"MMM")</f>
        <v>Jan</v>
      </c>
      <c r="AA345" s="5">
        <f>Table1[[#This Row],[Unit Price]]*Table1[[#This Row],[Quantity]]*(1-Table1[[#This Row],[Discount %]]/100)</f>
        <v>75.4375</v>
      </c>
      <c r="AB345" s="5">
        <f>Table1[[#This Row],[Sales]]-Table1[[#This Row],[Cost]]</f>
        <v>26.987499999999997</v>
      </c>
    </row>
    <row r="346" spans="1:30" x14ac:dyDescent="0.3">
      <c r="A346" t="s">
        <v>1036</v>
      </c>
      <c r="B346" s="1">
        <v>45501</v>
      </c>
      <c r="C346" t="s">
        <v>1037</v>
      </c>
      <c r="D346" t="s">
        <v>3128</v>
      </c>
      <c r="E346" s="1">
        <v>45503</v>
      </c>
      <c r="F346" t="s">
        <v>29</v>
      </c>
      <c r="G346" t="s">
        <v>27</v>
      </c>
      <c r="H346" t="s">
        <v>28</v>
      </c>
      <c r="I346" t="s">
        <v>2619</v>
      </c>
      <c r="J346" t="s">
        <v>2620</v>
      </c>
      <c r="K346" t="s">
        <v>25</v>
      </c>
      <c r="L346">
        <v>20</v>
      </c>
      <c r="M346">
        <v>5</v>
      </c>
      <c r="N346">
        <v>25</v>
      </c>
      <c r="O346" t="s">
        <v>1038</v>
      </c>
      <c r="P346" t="s">
        <v>33</v>
      </c>
      <c r="Q346" t="s">
        <v>42</v>
      </c>
      <c r="R346" t="s">
        <v>43</v>
      </c>
      <c r="S346" t="s">
        <v>30</v>
      </c>
      <c r="T346">
        <v>3</v>
      </c>
      <c r="U346" s="5">
        <v>822.01</v>
      </c>
      <c r="V346" s="5">
        <v>2276.75</v>
      </c>
      <c r="W346">
        <v>2</v>
      </c>
      <c r="X346" t="s">
        <v>45</v>
      </c>
      <c r="Y346">
        <v>2024</v>
      </c>
      <c r="Z346" t="str">
        <f>TEXT(Table1[[#This Row],[Order Date]],"MMM")</f>
        <v>Jul</v>
      </c>
      <c r="AA346" s="5">
        <f>Table1[[#This Row],[Unit Price]]*Table1[[#This Row],[Quantity]]*(1-Table1[[#This Row],[Discount %]]/100)</f>
        <v>3082.5375000000004</v>
      </c>
      <c r="AB346" s="5">
        <f>Table1[[#This Row],[Sales]]-Table1[[#This Row],[Cost]]</f>
        <v>805.78750000000036</v>
      </c>
    </row>
    <row r="347" spans="1:30" x14ac:dyDescent="0.3">
      <c r="A347" t="s">
        <v>1039</v>
      </c>
      <c r="B347" s="1">
        <v>46130</v>
      </c>
      <c r="C347" t="s">
        <v>1040</v>
      </c>
      <c r="D347" t="s">
        <v>3129</v>
      </c>
      <c r="E347" s="1">
        <v>46133</v>
      </c>
      <c r="F347" t="s">
        <v>128</v>
      </c>
      <c r="G347" t="s">
        <v>98</v>
      </c>
      <c r="H347" t="s">
        <v>127</v>
      </c>
      <c r="I347" t="s">
        <v>2668</v>
      </c>
      <c r="J347" t="s">
        <v>2712</v>
      </c>
      <c r="K347" t="s">
        <v>25</v>
      </c>
      <c r="L347">
        <v>52</v>
      </c>
      <c r="M347">
        <v>5</v>
      </c>
      <c r="N347">
        <v>25</v>
      </c>
      <c r="O347" t="s">
        <v>1041</v>
      </c>
      <c r="P347" t="s">
        <v>75</v>
      </c>
      <c r="Q347" t="s">
        <v>42</v>
      </c>
      <c r="R347" t="s">
        <v>43</v>
      </c>
      <c r="S347" t="s">
        <v>129</v>
      </c>
      <c r="T347">
        <v>1</v>
      </c>
      <c r="U347" s="5">
        <v>325.39</v>
      </c>
      <c r="V347" s="5">
        <v>753.23</v>
      </c>
      <c r="W347">
        <v>3</v>
      </c>
      <c r="X347" t="s">
        <v>49</v>
      </c>
      <c r="Y347">
        <v>2026</v>
      </c>
      <c r="Z347" t="str">
        <f>TEXT(Table1[[#This Row],[Order Date]],"MMM")</f>
        <v>Apr</v>
      </c>
      <c r="AA347" s="5">
        <f>Table1[[#This Row],[Unit Price]]*Table1[[#This Row],[Quantity]]*(1-Table1[[#This Row],[Discount %]]/100)</f>
        <v>1220.2124999999999</v>
      </c>
      <c r="AB347" s="5">
        <f>Table1[[#This Row],[Sales]]-Table1[[#This Row],[Cost]]</f>
        <v>466.98249999999985</v>
      </c>
    </row>
    <row r="348" spans="1:30" x14ac:dyDescent="0.3">
      <c r="A348" t="s">
        <v>1042</v>
      </c>
      <c r="B348" s="1">
        <v>45577</v>
      </c>
      <c r="C348" t="s">
        <v>1043</v>
      </c>
      <c r="D348" t="s">
        <v>3130</v>
      </c>
      <c r="E348" s="1">
        <v>45583</v>
      </c>
      <c r="F348" t="s">
        <v>40</v>
      </c>
      <c r="G348" t="s">
        <v>38</v>
      </c>
      <c r="H348" t="s">
        <v>39</v>
      </c>
      <c r="I348" t="s">
        <v>2668</v>
      </c>
      <c r="J348" t="s">
        <v>2712</v>
      </c>
      <c r="K348" t="s">
        <v>25</v>
      </c>
      <c r="L348">
        <v>28</v>
      </c>
      <c r="M348">
        <v>4</v>
      </c>
      <c r="N348">
        <v>30</v>
      </c>
      <c r="O348" t="s">
        <v>1044</v>
      </c>
      <c r="P348" t="s">
        <v>75</v>
      </c>
      <c r="Q348" t="s">
        <v>58</v>
      </c>
      <c r="R348" t="s">
        <v>71</v>
      </c>
      <c r="S348" t="s">
        <v>41</v>
      </c>
      <c r="T348">
        <v>4</v>
      </c>
      <c r="U348" s="5">
        <v>793.03</v>
      </c>
      <c r="V348" s="5">
        <v>1776.87</v>
      </c>
      <c r="W348">
        <v>6</v>
      </c>
      <c r="X348" t="s">
        <v>94</v>
      </c>
      <c r="Y348">
        <v>2024</v>
      </c>
      <c r="Z348" t="str">
        <f>TEXT(Table1[[#This Row],[Order Date]],"MMM")</f>
        <v>Oct</v>
      </c>
      <c r="AA348" s="5">
        <f>Table1[[#This Row],[Unit Price]]*Table1[[#This Row],[Quantity]]*(1-Table1[[#This Row],[Discount %]]/100)</f>
        <v>2220.4839999999999</v>
      </c>
      <c r="AB348" s="5">
        <f>Table1[[#This Row],[Sales]]-Table1[[#This Row],[Cost]]</f>
        <v>443.61400000000003</v>
      </c>
    </row>
    <row r="349" spans="1:30" x14ac:dyDescent="0.3">
      <c r="A349" t="s">
        <v>1045</v>
      </c>
      <c r="B349" s="1">
        <v>45675</v>
      </c>
      <c r="C349" t="s">
        <v>1046</v>
      </c>
      <c r="D349" t="s">
        <v>3131</v>
      </c>
      <c r="E349" s="1">
        <v>45679</v>
      </c>
      <c r="F349" t="s">
        <v>29</v>
      </c>
      <c r="G349" t="s">
        <v>27</v>
      </c>
      <c r="H349" t="s">
        <v>28</v>
      </c>
      <c r="I349" t="s">
        <v>2623</v>
      </c>
      <c r="J349" t="s">
        <v>2713</v>
      </c>
      <c r="K349" t="s">
        <v>52</v>
      </c>
      <c r="L349">
        <v>36</v>
      </c>
      <c r="M349">
        <v>4</v>
      </c>
      <c r="N349">
        <v>5</v>
      </c>
      <c r="O349" t="s">
        <v>1047</v>
      </c>
      <c r="P349" t="s">
        <v>33</v>
      </c>
      <c r="Q349" t="s">
        <v>117</v>
      </c>
      <c r="R349" t="s">
        <v>43</v>
      </c>
      <c r="S349" t="s">
        <v>30</v>
      </c>
      <c r="T349">
        <v>4</v>
      </c>
      <c r="U349" s="5">
        <v>933.46</v>
      </c>
      <c r="V349" s="5">
        <v>2629.59</v>
      </c>
      <c r="W349">
        <v>4</v>
      </c>
      <c r="X349" t="s">
        <v>34</v>
      </c>
      <c r="Y349">
        <v>2025</v>
      </c>
      <c r="Z349" t="str">
        <f>TEXT(Table1[[#This Row],[Order Date]],"MMM")</f>
        <v>Jan</v>
      </c>
      <c r="AA349" s="5">
        <f>Table1[[#This Row],[Unit Price]]*Table1[[#This Row],[Quantity]]*(1-Table1[[#This Row],[Discount %]]/100)</f>
        <v>3547.1480000000001</v>
      </c>
      <c r="AB349" s="6">
        <f>Table1[[#This Row],[Sales]]-Table1[[#This Row],[Cost]]</f>
        <v>917.55799999999999</v>
      </c>
      <c r="AC349" s="3"/>
      <c r="AD349" s="4"/>
    </row>
    <row r="350" spans="1:30" x14ac:dyDescent="0.3">
      <c r="A350" t="s">
        <v>1048</v>
      </c>
      <c r="B350" s="1">
        <v>45536</v>
      </c>
      <c r="C350" t="s">
        <v>1049</v>
      </c>
      <c r="D350" t="s">
        <v>3132</v>
      </c>
      <c r="E350" s="1">
        <v>45543</v>
      </c>
      <c r="F350" t="s">
        <v>122</v>
      </c>
      <c r="G350" t="s">
        <v>120</v>
      </c>
      <c r="H350" t="s">
        <v>121</v>
      </c>
      <c r="I350" t="s">
        <v>2675</v>
      </c>
      <c r="J350" t="s">
        <v>2703</v>
      </c>
      <c r="K350" t="s">
        <v>52</v>
      </c>
      <c r="L350">
        <v>31</v>
      </c>
      <c r="M350">
        <v>4</v>
      </c>
      <c r="N350">
        <v>15</v>
      </c>
      <c r="O350" t="s">
        <v>948</v>
      </c>
      <c r="P350" t="s">
        <v>44</v>
      </c>
      <c r="Q350" t="s">
        <v>58</v>
      </c>
      <c r="R350" t="s">
        <v>62</v>
      </c>
      <c r="S350" t="s">
        <v>123</v>
      </c>
      <c r="T350">
        <v>5</v>
      </c>
      <c r="U350" s="5">
        <v>885.96</v>
      </c>
      <c r="V350" s="5">
        <v>2127.16</v>
      </c>
      <c r="W350">
        <v>7</v>
      </c>
      <c r="X350" t="s">
        <v>45</v>
      </c>
      <c r="Y350">
        <v>2024</v>
      </c>
      <c r="Z350" t="str">
        <f>TEXT(Table1[[#This Row],[Order Date]],"MMM")</f>
        <v>Sep</v>
      </c>
      <c r="AA350" s="5">
        <f>Table1[[#This Row],[Unit Price]]*Table1[[#This Row],[Quantity]]*(1-Table1[[#This Row],[Discount %]]/100)</f>
        <v>3012.2640000000001</v>
      </c>
      <c r="AB350" s="7">
        <f>Table1[[#This Row],[Sales]]-Table1[[#This Row],[Cost]]</f>
        <v>885.10400000000027</v>
      </c>
      <c r="AC350" s="2"/>
      <c r="AD350" s="4"/>
    </row>
    <row r="351" spans="1:30" x14ac:dyDescent="0.3">
      <c r="A351" t="s">
        <v>1050</v>
      </c>
      <c r="B351" s="1">
        <v>46084</v>
      </c>
      <c r="C351" t="s">
        <v>1051</v>
      </c>
      <c r="D351" t="s">
        <v>3133</v>
      </c>
      <c r="E351" s="1">
        <v>46087</v>
      </c>
      <c r="F351" t="s">
        <v>122</v>
      </c>
      <c r="G351" t="s">
        <v>120</v>
      </c>
      <c r="H351" t="s">
        <v>121</v>
      </c>
      <c r="I351" t="s">
        <v>2664</v>
      </c>
      <c r="J351" t="s">
        <v>2665</v>
      </c>
      <c r="K351" t="s">
        <v>25</v>
      </c>
      <c r="L351">
        <v>53</v>
      </c>
      <c r="M351">
        <v>4</v>
      </c>
      <c r="N351">
        <v>10</v>
      </c>
      <c r="O351" t="s">
        <v>1052</v>
      </c>
      <c r="P351" t="s">
        <v>75</v>
      </c>
      <c r="Q351" t="s">
        <v>31</v>
      </c>
      <c r="R351" t="s">
        <v>43</v>
      </c>
      <c r="S351" t="s">
        <v>123</v>
      </c>
      <c r="T351">
        <v>2</v>
      </c>
      <c r="U351" s="5">
        <v>900.85</v>
      </c>
      <c r="V351" s="5">
        <v>1947.89</v>
      </c>
      <c r="W351">
        <v>3</v>
      </c>
      <c r="X351" t="s">
        <v>34</v>
      </c>
      <c r="Y351">
        <v>2026</v>
      </c>
      <c r="Z351" t="str">
        <f>TEXT(Table1[[#This Row],[Order Date]],"MMM")</f>
        <v>Mar</v>
      </c>
      <c r="AA351" s="5">
        <f>Table1[[#This Row],[Unit Price]]*Table1[[#This Row],[Quantity]]*(1-Table1[[#This Row],[Discount %]]/100)</f>
        <v>3243.06</v>
      </c>
      <c r="AB351" s="7">
        <f>Table1[[#This Row],[Sales]]-Table1[[#This Row],[Cost]]</f>
        <v>1295.1699999999998</v>
      </c>
      <c r="AC351" s="2"/>
      <c r="AD351" s="4"/>
    </row>
    <row r="352" spans="1:30" x14ac:dyDescent="0.3">
      <c r="A352" t="s">
        <v>1053</v>
      </c>
      <c r="B352" s="1">
        <v>45979</v>
      </c>
      <c r="C352" t="s">
        <v>1054</v>
      </c>
      <c r="D352" t="s">
        <v>3134</v>
      </c>
      <c r="E352" s="1">
        <v>45982</v>
      </c>
      <c r="F352" t="s">
        <v>29</v>
      </c>
      <c r="G352" t="s">
        <v>27</v>
      </c>
      <c r="H352" t="s">
        <v>28</v>
      </c>
      <c r="I352" t="s">
        <v>2625</v>
      </c>
      <c r="J352" t="s">
        <v>2705</v>
      </c>
      <c r="K352" t="s">
        <v>25</v>
      </c>
      <c r="L352">
        <v>44</v>
      </c>
      <c r="M352">
        <v>4</v>
      </c>
      <c r="N352">
        <v>25</v>
      </c>
      <c r="O352" t="s">
        <v>1055</v>
      </c>
      <c r="P352" t="s">
        <v>75</v>
      </c>
      <c r="Q352" t="s">
        <v>58</v>
      </c>
      <c r="R352" t="s">
        <v>62</v>
      </c>
      <c r="S352" t="s">
        <v>30</v>
      </c>
      <c r="T352">
        <v>4</v>
      </c>
      <c r="U352" s="5">
        <v>816.64</v>
      </c>
      <c r="V352" s="5">
        <v>1632.86</v>
      </c>
      <c r="W352">
        <v>3</v>
      </c>
      <c r="X352" t="s">
        <v>94</v>
      </c>
      <c r="Y352">
        <v>2025</v>
      </c>
      <c r="Z352" t="str">
        <f>TEXT(Table1[[#This Row],[Order Date]],"MMM")</f>
        <v>Nov</v>
      </c>
      <c r="AA352" s="5">
        <f>Table1[[#This Row],[Unit Price]]*Table1[[#This Row],[Quantity]]*(1-Table1[[#This Row],[Discount %]]/100)</f>
        <v>2449.92</v>
      </c>
      <c r="AB352" s="7">
        <f>Table1[[#This Row],[Sales]]-Table1[[#This Row],[Cost]]</f>
        <v>817.06000000000017</v>
      </c>
      <c r="AC352" s="2"/>
      <c r="AD352" s="4"/>
    </row>
    <row r="353" spans="1:30" x14ac:dyDescent="0.3">
      <c r="A353" t="s">
        <v>1056</v>
      </c>
      <c r="B353" s="1">
        <v>45604</v>
      </c>
      <c r="C353" t="s">
        <v>483</v>
      </c>
      <c r="D353" t="s">
        <v>3135</v>
      </c>
      <c r="E353" s="1">
        <v>45610</v>
      </c>
      <c r="F353" t="s">
        <v>115</v>
      </c>
      <c r="G353" t="s">
        <v>66</v>
      </c>
      <c r="H353" t="s">
        <v>114</v>
      </c>
      <c r="I353" t="s">
        <v>2659</v>
      </c>
      <c r="J353" t="s">
        <v>2666</v>
      </c>
      <c r="K353" t="s">
        <v>25</v>
      </c>
      <c r="L353">
        <v>32</v>
      </c>
      <c r="M353">
        <v>2</v>
      </c>
      <c r="N353">
        <v>15</v>
      </c>
      <c r="O353" t="s">
        <v>758</v>
      </c>
      <c r="P353" t="s">
        <v>44</v>
      </c>
      <c r="Q353" t="s">
        <v>58</v>
      </c>
      <c r="R353" t="s">
        <v>32</v>
      </c>
      <c r="S353" t="s">
        <v>116</v>
      </c>
      <c r="T353">
        <v>2</v>
      </c>
      <c r="U353" s="5">
        <v>991.84</v>
      </c>
      <c r="V353" s="5">
        <v>1175.06</v>
      </c>
      <c r="W353">
        <v>6</v>
      </c>
      <c r="X353" t="s">
        <v>94</v>
      </c>
      <c r="Y353">
        <v>2024</v>
      </c>
      <c r="Z353" t="str">
        <f>TEXT(Table1[[#This Row],[Order Date]],"MMM")</f>
        <v>Nov</v>
      </c>
      <c r="AA353" s="5">
        <f>Table1[[#This Row],[Unit Price]]*Table1[[#This Row],[Quantity]]*(1-Table1[[#This Row],[Discount %]]/100)</f>
        <v>1686.1279999999999</v>
      </c>
      <c r="AB353" s="7">
        <f>Table1[[#This Row],[Sales]]-Table1[[#This Row],[Cost]]</f>
        <v>511.06799999999998</v>
      </c>
      <c r="AC353" s="2"/>
    </row>
    <row r="354" spans="1:30" x14ac:dyDescent="0.3">
      <c r="A354" t="s">
        <v>1057</v>
      </c>
      <c r="B354" s="1">
        <v>45424</v>
      </c>
      <c r="C354" t="s">
        <v>1058</v>
      </c>
      <c r="D354" t="s">
        <v>3136</v>
      </c>
      <c r="E354" s="1">
        <v>45425</v>
      </c>
      <c r="F354" t="s">
        <v>122</v>
      </c>
      <c r="G354" t="s">
        <v>120</v>
      </c>
      <c r="H354" t="s">
        <v>121</v>
      </c>
      <c r="I354" t="s">
        <v>2621</v>
      </c>
      <c r="J354" t="s">
        <v>2647</v>
      </c>
      <c r="K354" t="s">
        <v>52</v>
      </c>
      <c r="L354">
        <v>20</v>
      </c>
      <c r="M354">
        <v>5</v>
      </c>
      <c r="N354">
        <v>25</v>
      </c>
      <c r="O354" t="s">
        <v>1059</v>
      </c>
      <c r="P354" t="s">
        <v>33</v>
      </c>
      <c r="Q354" t="s">
        <v>42</v>
      </c>
      <c r="R354" t="s">
        <v>62</v>
      </c>
      <c r="S354" t="s">
        <v>123</v>
      </c>
      <c r="T354">
        <v>5</v>
      </c>
      <c r="U354" s="5">
        <v>383.3</v>
      </c>
      <c r="V354" s="5">
        <v>1043.9100000000001</v>
      </c>
      <c r="W354">
        <v>1</v>
      </c>
      <c r="X354" t="s">
        <v>49</v>
      </c>
      <c r="Y354">
        <v>2024</v>
      </c>
      <c r="Z354" t="str">
        <f>TEXT(Table1[[#This Row],[Order Date]],"MMM")</f>
        <v>May</v>
      </c>
      <c r="AA354" s="5">
        <f>Table1[[#This Row],[Unit Price]]*Table1[[#This Row],[Quantity]]*(1-Table1[[#This Row],[Discount %]]/100)</f>
        <v>1437.375</v>
      </c>
      <c r="AB354" s="7">
        <f>Table1[[#This Row],[Sales]]-Table1[[#This Row],[Cost]]</f>
        <v>393.46499999999992</v>
      </c>
      <c r="AC354" s="2"/>
      <c r="AD354" s="2"/>
    </row>
    <row r="355" spans="1:30" x14ac:dyDescent="0.3">
      <c r="A355" t="s">
        <v>1060</v>
      </c>
      <c r="B355" s="1">
        <v>45604</v>
      </c>
      <c r="C355" t="s">
        <v>1061</v>
      </c>
      <c r="D355" t="s">
        <v>3137</v>
      </c>
      <c r="E355" s="1">
        <v>45609</v>
      </c>
      <c r="F355" t="s">
        <v>56</v>
      </c>
      <c r="G355" t="s">
        <v>54</v>
      </c>
      <c r="H355" t="s">
        <v>55</v>
      </c>
      <c r="I355" t="s">
        <v>2655</v>
      </c>
      <c r="J355" t="s">
        <v>2714</v>
      </c>
      <c r="K355" t="s">
        <v>52</v>
      </c>
      <c r="L355">
        <v>44</v>
      </c>
      <c r="M355">
        <v>4</v>
      </c>
      <c r="N355">
        <v>30</v>
      </c>
      <c r="O355" t="s">
        <v>1062</v>
      </c>
      <c r="P355" t="s">
        <v>75</v>
      </c>
      <c r="Q355" t="s">
        <v>70</v>
      </c>
      <c r="R355" t="s">
        <v>43</v>
      </c>
      <c r="S355" t="s">
        <v>57</v>
      </c>
      <c r="T355">
        <v>2</v>
      </c>
      <c r="U355" s="5">
        <v>588.14</v>
      </c>
      <c r="V355" s="5">
        <v>1150.6500000000001</v>
      </c>
      <c r="W355">
        <v>5</v>
      </c>
      <c r="X355" t="s">
        <v>94</v>
      </c>
      <c r="Y355">
        <v>2024</v>
      </c>
      <c r="Z355" t="str">
        <f>TEXT(Table1[[#This Row],[Order Date]],"MMM")</f>
        <v>Nov</v>
      </c>
      <c r="AA355" s="5">
        <f>Table1[[#This Row],[Unit Price]]*Table1[[#This Row],[Quantity]]*(1-Table1[[#This Row],[Discount %]]/100)</f>
        <v>1646.7919999999999</v>
      </c>
      <c r="AB355" s="5">
        <f>Table1[[#This Row],[Sales]]-Table1[[#This Row],[Cost]]</f>
        <v>496.14199999999983</v>
      </c>
    </row>
    <row r="356" spans="1:30" x14ac:dyDescent="0.3">
      <c r="A356" t="s">
        <v>1063</v>
      </c>
      <c r="B356" s="1">
        <v>45741</v>
      </c>
      <c r="C356" t="s">
        <v>1064</v>
      </c>
      <c r="D356" t="s">
        <v>3138</v>
      </c>
      <c r="E356" s="1">
        <v>45746</v>
      </c>
      <c r="F356" t="s">
        <v>122</v>
      </c>
      <c r="G356" t="s">
        <v>120</v>
      </c>
      <c r="H356" t="s">
        <v>121</v>
      </c>
      <c r="I356" t="s">
        <v>2627</v>
      </c>
      <c r="J356" t="s">
        <v>2690</v>
      </c>
      <c r="K356" t="s">
        <v>25</v>
      </c>
      <c r="L356">
        <v>19</v>
      </c>
      <c r="M356">
        <v>1</v>
      </c>
      <c r="N356">
        <v>20</v>
      </c>
      <c r="O356" t="s">
        <v>1065</v>
      </c>
      <c r="P356" t="s">
        <v>33</v>
      </c>
      <c r="Q356" t="s">
        <v>117</v>
      </c>
      <c r="R356" t="s">
        <v>71</v>
      </c>
      <c r="S356" t="s">
        <v>123</v>
      </c>
      <c r="T356">
        <v>1</v>
      </c>
      <c r="U356" s="5">
        <v>23.62</v>
      </c>
      <c r="V356" s="5">
        <v>9.84</v>
      </c>
      <c r="W356">
        <v>5</v>
      </c>
      <c r="X356" t="s">
        <v>34</v>
      </c>
      <c r="Y356">
        <v>2025</v>
      </c>
      <c r="Z356" t="str">
        <f>TEXT(Table1[[#This Row],[Order Date]],"MMM")</f>
        <v>Mar</v>
      </c>
      <c r="AA356" s="5">
        <f>Table1[[#This Row],[Unit Price]]*Table1[[#This Row],[Quantity]]*(1-Table1[[#This Row],[Discount %]]/100)</f>
        <v>18.896000000000001</v>
      </c>
      <c r="AB356" s="5">
        <f>Table1[[#This Row],[Sales]]-Table1[[#This Row],[Cost]]</f>
        <v>9.0560000000000009</v>
      </c>
    </row>
    <row r="357" spans="1:30" x14ac:dyDescent="0.3">
      <c r="A357" t="s">
        <v>1066</v>
      </c>
      <c r="B357" s="1">
        <v>45405</v>
      </c>
      <c r="C357" t="s">
        <v>1067</v>
      </c>
      <c r="D357" t="s">
        <v>3139</v>
      </c>
      <c r="E357" s="1">
        <v>45406</v>
      </c>
      <c r="F357" t="s">
        <v>100</v>
      </c>
      <c r="G357" t="s">
        <v>98</v>
      </c>
      <c r="H357" t="s">
        <v>99</v>
      </c>
      <c r="I357" t="s">
        <v>2657</v>
      </c>
      <c r="J357" t="s">
        <v>2658</v>
      </c>
      <c r="K357" t="s">
        <v>25</v>
      </c>
      <c r="L357">
        <v>30</v>
      </c>
      <c r="M357">
        <v>1</v>
      </c>
      <c r="N357">
        <v>15</v>
      </c>
      <c r="O357" t="s">
        <v>461</v>
      </c>
      <c r="P357" t="s">
        <v>75</v>
      </c>
      <c r="Q357" t="s">
        <v>31</v>
      </c>
      <c r="R357" t="s">
        <v>32</v>
      </c>
      <c r="S357" t="s">
        <v>101</v>
      </c>
      <c r="T357">
        <v>5</v>
      </c>
      <c r="U357" s="5">
        <v>829.4</v>
      </c>
      <c r="V357" s="5">
        <v>421.76</v>
      </c>
      <c r="W357">
        <v>1</v>
      </c>
      <c r="X357" t="s">
        <v>49</v>
      </c>
      <c r="Y357">
        <v>2024</v>
      </c>
      <c r="Z357" t="str">
        <f>TEXT(Table1[[#This Row],[Order Date]],"MMM")</f>
        <v>Apr</v>
      </c>
      <c r="AA357" s="5">
        <f>Table1[[#This Row],[Unit Price]]*Table1[[#This Row],[Quantity]]*(1-Table1[[#This Row],[Discount %]]/100)</f>
        <v>704.99</v>
      </c>
      <c r="AB357" s="5">
        <f>Table1[[#This Row],[Sales]]-Table1[[#This Row],[Cost]]</f>
        <v>283.23</v>
      </c>
    </row>
    <row r="358" spans="1:30" x14ac:dyDescent="0.3">
      <c r="A358" t="s">
        <v>1068</v>
      </c>
      <c r="B358" s="1">
        <v>45772</v>
      </c>
      <c r="C358" t="s">
        <v>1069</v>
      </c>
      <c r="D358" t="s">
        <v>3140</v>
      </c>
      <c r="E358" s="1">
        <v>45777</v>
      </c>
      <c r="F358" t="s">
        <v>68</v>
      </c>
      <c r="G358" t="s">
        <v>66</v>
      </c>
      <c r="H358" t="s">
        <v>67</v>
      </c>
      <c r="I358" t="s">
        <v>2668</v>
      </c>
      <c r="J358" t="s">
        <v>2712</v>
      </c>
      <c r="K358" t="s">
        <v>25</v>
      </c>
      <c r="L358">
        <v>23</v>
      </c>
      <c r="M358">
        <v>3</v>
      </c>
      <c r="N358">
        <v>30</v>
      </c>
      <c r="O358" t="s">
        <v>1070</v>
      </c>
      <c r="P358" t="s">
        <v>33</v>
      </c>
      <c r="Q358" t="s">
        <v>117</v>
      </c>
      <c r="R358" t="s">
        <v>32</v>
      </c>
      <c r="S358" t="s">
        <v>69</v>
      </c>
      <c r="T358">
        <v>2</v>
      </c>
      <c r="U358" s="5">
        <v>702.78</v>
      </c>
      <c r="V358" s="5">
        <v>1190.57</v>
      </c>
      <c r="W358">
        <v>5</v>
      </c>
      <c r="X358" t="s">
        <v>49</v>
      </c>
      <c r="Y358">
        <v>2025</v>
      </c>
      <c r="Z358" t="str">
        <f>TEXT(Table1[[#This Row],[Order Date]],"MMM")</f>
        <v>Apr</v>
      </c>
      <c r="AA358" s="5">
        <f>Table1[[#This Row],[Unit Price]]*Table1[[#This Row],[Quantity]]*(1-Table1[[#This Row],[Discount %]]/100)</f>
        <v>1475.838</v>
      </c>
      <c r="AB358" s="5">
        <f>Table1[[#This Row],[Sales]]-Table1[[#This Row],[Cost]]</f>
        <v>285.26800000000003</v>
      </c>
    </row>
    <row r="359" spans="1:30" x14ac:dyDescent="0.3">
      <c r="A359" t="s">
        <v>1071</v>
      </c>
      <c r="B359" s="1">
        <v>45921</v>
      </c>
      <c r="C359" t="s">
        <v>1072</v>
      </c>
      <c r="D359" t="s">
        <v>3141</v>
      </c>
      <c r="E359" s="1">
        <v>45923</v>
      </c>
      <c r="F359" t="s">
        <v>68</v>
      </c>
      <c r="G359" t="s">
        <v>66</v>
      </c>
      <c r="H359" t="s">
        <v>67</v>
      </c>
      <c r="I359" t="s">
        <v>2625</v>
      </c>
      <c r="J359" t="s">
        <v>2626</v>
      </c>
      <c r="K359" t="s">
        <v>25</v>
      </c>
      <c r="L359">
        <v>49</v>
      </c>
      <c r="M359">
        <v>3</v>
      </c>
      <c r="N359">
        <v>20</v>
      </c>
      <c r="O359" t="s">
        <v>1073</v>
      </c>
      <c r="P359" t="s">
        <v>75</v>
      </c>
      <c r="Q359" t="s">
        <v>42</v>
      </c>
      <c r="R359" t="s">
        <v>32</v>
      </c>
      <c r="S359" t="s">
        <v>69</v>
      </c>
      <c r="T359">
        <v>4</v>
      </c>
      <c r="U359" s="5">
        <v>167</v>
      </c>
      <c r="V359" s="5">
        <v>201.57</v>
      </c>
      <c r="W359">
        <v>2</v>
      </c>
      <c r="X359" t="s">
        <v>45</v>
      </c>
      <c r="Y359">
        <v>2025</v>
      </c>
      <c r="Z359" t="str">
        <f>TEXT(Table1[[#This Row],[Order Date]],"MMM")</f>
        <v>Sep</v>
      </c>
      <c r="AA359" s="5">
        <f>Table1[[#This Row],[Unit Price]]*Table1[[#This Row],[Quantity]]*(1-Table1[[#This Row],[Discount %]]/100)</f>
        <v>400.8</v>
      </c>
      <c r="AB359" s="5">
        <f>Table1[[#This Row],[Sales]]-Table1[[#This Row],[Cost]]</f>
        <v>199.23000000000002</v>
      </c>
    </row>
    <row r="360" spans="1:30" x14ac:dyDescent="0.3">
      <c r="A360" t="s">
        <v>1074</v>
      </c>
      <c r="B360" s="1">
        <v>45398</v>
      </c>
      <c r="C360" t="s">
        <v>1075</v>
      </c>
      <c r="D360" t="s">
        <v>3142</v>
      </c>
      <c r="E360" s="1">
        <v>45404</v>
      </c>
      <c r="F360" t="s">
        <v>115</v>
      </c>
      <c r="G360" t="s">
        <v>66</v>
      </c>
      <c r="H360" t="s">
        <v>114</v>
      </c>
      <c r="I360" t="s">
        <v>2659</v>
      </c>
      <c r="J360" t="s">
        <v>2660</v>
      </c>
      <c r="K360" t="s">
        <v>25</v>
      </c>
      <c r="L360">
        <v>50</v>
      </c>
      <c r="M360">
        <v>5</v>
      </c>
      <c r="N360">
        <v>5</v>
      </c>
      <c r="O360" t="s">
        <v>1076</v>
      </c>
      <c r="P360" t="s">
        <v>33</v>
      </c>
      <c r="Q360" t="s">
        <v>70</v>
      </c>
      <c r="R360" t="s">
        <v>71</v>
      </c>
      <c r="S360" t="s">
        <v>116</v>
      </c>
      <c r="T360">
        <v>2</v>
      </c>
      <c r="U360" s="5">
        <v>788.76</v>
      </c>
      <c r="V360" s="5">
        <v>2473.92</v>
      </c>
      <c r="W360">
        <v>6</v>
      </c>
      <c r="X360" t="s">
        <v>49</v>
      </c>
      <c r="Y360">
        <v>2024</v>
      </c>
      <c r="Z360" t="str">
        <f>TEXT(Table1[[#This Row],[Order Date]],"MMM")</f>
        <v>Apr</v>
      </c>
      <c r="AA360" s="5">
        <f>Table1[[#This Row],[Unit Price]]*Table1[[#This Row],[Quantity]]*(1-Table1[[#This Row],[Discount %]]/100)</f>
        <v>3746.61</v>
      </c>
      <c r="AB360" s="5">
        <f>Table1[[#This Row],[Sales]]-Table1[[#This Row],[Cost]]</f>
        <v>1272.69</v>
      </c>
    </row>
    <row r="361" spans="1:30" x14ac:dyDescent="0.3">
      <c r="A361" t="s">
        <v>1077</v>
      </c>
      <c r="B361" s="1">
        <v>45449</v>
      </c>
      <c r="C361" t="s">
        <v>1078</v>
      </c>
      <c r="D361" t="s">
        <v>3143</v>
      </c>
      <c r="E361" s="1">
        <v>45455</v>
      </c>
      <c r="F361" t="s">
        <v>122</v>
      </c>
      <c r="G361" t="s">
        <v>120</v>
      </c>
      <c r="H361" t="s">
        <v>121</v>
      </c>
      <c r="I361" t="s">
        <v>2637</v>
      </c>
      <c r="J361" t="s">
        <v>2638</v>
      </c>
      <c r="K361" t="s">
        <v>25</v>
      </c>
      <c r="L361">
        <v>25</v>
      </c>
      <c r="M361">
        <v>2</v>
      </c>
      <c r="N361">
        <v>15</v>
      </c>
      <c r="O361" t="s">
        <v>1079</v>
      </c>
      <c r="P361" t="s">
        <v>33</v>
      </c>
      <c r="Q361" t="s">
        <v>31</v>
      </c>
      <c r="R361" t="s">
        <v>32</v>
      </c>
      <c r="S361" t="s">
        <v>123</v>
      </c>
      <c r="T361">
        <v>5</v>
      </c>
      <c r="U361" s="5">
        <v>979.52</v>
      </c>
      <c r="V361" s="5">
        <v>976.44</v>
      </c>
      <c r="W361">
        <v>6</v>
      </c>
      <c r="X361" t="s">
        <v>49</v>
      </c>
      <c r="Y361">
        <v>2024</v>
      </c>
      <c r="Z361" t="str">
        <f>TEXT(Table1[[#This Row],[Order Date]],"MMM")</f>
        <v>Jun</v>
      </c>
      <c r="AA361" s="5">
        <f>Table1[[#This Row],[Unit Price]]*Table1[[#This Row],[Quantity]]*(1-Table1[[#This Row],[Discount %]]/100)</f>
        <v>1665.184</v>
      </c>
      <c r="AB361" s="5">
        <f>Table1[[#This Row],[Sales]]-Table1[[#This Row],[Cost]]</f>
        <v>688.74399999999991</v>
      </c>
    </row>
    <row r="362" spans="1:30" x14ac:dyDescent="0.3">
      <c r="A362" t="s">
        <v>1080</v>
      </c>
      <c r="B362" s="1">
        <v>45599</v>
      </c>
      <c r="C362" t="s">
        <v>1081</v>
      </c>
      <c r="D362" t="s">
        <v>3144</v>
      </c>
      <c r="E362" s="1">
        <v>45606</v>
      </c>
      <c r="F362" t="s">
        <v>115</v>
      </c>
      <c r="G362" t="s">
        <v>66</v>
      </c>
      <c r="H362" t="s">
        <v>114</v>
      </c>
      <c r="I362" t="s">
        <v>2621</v>
      </c>
      <c r="J362" t="s">
        <v>2663</v>
      </c>
      <c r="K362" t="s">
        <v>52</v>
      </c>
      <c r="L362">
        <v>35</v>
      </c>
      <c r="M362">
        <v>5</v>
      </c>
      <c r="N362">
        <v>20</v>
      </c>
      <c r="O362" t="s">
        <v>1082</v>
      </c>
      <c r="P362" t="s">
        <v>75</v>
      </c>
      <c r="Q362" t="s">
        <v>117</v>
      </c>
      <c r="R362" t="s">
        <v>62</v>
      </c>
      <c r="S362" t="s">
        <v>116</v>
      </c>
      <c r="T362">
        <v>3</v>
      </c>
      <c r="U362" s="5">
        <v>957.29</v>
      </c>
      <c r="V362" s="5">
        <v>2523.84</v>
      </c>
      <c r="W362">
        <v>7</v>
      </c>
      <c r="X362" t="s">
        <v>94</v>
      </c>
      <c r="Y362">
        <v>2024</v>
      </c>
      <c r="Z362" t="str">
        <f>TEXT(Table1[[#This Row],[Order Date]],"MMM")</f>
        <v>Nov</v>
      </c>
      <c r="AA362" s="5">
        <f>Table1[[#This Row],[Unit Price]]*Table1[[#This Row],[Quantity]]*(1-Table1[[#This Row],[Discount %]]/100)</f>
        <v>3829.16</v>
      </c>
      <c r="AB362" s="5">
        <f>Table1[[#This Row],[Sales]]-Table1[[#This Row],[Cost]]</f>
        <v>1305.3199999999997</v>
      </c>
    </row>
    <row r="363" spans="1:30" x14ac:dyDescent="0.3">
      <c r="A363" t="s">
        <v>1083</v>
      </c>
      <c r="B363" s="1">
        <v>45818</v>
      </c>
      <c r="C363" t="s">
        <v>416</v>
      </c>
      <c r="D363" t="s">
        <v>3145</v>
      </c>
      <c r="E363" s="1">
        <v>45825</v>
      </c>
      <c r="F363" t="s">
        <v>140</v>
      </c>
      <c r="G363" t="s">
        <v>38</v>
      </c>
      <c r="H363" t="s">
        <v>139</v>
      </c>
      <c r="I363" t="s">
        <v>2627</v>
      </c>
      <c r="J363" t="s">
        <v>2690</v>
      </c>
      <c r="K363" t="s">
        <v>25</v>
      </c>
      <c r="L363">
        <v>30</v>
      </c>
      <c r="M363">
        <v>3</v>
      </c>
      <c r="N363">
        <v>30</v>
      </c>
      <c r="O363" t="s">
        <v>1084</v>
      </c>
      <c r="P363" t="s">
        <v>44</v>
      </c>
      <c r="Q363" t="s">
        <v>117</v>
      </c>
      <c r="R363" t="s">
        <v>32</v>
      </c>
      <c r="S363" t="s">
        <v>141</v>
      </c>
      <c r="T363">
        <v>3</v>
      </c>
      <c r="U363" s="5">
        <v>298.79000000000002</v>
      </c>
      <c r="V363" s="5">
        <v>467.82</v>
      </c>
      <c r="W363">
        <v>7</v>
      </c>
      <c r="X363" t="s">
        <v>49</v>
      </c>
      <c r="Y363">
        <v>2025</v>
      </c>
      <c r="Z363" t="str">
        <f>TEXT(Table1[[#This Row],[Order Date]],"MMM")</f>
        <v>Jun</v>
      </c>
      <c r="AA363" s="5">
        <f>Table1[[#This Row],[Unit Price]]*Table1[[#This Row],[Quantity]]*(1-Table1[[#This Row],[Discount %]]/100)</f>
        <v>627.45900000000006</v>
      </c>
      <c r="AB363" s="5">
        <f>Table1[[#This Row],[Sales]]-Table1[[#This Row],[Cost]]</f>
        <v>159.63900000000007</v>
      </c>
    </row>
    <row r="364" spans="1:30" x14ac:dyDescent="0.3">
      <c r="A364" t="s">
        <v>1085</v>
      </c>
      <c r="B364" s="1">
        <v>45840</v>
      </c>
      <c r="C364" t="s">
        <v>1086</v>
      </c>
      <c r="D364" t="s">
        <v>3146</v>
      </c>
      <c r="E364" s="1">
        <v>45847</v>
      </c>
      <c r="F364" t="s">
        <v>122</v>
      </c>
      <c r="G364" t="s">
        <v>120</v>
      </c>
      <c r="H364" t="s">
        <v>121</v>
      </c>
      <c r="I364" t="s">
        <v>2625</v>
      </c>
      <c r="J364" t="s">
        <v>2693</v>
      </c>
      <c r="K364" t="s">
        <v>52</v>
      </c>
      <c r="L364">
        <v>20</v>
      </c>
      <c r="M364">
        <v>4</v>
      </c>
      <c r="N364">
        <v>25</v>
      </c>
      <c r="O364" t="s">
        <v>1087</v>
      </c>
      <c r="P364" t="s">
        <v>44</v>
      </c>
      <c r="Q364" t="s">
        <v>70</v>
      </c>
      <c r="R364" t="s">
        <v>32</v>
      </c>
      <c r="S364" t="s">
        <v>123</v>
      </c>
      <c r="T364">
        <v>1</v>
      </c>
      <c r="U364" s="5">
        <v>187.45</v>
      </c>
      <c r="V364" s="5">
        <v>392.03</v>
      </c>
      <c r="W364">
        <v>7</v>
      </c>
      <c r="X364" t="s">
        <v>45</v>
      </c>
      <c r="Y364">
        <v>2025</v>
      </c>
      <c r="Z364" t="str">
        <f>TEXT(Table1[[#This Row],[Order Date]],"MMM")</f>
        <v>Jul</v>
      </c>
      <c r="AA364" s="5">
        <f>Table1[[#This Row],[Unit Price]]*Table1[[#This Row],[Quantity]]*(1-Table1[[#This Row],[Discount %]]/100)</f>
        <v>562.34999999999991</v>
      </c>
      <c r="AB364" s="5">
        <f>Table1[[#This Row],[Sales]]-Table1[[#This Row],[Cost]]</f>
        <v>170.31999999999994</v>
      </c>
    </row>
    <row r="365" spans="1:30" x14ac:dyDescent="0.3">
      <c r="A365" t="s">
        <v>1088</v>
      </c>
      <c r="B365" s="1">
        <v>45849</v>
      </c>
      <c r="C365" t="s">
        <v>1089</v>
      </c>
      <c r="D365" t="s">
        <v>3147</v>
      </c>
      <c r="E365" s="1">
        <v>45855</v>
      </c>
      <c r="F365" t="s">
        <v>29</v>
      </c>
      <c r="G365" t="s">
        <v>27</v>
      </c>
      <c r="H365" t="s">
        <v>28</v>
      </c>
      <c r="I365" t="s">
        <v>2627</v>
      </c>
      <c r="J365" t="s">
        <v>2707</v>
      </c>
      <c r="K365" t="s">
        <v>25</v>
      </c>
      <c r="L365">
        <v>58</v>
      </c>
      <c r="M365">
        <v>2</v>
      </c>
      <c r="N365">
        <v>20</v>
      </c>
      <c r="O365" t="s">
        <v>1090</v>
      </c>
      <c r="P365" t="s">
        <v>44</v>
      </c>
      <c r="Q365" t="s">
        <v>58</v>
      </c>
      <c r="R365" t="s">
        <v>32</v>
      </c>
      <c r="S365" t="s">
        <v>30</v>
      </c>
      <c r="T365">
        <v>3</v>
      </c>
      <c r="U365" s="5">
        <v>882.21</v>
      </c>
      <c r="V365" s="5">
        <v>1181.9100000000001</v>
      </c>
      <c r="W365">
        <v>6</v>
      </c>
      <c r="X365" t="s">
        <v>45</v>
      </c>
      <c r="Y365">
        <v>2025</v>
      </c>
      <c r="Z365" t="str">
        <f>TEXT(Table1[[#This Row],[Order Date]],"MMM")</f>
        <v>Jul</v>
      </c>
      <c r="AA365" s="5">
        <f>Table1[[#This Row],[Unit Price]]*Table1[[#This Row],[Quantity]]*(1-Table1[[#This Row],[Discount %]]/100)</f>
        <v>1411.5360000000001</v>
      </c>
      <c r="AB365" s="5">
        <f>Table1[[#This Row],[Sales]]-Table1[[#This Row],[Cost]]</f>
        <v>229.62599999999998</v>
      </c>
    </row>
    <row r="366" spans="1:30" x14ac:dyDescent="0.3">
      <c r="A366" t="s">
        <v>1091</v>
      </c>
      <c r="B366" s="1">
        <v>45735</v>
      </c>
      <c r="C366" t="s">
        <v>1092</v>
      </c>
      <c r="D366" t="s">
        <v>3148</v>
      </c>
      <c r="E366" s="1">
        <v>45737</v>
      </c>
      <c r="F366" t="s">
        <v>128</v>
      </c>
      <c r="G366" t="s">
        <v>98</v>
      </c>
      <c r="H366" t="s">
        <v>127</v>
      </c>
      <c r="I366" t="s">
        <v>2657</v>
      </c>
      <c r="J366" t="s">
        <v>2658</v>
      </c>
      <c r="K366" t="s">
        <v>52</v>
      </c>
      <c r="L366">
        <v>20</v>
      </c>
      <c r="M366">
        <v>1</v>
      </c>
      <c r="N366">
        <v>20</v>
      </c>
      <c r="O366" t="s">
        <v>1093</v>
      </c>
      <c r="P366" t="s">
        <v>44</v>
      </c>
      <c r="Q366" t="s">
        <v>42</v>
      </c>
      <c r="R366" t="s">
        <v>43</v>
      </c>
      <c r="S366" t="s">
        <v>129</v>
      </c>
      <c r="T366">
        <v>2</v>
      </c>
      <c r="U366" s="5">
        <v>593.19000000000005</v>
      </c>
      <c r="V366" s="5">
        <v>343.22</v>
      </c>
      <c r="W366">
        <v>2</v>
      </c>
      <c r="X366" t="s">
        <v>34</v>
      </c>
      <c r="Y366">
        <v>2025</v>
      </c>
      <c r="Z366" t="str">
        <f>TEXT(Table1[[#This Row],[Order Date]],"MMM")</f>
        <v>Mar</v>
      </c>
      <c r="AA366" s="5">
        <f>Table1[[#This Row],[Unit Price]]*Table1[[#This Row],[Quantity]]*(1-Table1[[#This Row],[Discount %]]/100)</f>
        <v>474.55200000000008</v>
      </c>
      <c r="AB366" s="5">
        <f>Table1[[#This Row],[Sales]]-Table1[[#This Row],[Cost]]</f>
        <v>131.33200000000005</v>
      </c>
    </row>
    <row r="367" spans="1:30" x14ac:dyDescent="0.3">
      <c r="A367" t="s">
        <v>1094</v>
      </c>
      <c r="B367" s="1">
        <v>45921</v>
      </c>
      <c r="C367" t="s">
        <v>1095</v>
      </c>
      <c r="D367" t="s">
        <v>3149</v>
      </c>
      <c r="E367" s="1">
        <v>45924</v>
      </c>
      <c r="F367" t="s">
        <v>40</v>
      </c>
      <c r="G367" t="s">
        <v>38</v>
      </c>
      <c r="H367" t="s">
        <v>39</v>
      </c>
      <c r="I367" t="s">
        <v>2637</v>
      </c>
      <c r="J367" t="s">
        <v>2709</v>
      </c>
      <c r="K367" t="s">
        <v>25</v>
      </c>
      <c r="L367">
        <v>32</v>
      </c>
      <c r="M367">
        <v>1</v>
      </c>
      <c r="N367">
        <v>10</v>
      </c>
      <c r="O367" t="s">
        <v>1096</v>
      </c>
      <c r="P367" t="s">
        <v>33</v>
      </c>
      <c r="Q367" t="s">
        <v>42</v>
      </c>
      <c r="R367" t="s">
        <v>62</v>
      </c>
      <c r="S367" t="s">
        <v>41</v>
      </c>
      <c r="T367">
        <v>1</v>
      </c>
      <c r="U367" s="5">
        <v>239.91</v>
      </c>
      <c r="V367" s="5">
        <v>169.56</v>
      </c>
      <c r="W367">
        <v>3</v>
      </c>
      <c r="X367" t="s">
        <v>45</v>
      </c>
      <c r="Y367">
        <v>2025</v>
      </c>
      <c r="Z367" t="str">
        <f>TEXT(Table1[[#This Row],[Order Date]],"MMM")</f>
        <v>Sep</v>
      </c>
      <c r="AA367" s="5">
        <f>Table1[[#This Row],[Unit Price]]*Table1[[#This Row],[Quantity]]*(1-Table1[[#This Row],[Discount %]]/100)</f>
        <v>215.91900000000001</v>
      </c>
      <c r="AB367" s="5">
        <f>Table1[[#This Row],[Sales]]-Table1[[#This Row],[Cost]]</f>
        <v>46.359000000000009</v>
      </c>
    </row>
    <row r="368" spans="1:30" x14ac:dyDescent="0.3">
      <c r="A368" t="s">
        <v>1097</v>
      </c>
      <c r="B368" s="1">
        <v>46113</v>
      </c>
      <c r="C368" t="s">
        <v>1098</v>
      </c>
      <c r="D368" t="s">
        <v>3150</v>
      </c>
      <c r="E368" s="1">
        <v>46116</v>
      </c>
      <c r="F368" t="s">
        <v>40</v>
      </c>
      <c r="G368" t="s">
        <v>38</v>
      </c>
      <c r="H368" t="s">
        <v>39</v>
      </c>
      <c r="I368" t="s">
        <v>2623</v>
      </c>
      <c r="J368" t="s">
        <v>2624</v>
      </c>
      <c r="K368" t="s">
        <v>25</v>
      </c>
      <c r="L368">
        <v>25</v>
      </c>
      <c r="M368">
        <v>2</v>
      </c>
      <c r="N368">
        <v>10</v>
      </c>
      <c r="O368" t="s">
        <v>1099</v>
      </c>
      <c r="P368" t="s">
        <v>33</v>
      </c>
      <c r="Q368" t="s">
        <v>58</v>
      </c>
      <c r="R368" t="s">
        <v>62</v>
      </c>
      <c r="S368" t="s">
        <v>41</v>
      </c>
      <c r="T368">
        <v>4</v>
      </c>
      <c r="U368" s="5">
        <v>141.13999999999999</v>
      </c>
      <c r="V368" s="5">
        <v>172.48</v>
      </c>
      <c r="W368">
        <v>3</v>
      </c>
      <c r="X368" t="s">
        <v>49</v>
      </c>
      <c r="Y368">
        <v>2026</v>
      </c>
      <c r="Z368" t="str">
        <f>TEXT(Table1[[#This Row],[Order Date]],"MMM")</f>
        <v>Apr</v>
      </c>
      <c r="AA368" s="5">
        <f>Table1[[#This Row],[Unit Price]]*Table1[[#This Row],[Quantity]]*(1-Table1[[#This Row],[Discount %]]/100)</f>
        <v>254.05199999999999</v>
      </c>
      <c r="AB368" s="5">
        <f>Table1[[#This Row],[Sales]]-Table1[[#This Row],[Cost]]</f>
        <v>81.572000000000003</v>
      </c>
    </row>
    <row r="369" spans="1:28" x14ac:dyDescent="0.3">
      <c r="A369" t="s">
        <v>1100</v>
      </c>
      <c r="B369" s="1">
        <v>45652</v>
      </c>
      <c r="C369" t="s">
        <v>1101</v>
      </c>
      <c r="D369" t="s">
        <v>3151</v>
      </c>
      <c r="E369" s="1">
        <v>45659</v>
      </c>
      <c r="F369" t="s">
        <v>115</v>
      </c>
      <c r="G369" t="s">
        <v>66</v>
      </c>
      <c r="H369" t="s">
        <v>114</v>
      </c>
      <c r="I369" t="s">
        <v>2619</v>
      </c>
      <c r="J369" t="s">
        <v>2697</v>
      </c>
      <c r="K369" t="s">
        <v>25</v>
      </c>
      <c r="L369">
        <v>34</v>
      </c>
      <c r="M369">
        <v>4</v>
      </c>
      <c r="N369">
        <v>15</v>
      </c>
      <c r="O369" t="s">
        <v>247</v>
      </c>
      <c r="P369" t="s">
        <v>33</v>
      </c>
      <c r="Q369" t="s">
        <v>42</v>
      </c>
      <c r="R369" t="s">
        <v>71</v>
      </c>
      <c r="S369" t="s">
        <v>116</v>
      </c>
      <c r="T369">
        <v>4</v>
      </c>
      <c r="U369" s="5">
        <v>933.24</v>
      </c>
      <c r="V369" s="5">
        <v>1979.72</v>
      </c>
      <c r="W369">
        <v>7</v>
      </c>
      <c r="X369" t="s">
        <v>94</v>
      </c>
      <c r="Y369">
        <v>2024</v>
      </c>
      <c r="Z369" t="str">
        <f>TEXT(Table1[[#This Row],[Order Date]],"MMM")</f>
        <v>Dec</v>
      </c>
      <c r="AA369" s="5">
        <f>Table1[[#This Row],[Unit Price]]*Table1[[#This Row],[Quantity]]*(1-Table1[[#This Row],[Discount %]]/100)</f>
        <v>3173.0160000000001</v>
      </c>
      <c r="AB369" s="5">
        <f>Table1[[#This Row],[Sales]]-Table1[[#This Row],[Cost]]</f>
        <v>1193.296</v>
      </c>
    </row>
    <row r="370" spans="1:28" x14ac:dyDescent="0.3">
      <c r="A370" t="s">
        <v>1102</v>
      </c>
      <c r="B370" s="1">
        <v>45997</v>
      </c>
      <c r="C370" t="s">
        <v>1103</v>
      </c>
      <c r="D370" t="s">
        <v>3152</v>
      </c>
      <c r="E370" s="1">
        <v>46000</v>
      </c>
      <c r="F370" t="s">
        <v>140</v>
      </c>
      <c r="G370" t="s">
        <v>38</v>
      </c>
      <c r="H370" t="s">
        <v>139</v>
      </c>
      <c r="I370" t="s">
        <v>2650</v>
      </c>
      <c r="J370" t="s">
        <v>2698</v>
      </c>
      <c r="K370" t="s">
        <v>52</v>
      </c>
      <c r="L370">
        <v>36</v>
      </c>
      <c r="M370">
        <v>2</v>
      </c>
      <c r="N370">
        <v>5</v>
      </c>
      <c r="O370" t="s">
        <v>700</v>
      </c>
      <c r="P370" t="s">
        <v>75</v>
      </c>
      <c r="Q370" t="s">
        <v>70</v>
      </c>
      <c r="R370" t="s">
        <v>32</v>
      </c>
      <c r="S370" t="s">
        <v>141</v>
      </c>
      <c r="T370">
        <v>1</v>
      </c>
      <c r="U370" s="5">
        <v>694.91</v>
      </c>
      <c r="V370" s="5">
        <v>1092.19</v>
      </c>
      <c r="W370">
        <v>3</v>
      </c>
      <c r="X370" t="s">
        <v>94</v>
      </c>
      <c r="Y370">
        <v>2025</v>
      </c>
      <c r="Z370" t="str">
        <f>TEXT(Table1[[#This Row],[Order Date]],"MMM")</f>
        <v>Dec</v>
      </c>
      <c r="AA370" s="5">
        <f>Table1[[#This Row],[Unit Price]]*Table1[[#This Row],[Quantity]]*(1-Table1[[#This Row],[Discount %]]/100)</f>
        <v>1320.329</v>
      </c>
      <c r="AB370" s="5">
        <f>Table1[[#This Row],[Sales]]-Table1[[#This Row],[Cost]]</f>
        <v>228.1389999999999</v>
      </c>
    </row>
    <row r="371" spans="1:28" x14ac:dyDescent="0.3">
      <c r="A371" t="s">
        <v>1104</v>
      </c>
      <c r="B371" s="1">
        <v>45710</v>
      </c>
      <c r="C371" t="s">
        <v>1105</v>
      </c>
      <c r="D371" t="s">
        <v>3153</v>
      </c>
      <c r="E371" s="1">
        <v>45716</v>
      </c>
      <c r="F371" t="s">
        <v>29</v>
      </c>
      <c r="G371" t="s">
        <v>27</v>
      </c>
      <c r="H371" t="s">
        <v>28</v>
      </c>
      <c r="I371" t="s">
        <v>2650</v>
      </c>
      <c r="J371" t="s">
        <v>2698</v>
      </c>
      <c r="K371" t="s">
        <v>52</v>
      </c>
      <c r="L371">
        <v>63</v>
      </c>
      <c r="M371">
        <v>4</v>
      </c>
      <c r="N371">
        <v>15</v>
      </c>
      <c r="O371" t="s">
        <v>1106</v>
      </c>
      <c r="P371" t="s">
        <v>33</v>
      </c>
      <c r="Q371" t="s">
        <v>31</v>
      </c>
      <c r="R371" t="s">
        <v>43</v>
      </c>
      <c r="S371" t="s">
        <v>30</v>
      </c>
      <c r="T371">
        <v>1</v>
      </c>
      <c r="U371" s="5">
        <v>994.83</v>
      </c>
      <c r="V371" s="5">
        <v>1991.93</v>
      </c>
      <c r="W371">
        <v>6</v>
      </c>
      <c r="X371" t="s">
        <v>34</v>
      </c>
      <c r="Y371">
        <v>2025</v>
      </c>
      <c r="Z371" t="str">
        <f>TEXT(Table1[[#This Row],[Order Date]],"MMM")</f>
        <v>Feb</v>
      </c>
      <c r="AA371" s="5">
        <f>Table1[[#This Row],[Unit Price]]*Table1[[#This Row],[Quantity]]*(1-Table1[[#This Row],[Discount %]]/100)</f>
        <v>3382.422</v>
      </c>
      <c r="AB371" s="5">
        <f>Table1[[#This Row],[Sales]]-Table1[[#This Row],[Cost]]</f>
        <v>1390.492</v>
      </c>
    </row>
    <row r="372" spans="1:28" x14ac:dyDescent="0.3">
      <c r="A372" t="s">
        <v>1107</v>
      </c>
      <c r="B372" s="1">
        <v>45603</v>
      </c>
      <c r="C372" t="s">
        <v>1108</v>
      </c>
      <c r="D372" t="s">
        <v>3154</v>
      </c>
      <c r="E372" s="1">
        <v>45608</v>
      </c>
      <c r="F372" t="s">
        <v>29</v>
      </c>
      <c r="G372" t="s">
        <v>27</v>
      </c>
      <c r="H372" t="s">
        <v>28</v>
      </c>
      <c r="I372" t="s">
        <v>2650</v>
      </c>
      <c r="J372" t="s">
        <v>2680</v>
      </c>
      <c r="K372" t="s">
        <v>52</v>
      </c>
      <c r="L372">
        <v>59</v>
      </c>
      <c r="M372">
        <v>4</v>
      </c>
      <c r="N372">
        <v>0</v>
      </c>
      <c r="O372" t="s">
        <v>1109</v>
      </c>
      <c r="P372" t="s">
        <v>44</v>
      </c>
      <c r="Q372" t="s">
        <v>58</v>
      </c>
      <c r="R372" t="s">
        <v>32</v>
      </c>
      <c r="S372" t="s">
        <v>30</v>
      </c>
      <c r="T372">
        <v>3</v>
      </c>
      <c r="U372" s="5">
        <v>143.15</v>
      </c>
      <c r="V372" s="5">
        <v>468.26</v>
      </c>
      <c r="W372">
        <v>5</v>
      </c>
      <c r="X372" t="s">
        <v>94</v>
      </c>
      <c r="Y372">
        <v>2024</v>
      </c>
      <c r="Z372" t="str">
        <f>TEXT(Table1[[#This Row],[Order Date]],"MMM")</f>
        <v>Nov</v>
      </c>
      <c r="AA372" s="5">
        <f>Table1[[#This Row],[Unit Price]]*Table1[[#This Row],[Quantity]]*(1-Table1[[#This Row],[Discount %]]/100)</f>
        <v>572.6</v>
      </c>
      <c r="AB372" s="5">
        <f>Table1[[#This Row],[Sales]]-Table1[[#This Row],[Cost]]</f>
        <v>104.34000000000003</v>
      </c>
    </row>
    <row r="373" spans="1:28" x14ac:dyDescent="0.3">
      <c r="A373" t="s">
        <v>1110</v>
      </c>
      <c r="B373" s="1">
        <v>45892</v>
      </c>
      <c r="C373" t="s">
        <v>1111</v>
      </c>
      <c r="D373" t="s">
        <v>3155</v>
      </c>
      <c r="E373" s="1">
        <v>45899</v>
      </c>
      <c r="F373" t="s">
        <v>29</v>
      </c>
      <c r="G373" t="s">
        <v>27</v>
      </c>
      <c r="H373" t="s">
        <v>28</v>
      </c>
      <c r="I373" t="s">
        <v>2619</v>
      </c>
      <c r="J373" t="s">
        <v>2620</v>
      </c>
      <c r="K373" t="s">
        <v>52</v>
      </c>
      <c r="L373">
        <v>48</v>
      </c>
      <c r="M373">
        <v>3</v>
      </c>
      <c r="N373">
        <v>20</v>
      </c>
      <c r="O373" t="s">
        <v>144</v>
      </c>
      <c r="P373" t="s">
        <v>33</v>
      </c>
      <c r="Q373" t="s">
        <v>70</v>
      </c>
      <c r="R373" t="s">
        <v>43</v>
      </c>
      <c r="S373" t="s">
        <v>30</v>
      </c>
      <c r="T373">
        <v>3</v>
      </c>
      <c r="U373" s="5">
        <v>986.15</v>
      </c>
      <c r="V373" s="5">
        <v>1773.61</v>
      </c>
      <c r="W373">
        <v>7</v>
      </c>
      <c r="X373" t="s">
        <v>45</v>
      </c>
      <c r="Y373">
        <v>2025</v>
      </c>
      <c r="Z373" t="str">
        <f>TEXT(Table1[[#This Row],[Order Date]],"MMM")</f>
        <v>Aug</v>
      </c>
      <c r="AA373" s="5">
        <f>Table1[[#This Row],[Unit Price]]*Table1[[#This Row],[Quantity]]*(1-Table1[[#This Row],[Discount %]]/100)</f>
        <v>2366.7599999999998</v>
      </c>
      <c r="AB373" s="5">
        <f>Table1[[#This Row],[Sales]]-Table1[[#This Row],[Cost]]</f>
        <v>593.14999999999986</v>
      </c>
    </row>
    <row r="374" spans="1:28" x14ac:dyDescent="0.3">
      <c r="A374" t="s">
        <v>1112</v>
      </c>
      <c r="B374" s="1">
        <v>45863</v>
      </c>
      <c r="C374" t="s">
        <v>1113</v>
      </c>
      <c r="D374" t="s">
        <v>3156</v>
      </c>
      <c r="E374" s="1">
        <v>45866</v>
      </c>
      <c r="F374" t="s">
        <v>40</v>
      </c>
      <c r="G374" t="s">
        <v>38</v>
      </c>
      <c r="H374" t="s">
        <v>39</v>
      </c>
      <c r="I374" t="s">
        <v>2659</v>
      </c>
      <c r="J374" t="s">
        <v>2660</v>
      </c>
      <c r="K374" t="s">
        <v>25</v>
      </c>
      <c r="L374">
        <v>24</v>
      </c>
      <c r="M374">
        <v>3</v>
      </c>
      <c r="N374">
        <v>0</v>
      </c>
      <c r="O374" t="s">
        <v>1114</v>
      </c>
      <c r="P374" t="s">
        <v>44</v>
      </c>
      <c r="Q374" t="s">
        <v>31</v>
      </c>
      <c r="R374" t="s">
        <v>71</v>
      </c>
      <c r="S374" t="s">
        <v>41</v>
      </c>
      <c r="T374">
        <v>4</v>
      </c>
      <c r="U374" s="5">
        <v>25.04</v>
      </c>
      <c r="V374" s="5">
        <v>59.23</v>
      </c>
      <c r="W374">
        <v>3</v>
      </c>
      <c r="X374" t="s">
        <v>45</v>
      </c>
      <c r="Y374">
        <v>2025</v>
      </c>
      <c r="Z374" t="str">
        <f>TEXT(Table1[[#This Row],[Order Date]],"MMM")</f>
        <v>Jul</v>
      </c>
      <c r="AA374" s="5">
        <f>Table1[[#This Row],[Unit Price]]*Table1[[#This Row],[Quantity]]*(1-Table1[[#This Row],[Discount %]]/100)</f>
        <v>75.12</v>
      </c>
      <c r="AB374" s="5">
        <f>Table1[[#This Row],[Sales]]-Table1[[#This Row],[Cost]]</f>
        <v>15.890000000000008</v>
      </c>
    </row>
    <row r="375" spans="1:28" x14ac:dyDescent="0.3">
      <c r="A375" t="s">
        <v>1115</v>
      </c>
      <c r="B375" s="1">
        <v>45704</v>
      </c>
      <c r="C375" t="s">
        <v>1116</v>
      </c>
      <c r="D375" t="s">
        <v>3157</v>
      </c>
      <c r="E375" s="1">
        <v>45709</v>
      </c>
      <c r="F375" t="s">
        <v>122</v>
      </c>
      <c r="G375" t="s">
        <v>120</v>
      </c>
      <c r="H375" t="s">
        <v>121</v>
      </c>
      <c r="I375" t="s">
        <v>2621</v>
      </c>
      <c r="J375" t="s">
        <v>2622</v>
      </c>
      <c r="K375" t="s">
        <v>52</v>
      </c>
      <c r="L375">
        <v>65</v>
      </c>
      <c r="M375">
        <v>5</v>
      </c>
      <c r="N375">
        <v>20</v>
      </c>
      <c r="O375" t="s">
        <v>1117</v>
      </c>
      <c r="P375" t="s">
        <v>33</v>
      </c>
      <c r="Q375" t="s">
        <v>42</v>
      </c>
      <c r="R375" t="s">
        <v>62</v>
      </c>
      <c r="S375" t="s">
        <v>123</v>
      </c>
      <c r="T375">
        <v>5</v>
      </c>
      <c r="U375" s="5">
        <v>994.52</v>
      </c>
      <c r="V375" s="5">
        <v>2178.91</v>
      </c>
      <c r="W375">
        <v>5</v>
      </c>
      <c r="X375" t="s">
        <v>34</v>
      </c>
      <c r="Y375">
        <v>2025</v>
      </c>
      <c r="Z375" t="str">
        <f>TEXT(Table1[[#This Row],[Order Date]],"MMM")</f>
        <v>Feb</v>
      </c>
      <c r="AA375" s="5">
        <f>Table1[[#This Row],[Unit Price]]*Table1[[#This Row],[Quantity]]*(1-Table1[[#This Row],[Discount %]]/100)</f>
        <v>3978.0800000000004</v>
      </c>
      <c r="AB375" s="5">
        <f>Table1[[#This Row],[Sales]]-Table1[[#This Row],[Cost]]</f>
        <v>1799.1700000000005</v>
      </c>
    </row>
    <row r="376" spans="1:28" x14ac:dyDescent="0.3">
      <c r="A376" t="s">
        <v>1118</v>
      </c>
      <c r="B376" s="1">
        <v>46127</v>
      </c>
      <c r="C376" t="s">
        <v>1119</v>
      </c>
      <c r="D376" t="s">
        <v>3158</v>
      </c>
      <c r="E376" s="1">
        <v>46131</v>
      </c>
      <c r="F376" t="s">
        <v>68</v>
      </c>
      <c r="G376" t="s">
        <v>66</v>
      </c>
      <c r="H376" t="s">
        <v>67</v>
      </c>
      <c r="I376" t="s">
        <v>2664</v>
      </c>
      <c r="J376" t="s">
        <v>2665</v>
      </c>
      <c r="K376" t="s">
        <v>25</v>
      </c>
      <c r="L376">
        <v>23</v>
      </c>
      <c r="M376">
        <v>2</v>
      </c>
      <c r="N376">
        <v>0</v>
      </c>
      <c r="O376" t="s">
        <v>192</v>
      </c>
      <c r="P376" t="s">
        <v>44</v>
      </c>
      <c r="Q376" t="s">
        <v>70</v>
      </c>
      <c r="R376" t="s">
        <v>62</v>
      </c>
      <c r="S376" t="s">
        <v>69</v>
      </c>
      <c r="T376">
        <v>5</v>
      </c>
      <c r="U376" s="5">
        <v>328.67</v>
      </c>
      <c r="V376" s="5">
        <v>383.62</v>
      </c>
      <c r="W376">
        <v>4</v>
      </c>
      <c r="X376" t="s">
        <v>49</v>
      </c>
      <c r="Y376">
        <v>2026</v>
      </c>
      <c r="Z376" t="str">
        <f>TEXT(Table1[[#This Row],[Order Date]],"MMM")</f>
        <v>Apr</v>
      </c>
      <c r="AA376" s="5">
        <f>Table1[[#This Row],[Unit Price]]*Table1[[#This Row],[Quantity]]*(1-Table1[[#This Row],[Discount %]]/100)</f>
        <v>657.34</v>
      </c>
      <c r="AB376" s="5">
        <f>Table1[[#This Row],[Sales]]-Table1[[#This Row],[Cost]]</f>
        <v>273.72000000000003</v>
      </c>
    </row>
    <row r="377" spans="1:28" x14ac:dyDescent="0.3">
      <c r="A377" t="s">
        <v>1120</v>
      </c>
      <c r="B377" s="1">
        <v>45768</v>
      </c>
      <c r="C377" t="s">
        <v>1121</v>
      </c>
      <c r="D377" t="s">
        <v>3159</v>
      </c>
      <c r="E377" s="1">
        <v>45770</v>
      </c>
      <c r="F377" t="s">
        <v>122</v>
      </c>
      <c r="G377" t="s">
        <v>120</v>
      </c>
      <c r="H377" t="s">
        <v>121</v>
      </c>
      <c r="I377" t="s">
        <v>2648</v>
      </c>
      <c r="J377" t="s">
        <v>2649</v>
      </c>
      <c r="K377" t="s">
        <v>25</v>
      </c>
      <c r="L377">
        <v>42</v>
      </c>
      <c r="M377">
        <v>4</v>
      </c>
      <c r="N377">
        <v>20</v>
      </c>
      <c r="O377" t="s">
        <v>1122</v>
      </c>
      <c r="P377" t="s">
        <v>33</v>
      </c>
      <c r="Q377" t="s">
        <v>117</v>
      </c>
      <c r="R377" t="s">
        <v>62</v>
      </c>
      <c r="S377" t="s">
        <v>123</v>
      </c>
      <c r="T377">
        <v>4</v>
      </c>
      <c r="U377" s="5">
        <v>148.18</v>
      </c>
      <c r="V377" s="5">
        <v>377.59</v>
      </c>
      <c r="W377">
        <v>2</v>
      </c>
      <c r="X377" t="s">
        <v>49</v>
      </c>
      <c r="Y377">
        <v>2025</v>
      </c>
      <c r="Z377" t="str">
        <f>TEXT(Table1[[#This Row],[Order Date]],"MMM")</f>
        <v>Apr</v>
      </c>
      <c r="AA377" s="5">
        <f>Table1[[#This Row],[Unit Price]]*Table1[[#This Row],[Quantity]]*(1-Table1[[#This Row],[Discount %]]/100)</f>
        <v>474.17600000000004</v>
      </c>
      <c r="AB377" s="5">
        <f>Table1[[#This Row],[Sales]]-Table1[[#This Row],[Cost]]</f>
        <v>96.58600000000007</v>
      </c>
    </row>
    <row r="378" spans="1:28" x14ac:dyDescent="0.3">
      <c r="A378" t="s">
        <v>1123</v>
      </c>
      <c r="B378" s="1">
        <v>45759</v>
      </c>
      <c r="C378" t="s">
        <v>1124</v>
      </c>
      <c r="D378" t="s">
        <v>3160</v>
      </c>
      <c r="E378" s="1">
        <v>45764</v>
      </c>
      <c r="F378" t="s">
        <v>100</v>
      </c>
      <c r="G378" t="s">
        <v>98</v>
      </c>
      <c r="H378" t="s">
        <v>99</v>
      </c>
      <c r="I378" t="s">
        <v>2619</v>
      </c>
      <c r="J378" t="s">
        <v>2620</v>
      </c>
      <c r="K378" t="s">
        <v>25</v>
      </c>
      <c r="L378">
        <v>33</v>
      </c>
      <c r="M378">
        <v>5</v>
      </c>
      <c r="N378">
        <v>10</v>
      </c>
      <c r="O378" t="s">
        <v>829</v>
      </c>
      <c r="P378" t="s">
        <v>33</v>
      </c>
      <c r="Q378" t="s">
        <v>42</v>
      </c>
      <c r="R378" t="s">
        <v>43</v>
      </c>
      <c r="S378" t="s">
        <v>101</v>
      </c>
      <c r="T378">
        <v>4</v>
      </c>
      <c r="U378" s="5">
        <v>948.45</v>
      </c>
      <c r="V378" s="5">
        <v>2886.33</v>
      </c>
      <c r="W378">
        <v>5</v>
      </c>
      <c r="X378" t="s">
        <v>49</v>
      </c>
      <c r="Y378">
        <v>2025</v>
      </c>
      <c r="Z378" t="str">
        <f>TEXT(Table1[[#This Row],[Order Date]],"MMM")</f>
        <v>Apr</v>
      </c>
      <c r="AA378" s="5">
        <f>Table1[[#This Row],[Unit Price]]*Table1[[#This Row],[Quantity]]*(1-Table1[[#This Row],[Discount %]]/100)</f>
        <v>4268.0250000000005</v>
      </c>
      <c r="AB378" s="5">
        <f>Table1[[#This Row],[Sales]]-Table1[[#This Row],[Cost]]</f>
        <v>1381.6950000000006</v>
      </c>
    </row>
    <row r="379" spans="1:28" x14ac:dyDescent="0.3">
      <c r="A379" t="s">
        <v>1125</v>
      </c>
      <c r="B379" s="1">
        <v>45880</v>
      </c>
      <c r="C379" t="s">
        <v>1126</v>
      </c>
      <c r="D379" t="s">
        <v>3161</v>
      </c>
      <c r="E379" s="1">
        <v>45887</v>
      </c>
      <c r="F379" t="s">
        <v>128</v>
      </c>
      <c r="G379" t="s">
        <v>98</v>
      </c>
      <c r="H379" t="s">
        <v>127</v>
      </c>
      <c r="I379" t="s">
        <v>2618</v>
      </c>
      <c r="J379" t="s">
        <v>2701</v>
      </c>
      <c r="K379" t="s">
        <v>25</v>
      </c>
      <c r="L379">
        <v>49</v>
      </c>
      <c r="M379">
        <v>3</v>
      </c>
      <c r="N379">
        <v>25</v>
      </c>
      <c r="O379" t="s">
        <v>1127</v>
      </c>
      <c r="P379" t="s">
        <v>75</v>
      </c>
      <c r="Q379" t="s">
        <v>31</v>
      </c>
      <c r="R379" t="s">
        <v>32</v>
      </c>
      <c r="S379" t="s">
        <v>129</v>
      </c>
      <c r="T379">
        <v>2</v>
      </c>
      <c r="U379" s="5">
        <v>517.88</v>
      </c>
      <c r="V379" s="5">
        <v>653.11</v>
      </c>
      <c r="W379">
        <v>7</v>
      </c>
      <c r="X379" t="s">
        <v>45</v>
      </c>
      <c r="Y379">
        <v>2025</v>
      </c>
      <c r="Z379" t="str">
        <f>TEXT(Table1[[#This Row],[Order Date]],"MMM")</f>
        <v>Aug</v>
      </c>
      <c r="AA379" s="5">
        <f>Table1[[#This Row],[Unit Price]]*Table1[[#This Row],[Quantity]]*(1-Table1[[#This Row],[Discount %]]/100)</f>
        <v>1165.23</v>
      </c>
      <c r="AB379" s="5">
        <f>Table1[[#This Row],[Sales]]-Table1[[#This Row],[Cost]]</f>
        <v>512.12</v>
      </c>
    </row>
    <row r="380" spans="1:28" x14ac:dyDescent="0.3">
      <c r="A380" t="s">
        <v>1128</v>
      </c>
      <c r="B380" s="1">
        <v>45455</v>
      </c>
      <c r="C380" t="s">
        <v>1129</v>
      </c>
      <c r="D380" t="s">
        <v>3162</v>
      </c>
      <c r="E380" s="1">
        <v>45457</v>
      </c>
      <c r="F380" t="s">
        <v>40</v>
      </c>
      <c r="G380" t="s">
        <v>38</v>
      </c>
      <c r="H380" t="s">
        <v>39</v>
      </c>
      <c r="I380" t="s">
        <v>2625</v>
      </c>
      <c r="J380" t="s">
        <v>2693</v>
      </c>
      <c r="K380" t="s">
        <v>25</v>
      </c>
      <c r="L380">
        <v>38</v>
      </c>
      <c r="M380">
        <v>2</v>
      </c>
      <c r="N380">
        <v>15</v>
      </c>
      <c r="O380" t="s">
        <v>1130</v>
      </c>
      <c r="P380" t="s">
        <v>75</v>
      </c>
      <c r="Q380" t="s">
        <v>117</v>
      </c>
      <c r="R380" t="s">
        <v>62</v>
      </c>
      <c r="S380" t="s">
        <v>41</v>
      </c>
      <c r="T380">
        <v>4</v>
      </c>
      <c r="U380" s="5">
        <v>440.09</v>
      </c>
      <c r="V380" s="5">
        <v>543.27</v>
      </c>
      <c r="W380">
        <v>2</v>
      </c>
      <c r="X380" t="s">
        <v>49</v>
      </c>
      <c r="Y380">
        <v>2024</v>
      </c>
      <c r="Z380" t="str">
        <f>TEXT(Table1[[#This Row],[Order Date]],"MMM")</f>
        <v>Jun</v>
      </c>
      <c r="AA380" s="5">
        <f>Table1[[#This Row],[Unit Price]]*Table1[[#This Row],[Quantity]]*(1-Table1[[#This Row],[Discount %]]/100)</f>
        <v>748.15299999999991</v>
      </c>
      <c r="AB380" s="5">
        <f>Table1[[#This Row],[Sales]]-Table1[[#This Row],[Cost]]</f>
        <v>204.88299999999992</v>
      </c>
    </row>
    <row r="381" spans="1:28" x14ac:dyDescent="0.3">
      <c r="A381" t="s">
        <v>1131</v>
      </c>
      <c r="B381" s="1">
        <v>45773</v>
      </c>
      <c r="C381" t="s">
        <v>1132</v>
      </c>
      <c r="D381" t="s">
        <v>3163</v>
      </c>
      <c r="E381" s="1">
        <v>45774</v>
      </c>
      <c r="F381" t="s">
        <v>56</v>
      </c>
      <c r="G381" t="s">
        <v>54</v>
      </c>
      <c r="H381" t="s">
        <v>55</v>
      </c>
      <c r="I381" t="s">
        <v>2618</v>
      </c>
      <c r="J381" t="s">
        <v>2701</v>
      </c>
      <c r="K381" t="s">
        <v>52</v>
      </c>
      <c r="L381">
        <v>23</v>
      </c>
      <c r="M381">
        <v>3</v>
      </c>
      <c r="N381">
        <v>20</v>
      </c>
      <c r="O381" t="s">
        <v>479</v>
      </c>
      <c r="P381" t="s">
        <v>44</v>
      </c>
      <c r="Q381" t="s">
        <v>117</v>
      </c>
      <c r="R381" t="s">
        <v>43</v>
      </c>
      <c r="S381" t="s">
        <v>57</v>
      </c>
      <c r="T381">
        <v>1</v>
      </c>
      <c r="U381" s="5">
        <v>837</v>
      </c>
      <c r="V381" s="5">
        <v>1315.56</v>
      </c>
      <c r="W381">
        <v>1</v>
      </c>
      <c r="X381" t="s">
        <v>49</v>
      </c>
      <c r="Y381">
        <v>2025</v>
      </c>
      <c r="Z381" t="str">
        <f>TEXT(Table1[[#This Row],[Order Date]],"MMM")</f>
        <v>Apr</v>
      </c>
      <c r="AA381" s="5">
        <f>Table1[[#This Row],[Unit Price]]*Table1[[#This Row],[Quantity]]*(1-Table1[[#This Row],[Discount %]]/100)</f>
        <v>2008.8000000000002</v>
      </c>
      <c r="AB381" s="5">
        <f>Table1[[#This Row],[Sales]]-Table1[[#This Row],[Cost]]</f>
        <v>693.24000000000024</v>
      </c>
    </row>
    <row r="382" spans="1:28" x14ac:dyDescent="0.3">
      <c r="A382" t="s">
        <v>1133</v>
      </c>
      <c r="B382" s="1">
        <v>46143</v>
      </c>
      <c r="C382" t="s">
        <v>1134</v>
      </c>
      <c r="D382" t="s">
        <v>3164</v>
      </c>
      <c r="E382" s="1">
        <v>46147</v>
      </c>
      <c r="F382" t="s">
        <v>115</v>
      </c>
      <c r="G382" t="s">
        <v>66</v>
      </c>
      <c r="H382" t="s">
        <v>114</v>
      </c>
      <c r="I382" t="s">
        <v>2627</v>
      </c>
      <c r="J382" t="s">
        <v>2707</v>
      </c>
      <c r="K382" t="s">
        <v>52</v>
      </c>
      <c r="L382">
        <v>46</v>
      </c>
      <c r="M382">
        <v>5</v>
      </c>
      <c r="N382">
        <v>5</v>
      </c>
      <c r="O382" t="s">
        <v>1135</v>
      </c>
      <c r="P382" t="s">
        <v>44</v>
      </c>
      <c r="Q382" t="s">
        <v>31</v>
      </c>
      <c r="R382" t="s">
        <v>71</v>
      </c>
      <c r="S382" t="s">
        <v>116</v>
      </c>
      <c r="T382">
        <v>5</v>
      </c>
      <c r="U382" s="5">
        <v>493.33</v>
      </c>
      <c r="V382" s="5">
        <v>1678.65</v>
      </c>
      <c r="W382">
        <v>4</v>
      </c>
      <c r="X382" t="s">
        <v>49</v>
      </c>
      <c r="Y382">
        <v>2026</v>
      </c>
      <c r="Z382" t="str">
        <f>TEXT(Table1[[#This Row],[Order Date]],"MMM")</f>
        <v>May</v>
      </c>
      <c r="AA382" s="5">
        <f>Table1[[#This Row],[Unit Price]]*Table1[[#This Row],[Quantity]]*(1-Table1[[#This Row],[Discount %]]/100)</f>
        <v>2343.3175000000001</v>
      </c>
      <c r="AB382" s="5">
        <f>Table1[[#This Row],[Sales]]-Table1[[#This Row],[Cost]]</f>
        <v>664.66750000000002</v>
      </c>
    </row>
    <row r="383" spans="1:28" x14ac:dyDescent="0.3">
      <c r="A383" t="s">
        <v>1136</v>
      </c>
      <c r="B383" s="1">
        <v>45799</v>
      </c>
      <c r="C383" t="s">
        <v>1137</v>
      </c>
      <c r="D383" t="s">
        <v>3165</v>
      </c>
      <c r="E383" s="1">
        <v>45806</v>
      </c>
      <c r="F383" t="s">
        <v>100</v>
      </c>
      <c r="G383" t="s">
        <v>98</v>
      </c>
      <c r="H383" t="s">
        <v>99</v>
      </c>
      <c r="I383" t="s">
        <v>2668</v>
      </c>
      <c r="J383" t="s">
        <v>2712</v>
      </c>
      <c r="K383" t="s">
        <v>25</v>
      </c>
      <c r="L383">
        <v>45</v>
      </c>
      <c r="M383">
        <v>4</v>
      </c>
      <c r="N383">
        <v>20</v>
      </c>
      <c r="O383" t="s">
        <v>1138</v>
      </c>
      <c r="P383" t="s">
        <v>33</v>
      </c>
      <c r="Q383" t="s">
        <v>117</v>
      </c>
      <c r="R383" t="s">
        <v>32</v>
      </c>
      <c r="S383" t="s">
        <v>101</v>
      </c>
      <c r="T383">
        <v>4</v>
      </c>
      <c r="U383" s="5">
        <v>410.49</v>
      </c>
      <c r="V383" s="5">
        <v>907.93</v>
      </c>
      <c r="W383">
        <v>7</v>
      </c>
      <c r="X383" t="s">
        <v>49</v>
      </c>
      <c r="Y383">
        <v>2025</v>
      </c>
      <c r="Z383" t="str">
        <f>TEXT(Table1[[#This Row],[Order Date]],"MMM")</f>
        <v>May</v>
      </c>
      <c r="AA383" s="5">
        <f>Table1[[#This Row],[Unit Price]]*Table1[[#This Row],[Quantity]]*(1-Table1[[#This Row],[Discount %]]/100)</f>
        <v>1313.5680000000002</v>
      </c>
      <c r="AB383" s="5">
        <f>Table1[[#This Row],[Sales]]-Table1[[#This Row],[Cost]]</f>
        <v>405.63800000000026</v>
      </c>
    </row>
    <row r="384" spans="1:28" x14ac:dyDescent="0.3">
      <c r="A384" t="s">
        <v>1139</v>
      </c>
      <c r="B384" s="1">
        <v>45557</v>
      </c>
      <c r="C384" t="s">
        <v>1140</v>
      </c>
      <c r="D384" t="s">
        <v>3166</v>
      </c>
      <c r="E384" s="1">
        <v>45559</v>
      </c>
      <c r="F384" t="s">
        <v>40</v>
      </c>
      <c r="G384" t="s">
        <v>38</v>
      </c>
      <c r="H384" t="s">
        <v>39</v>
      </c>
      <c r="I384" t="s">
        <v>2661</v>
      </c>
      <c r="J384" t="s">
        <v>2662</v>
      </c>
      <c r="K384" t="s">
        <v>25</v>
      </c>
      <c r="L384">
        <v>65</v>
      </c>
      <c r="M384">
        <v>5</v>
      </c>
      <c r="N384">
        <v>25</v>
      </c>
      <c r="O384" t="s">
        <v>1079</v>
      </c>
      <c r="P384" t="s">
        <v>44</v>
      </c>
      <c r="Q384" t="s">
        <v>70</v>
      </c>
      <c r="R384" t="s">
        <v>32</v>
      </c>
      <c r="S384" t="s">
        <v>41</v>
      </c>
      <c r="T384">
        <v>5</v>
      </c>
      <c r="U384" s="5">
        <v>881.14</v>
      </c>
      <c r="V384" s="5">
        <v>2157.38</v>
      </c>
      <c r="W384">
        <v>2</v>
      </c>
      <c r="X384" t="s">
        <v>45</v>
      </c>
      <c r="Y384">
        <v>2024</v>
      </c>
      <c r="Z384" t="str">
        <f>TEXT(Table1[[#This Row],[Order Date]],"MMM")</f>
        <v>Sep</v>
      </c>
      <c r="AA384" s="5">
        <f>Table1[[#This Row],[Unit Price]]*Table1[[#This Row],[Quantity]]*(1-Table1[[#This Row],[Discount %]]/100)</f>
        <v>3304.2749999999996</v>
      </c>
      <c r="AB384" s="5">
        <f>Table1[[#This Row],[Sales]]-Table1[[#This Row],[Cost]]</f>
        <v>1146.8949999999995</v>
      </c>
    </row>
    <row r="385" spans="1:28" x14ac:dyDescent="0.3">
      <c r="A385" t="s">
        <v>1141</v>
      </c>
      <c r="B385" s="1">
        <v>45678</v>
      </c>
      <c r="C385" t="s">
        <v>1142</v>
      </c>
      <c r="D385" t="s">
        <v>3167</v>
      </c>
      <c r="E385" s="1">
        <v>45685</v>
      </c>
      <c r="F385" t="s">
        <v>40</v>
      </c>
      <c r="G385" t="s">
        <v>38</v>
      </c>
      <c r="H385" t="s">
        <v>39</v>
      </c>
      <c r="I385" t="s">
        <v>2621</v>
      </c>
      <c r="J385" t="s">
        <v>2699</v>
      </c>
      <c r="K385" t="s">
        <v>25</v>
      </c>
      <c r="L385">
        <v>26</v>
      </c>
      <c r="M385">
        <v>4</v>
      </c>
      <c r="N385">
        <v>15</v>
      </c>
      <c r="O385" t="s">
        <v>1143</v>
      </c>
      <c r="P385" t="s">
        <v>33</v>
      </c>
      <c r="Q385" t="s">
        <v>31</v>
      </c>
      <c r="R385" t="s">
        <v>71</v>
      </c>
      <c r="S385" t="s">
        <v>41</v>
      </c>
      <c r="T385">
        <v>4</v>
      </c>
      <c r="U385" s="5">
        <v>428.73</v>
      </c>
      <c r="V385" s="5">
        <v>1071.81</v>
      </c>
      <c r="W385">
        <v>7</v>
      </c>
      <c r="X385" t="s">
        <v>34</v>
      </c>
      <c r="Y385">
        <v>2025</v>
      </c>
      <c r="Z385" t="str">
        <f>TEXT(Table1[[#This Row],[Order Date]],"MMM")</f>
        <v>Jan</v>
      </c>
      <c r="AA385" s="5">
        <f>Table1[[#This Row],[Unit Price]]*Table1[[#This Row],[Quantity]]*(1-Table1[[#This Row],[Discount %]]/100)</f>
        <v>1457.682</v>
      </c>
      <c r="AB385" s="5">
        <f>Table1[[#This Row],[Sales]]-Table1[[#This Row],[Cost]]</f>
        <v>385.87200000000007</v>
      </c>
    </row>
    <row r="386" spans="1:28" x14ac:dyDescent="0.3">
      <c r="A386" t="s">
        <v>1144</v>
      </c>
      <c r="B386" s="1">
        <v>45891</v>
      </c>
      <c r="C386" t="s">
        <v>1145</v>
      </c>
      <c r="D386" t="s">
        <v>3168</v>
      </c>
      <c r="E386" s="1">
        <v>45898</v>
      </c>
      <c r="F386" t="s">
        <v>40</v>
      </c>
      <c r="G386" t="s">
        <v>38</v>
      </c>
      <c r="H386" t="s">
        <v>39</v>
      </c>
      <c r="I386" t="s">
        <v>2637</v>
      </c>
      <c r="J386" t="s">
        <v>2638</v>
      </c>
      <c r="K386" t="s">
        <v>25</v>
      </c>
      <c r="L386">
        <v>57</v>
      </c>
      <c r="M386">
        <v>3</v>
      </c>
      <c r="N386">
        <v>25</v>
      </c>
      <c r="O386" t="s">
        <v>1146</v>
      </c>
      <c r="P386" t="s">
        <v>44</v>
      </c>
      <c r="Q386" t="s">
        <v>42</v>
      </c>
      <c r="R386" t="s">
        <v>43</v>
      </c>
      <c r="S386" t="s">
        <v>41</v>
      </c>
      <c r="T386">
        <v>4</v>
      </c>
      <c r="U386" s="5">
        <v>393.18</v>
      </c>
      <c r="V386" s="5">
        <v>666.89</v>
      </c>
      <c r="W386">
        <v>7</v>
      </c>
      <c r="X386" t="s">
        <v>45</v>
      </c>
      <c r="Y386">
        <v>2025</v>
      </c>
      <c r="Z386" t="str">
        <f>TEXT(Table1[[#This Row],[Order Date]],"MMM")</f>
        <v>Aug</v>
      </c>
      <c r="AA386" s="5">
        <f>Table1[[#This Row],[Unit Price]]*Table1[[#This Row],[Quantity]]*(1-Table1[[#This Row],[Discount %]]/100)</f>
        <v>884.65499999999997</v>
      </c>
      <c r="AB386" s="5">
        <f>Table1[[#This Row],[Sales]]-Table1[[#This Row],[Cost]]</f>
        <v>217.76499999999999</v>
      </c>
    </row>
    <row r="387" spans="1:28" x14ac:dyDescent="0.3">
      <c r="A387" t="s">
        <v>1147</v>
      </c>
      <c r="B387" s="1">
        <v>46047</v>
      </c>
      <c r="C387" t="s">
        <v>1148</v>
      </c>
      <c r="D387" t="s">
        <v>3169</v>
      </c>
      <c r="E387" s="1">
        <v>46050</v>
      </c>
      <c r="F387" t="s">
        <v>122</v>
      </c>
      <c r="G387" t="s">
        <v>120</v>
      </c>
      <c r="H387" t="s">
        <v>121</v>
      </c>
      <c r="I387" t="s">
        <v>2657</v>
      </c>
      <c r="J387" t="s">
        <v>2658</v>
      </c>
      <c r="K387" t="s">
        <v>52</v>
      </c>
      <c r="L387">
        <v>22</v>
      </c>
      <c r="M387">
        <v>3</v>
      </c>
      <c r="N387">
        <v>25</v>
      </c>
      <c r="O387" t="s">
        <v>1149</v>
      </c>
      <c r="P387" t="s">
        <v>44</v>
      </c>
      <c r="Q387" t="s">
        <v>31</v>
      </c>
      <c r="R387" t="s">
        <v>62</v>
      </c>
      <c r="S387" t="s">
        <v>123</v>
      </c>
      <c r="T387">
        <v>2</v>
      </c>
      <c r="U387" s="5">
        <v>736.19</v>
      </c>
      <c r="V387" s="5">
        <v>1028.95</v>
      </c>
      <c r="W387">
        <v>3</v>
      </c>
      <c r="X387" t="s">
        <v>34</v>
      </c>
      <c r="Y387">
        <v>2026</v>
      </c>
      <c r="Z387" t="str">
        <f>TEXT(Table1[[#This Row],[Order Date]],"MMM")</f>
        <v>Jan</v>
      </c>
      <c r="AA387" s="5">
        <f>Table1[[#This Row],[Unit Price]]*Table1[[#This Row],[Quantity]]*(1-Table1[[#This Row],[Discount %]]/100)</f>
        <v>1656.4275000000002</v>
      </c>
      <c r="AB387" s="5">
        <f>Table1[[#This Row],[Sales]]-Table1[[#This Row],[Cost]]</f>
        <v>627.47750000000019</v>
      </c>
    </row>
    <row r="388" spans="1:28" x14ac:dyDescent="0.3">
      <c r="A388" t="s">
        <v>1150</v>
      </c>
      <c r="B388" s="1">
        <v>45999</v>
      </c>
      <c r="C388" t="s">
        <v>1151</v>
      </c>
      <c r="D388" t="s">
        <v>3170</v>
      </c>
      <c r="E388" s="1">
        <v>46001</v>
      </c>
      <c r="F388" t="s">
        <v>128</v>
      </c>
      <c r="G388" t="s">
        <v>98</v>
      </c>
      <c r="H388" t="s">
        <v>127</v>
      </c>
      <c r="I388" t="s">
        <v>2664</v>
      </c>
      <c r="J388" t="s">
        <v>2704</v>
      </c>
      <c r="K388" t="s">
        <v>52</v>
      </c>
      <c r="L388">
        <v>21</v>
      </c>
      <c r="M388">
        <v>1</v>
      </c>
      <c r="N388">
        <v>30</v>
      </c>
      <c r="O388" t="s">
        <v>1152</v>
      </c>
      <c r="P388" t="s">
        <v>33</v>
      </c>
      <c r="Q388" t="s">
        <v>42</v>
      </c>
      <c r="R388" t="s">
        <v>43</v>
      </c>
      <c r="S388" t="s">
        <v>129</v>
      </c>
      <c r="T388">
        <v>3</v>
      </c>
      <c r="U388" s="5">
        <v>724.84</v>
      </c>
      <c r="V388" s="5">
        <v>384.91</v>
      </c>
      <c r="W388">
        <v>2</v>
      </c>
      <c r="X388" t="s">
        <v>94</v>
      </c>
      <c r="Y388">
        <v>2025</v>
      </c>
      <c r="Z388" t="str">
        <f>TEXT(Table1[[#This Row],[Order Date]],"MMM")</f>
        <v>Dec</v>
      </c>
      <c r="AA388" s="5">
        <f>Table1[[#This Row],[Unit Price]]*Table1[[#This Row],[Quantity]]*(1-Table1[[#This Row],[Discount %]]/100)</f>
        <v>507.38799999999998</v>
      </c>
      <c r="AB388" s="5">
        <f>Table1[[#This Row],[Sales]]-Table1[[#This Row],[Cost]]</f>
        <v>122.47799999999995</v>
      </c>
    </row>
    <row r="389" spans="1:28" x14ac:dyDescent="0.3">
      <c r="A389" t="s">
        <v>1153</v>
      </c>
      <c r="B389" s="1">
        <v>45660</v>
      </c>
      <c r="C389" t="s">
        <v>1154</v>
      </c>
      <c r="D389" t="s">
        <v>3171</v>
      </c>
      <c r="E389" s="1">
        <v>45665</v>
      </c>
      <c r="F389" t="s">
        <v>140</v>
      </c>
      <c r="G389" t="s">
        <v>38</v>
      </c>
      <c r="H389" t="s">
        <v>139</v>
      </c>
      <c r="I389" t="s">
        <v>2625</v>
      </c>
      <c r="J389" t="s">
        <v>2705</v>
      </c>
      <c r="K389" t="s">
        <v>25</v>
      </c>
      <c r="L389">
        <v>33</v>
      </c>
      <c r="M389">
        <v>5</v>
      </c>
      <c r="N389">
        <v>30</v>
      </c>
      <c r="O389" t="s">
        <v>1155</v>
      </c>
      <c r="P389" t="s">
        <v>33</v>
      </c>
      <c r="Q389" t="s">
        <v>42</v>
      </c>
      <c r="R389" t="s">
        <v>71</v>
      </c>
      <c r="S389" t="s">
        <v>141</v>
      </c>
      <c r="T389">
        <v>3</v>
      </c>
      <c r="U389" s="5">
        <v>413.27</v>
      </c>
      <c r="V389" s="5">
        <v>779.09</v>
      </c>
      <c r="W389">
        <v>5</v>
      </c>
      <c r="X389" t="s">
        <v>34</v>
      </c>
      <c r="Y389">
        <v>2025</v>
      </c>
      <c r="Z389" t="str">
        <f>TEXT(Table1[[#This Row],[Order Date]],"MMM")</f>
        <v>Jan</v>
      </c>
      <c r="AA389" s="5">
        <f>Table1[[#This Row],[Unit Price]]*Table1[[#This Row],[Quantity]]*(1-Table1[[#This Row],[Discount %]]/100)</f>
        <v>1446.4449999999999</v>
      </c>
      <c r="AB389" s="5">
        <f>Table1[[#This Row],[Sales]]-Table1[[#This Row],[Cost]]</f>
        <v>667.3549999999999</v>
      </c>
    </row>
    <row r="390" spans="1:28" x14ac:dyDescent="0.3">
      <c r="A390" t="s">
        <v>1156</v>
      </c>
      <c r="B390" s="1">
        <v>45944</v>
      </c>
      <c r="C390" t="s">
        <v>1157</v>
      </c>
      <c r="D390" t="s">
        <v>3172</v>
      </c>
      <c r="E390" s="1">
        <v>45950</v>
      </c>
      <c r="F390" t="s">
        <v>68</v>
      </c>
      <c r="G390" t="s">
        <v>66</v>
      </c>
      <c r="H390" t="s">
        <v>67</v>
      </c>
      <c r="I390" t="s">
        <v>2659</v>
      </c>
      <c r="J390" t="s">
        <v>2660</v>
      </c>
      <c r="K390" t="s">
        <v>25</v>
      </c>
      <c r="L390">
        <v>58</v>
      </c>
      <c r="M390">
        <v>2</v>
      </c>
      <c r="N390">
        <v>0</v>
      </c>
      <c r="O390" t="s">
        <v>1158</v>
      </c>
      <c r="P390" t="s">
        <v>44</v>
      </c>
      <c r="Q390" t="s">
        <v>70</v>
      </c>
      <c r="R390" t="s">
        <v>43</v>
      </c>
      <c r="S390" t="s">
        <v>69</v>
      </c>
      <c r="T390">
        <v>1</v>
      </c>
      <c r="U390" s="5">
        <v>413.63</v>
      </c>
      <c r="V390" s="5">
        <v>494.42</v>
      </c>
      <c r="W390">
        <v>6</v>
      </c>
      <c r="X390" t="s">
        <v>94</v>
      </c>
      <c r="Y390">
        <v>2025</v>
      </c>
      <c r="Z390" t="str">
        <f>TEXT(Table1[[#This Row],[Order Date]],"MMM")</f>
        <v>Oct</v>
      </c>
      <c r="AA390" s="5">
        <f>Table1[[#This Row],[Unit Price]]*Table1[[#This Row],[Quantity]]*(1-Table1[[#This Row],[Discount %]]/100)</f>
        <v>827.26</v>
      </c>
      <c r="AB390" s="5">
        <f>Table1[[#This Row],[Sales]]-Table1[[#This Row],[Cost]]</f>
        <v>332.84</v>
      </c>
    </row>
    <row r="391" spans="1:28" x14ac:dyDescent="0.3">
      <c r="A391" t="s">
        <v>1159</v>
      </c>
      <c r="B391" s="1">
        <v>46074</v>
      </c>
      <c r="C391" t="s">
        <v>1160</v>
      </c>
      <c r="D391" t="s">
        <v>3173</v>
      </c>
      <c r="E391" s="1">
        <v>46077</v>
      </c>
      <c r="F391" t="s">
        <v>122</v>
      </c>
      <c r="G391" t="s">
        <v>120</v>
      </c>
      <c r="H391" t="s">
        <v>121</v>
      </c>
      <c r="I391" t="s">
        <v>2618</v>
      </c>
      <c r="J391" t="s">
        <v>2618</v>
      </c>
      <c r="K391" t="s">
        <v>52</v>
      </c>
      <c r="L391">
        <v>65</v>
      </c>
      <c r="M391">
        <v>2</v>
      </c>
      <c r="N391">
        <v>5</v>
      </c>
      <c r="O391" t="s">
        <v>1161</v>
      </c>
      <c r="P391" t="s">
        <v>33</v>
      </c>
      <c r="Q391" t="s">
        <v>42</v>
      </c>
      <c r="R391" t="s">
        <v>71</v>
      </c>
      <c r="S391" t="s">
        <v>123</v>
      </c>
      <c r="T391">
        <v>1</v>
      </c>
      <c r="U391" s="5">
        <v>848.3</v>
      </c>
      <c r="V391" s="5">
        <v>1326.02</v>
      </c>
      <c r="W391">
        <v>3</v>
      </c>
      <c r="X391" t="s">
        <v>34</v>
      </c>
      <c r="Y391">
        <v>2026</v>
      </c>
      <c r="Z391" t="str">
        <f>TEXT(Table1[[#This Row],[Order Date]],"MMM")</f>
        <v>Feb</v>
      </c>
      <c r="AA391" s="5">
        <f>Table1[[#This Row],[Unit Price]]*Table1[[#This Row],[Quantity]]*(1-Table1[[#This Row],[Discount %]]/100)</f>
        <v>1611.7699999999998</v>
      </c>
      <c r="AB391" s="5">
        <f>Table1[[#This Row],[Sales]]-Table1[[#This Row],[Cost]]</f>
        <v>285.74999999999977</v>
      </c>
    </row>
    <row r="392" spans="1:28" x14ac:dyDescent="0.3">
      <c r="A392" t="s">
        <v>1162</v>
      </c>
      <c r="B392" s="1">
        <v>45736</v>
      </c>
      <c r="C392" t="s">
        <v>1163</v>
      </c>
      <c r="D392" t="s">
        <v>3174</v>
      </c>
      <c r="E392" s="1">
        <v>45742</v>
      </c>
      <c r="F392" t="s">
        <v>122</v>
      </c>
      <c r="G392" t="s">
        <v>120</v>
      </c>
      <c r="H392" t="s">
        <v>121</v>
      </c>
      <c r="I392" t="s">
        <v>2621</v>
      </c>
      <c r="J392" t="s">
        <v>2699</v>
      </c>
      <c r="K392" t="s">
        <v>52</v>
      </c>
      <c r="L392">
        <v>35</v>
      </c>
      <c r="M392">
        <v>5</v>
      </c>
      <c r="N392">
        <v>25</v>
      </c>
      <c r="O392" t="s">
        <v>1164</v>
      </c>
      <c r="P392" t="s">
        <v>44</v>
      </c>
      <c r="Q392" t="s">
        <v>31</v>
      </c>
      <c r="R392" t="s">
        <v>71</v>
      </c>
      <c r="S392" t="s">
        <v>123</v>
      </c>
      <c r="T392">
        <v>1</v>
      </c>
      <c r="U392" s="5">
        <v>802</v>
      </c>
      <c r="V392" s="5">
        <v>1859.31</v>
      </c>
      <c r="W392">
        <v>6</v>
      </c>
      <c r="X392" t="s">
        <v>34</v>
      </c>
      <c r="Y392">
        <v>2025</v>
      </c>
      <c r="Z392" t="str">
        <f>TEXT(Table1[[#This Row],[Order Date]],"MMM")</f>
        <v>Mar</v>
      </c>
      <c r="AA392" s="5">
        <f>Table1[[#This Row],[Unit Price]]*Table1[[#This Row],[Quantity]]*(1-Table1[[#This Row],[Discount %]]/100)</f>
        <v>3007.5</v>
      </c>
      <c r="AB392" s="5">
        <f>Table1[[#This Row],[Sales]]-Table1[[#This Row],[Cost]]</f>
        <v>1148.19</v>
      </c>
    </row>
    <row r="393" spans="1:28" x14ac:dyDescent="0.3">
      <c r="A393" t="s">
        <v>1165</v>
      </c>
      <c r="B393" s="1">
        <v>45559</v>
      </c>
      <c r="C393" t="s">
        <v>1166</v>
      </c>
      <c r="D393" t="s">
        <v>3175</v>
      </c>
      <c r="E393" s="1">
        <v>45560</v>
      </c>
      <c r="F393" t="s">
        <v>40</v>
      </c>
      <c r="G393" t="s">
        <v>38</v>
      </c>
      <c r="H393" t="s">
        <v>39</v>
      </c>
      <c r="I393" t="s">
        <v>2631</v>
      </c>
      <c r="J393" t="s">
        <v>2639</v>
      </c>
      <c r="K393" t="s">
        <v>52</v>
      </c>
      <c r="L393">
        <v>51</v>
      </c>
      <c r="M393">
        <v>3</v>
      </c>
      <c r="N393">
        <v>30</v>
      </c>
      <c r="O393" t="s">
        <v>1167</v>
      </c>
      <c r="P393" t="s">
        <v>44</v>
      </c>
      <c r="Q393" t="s">
        <v>117</v>
      </c>
      <c r="R393" t="s">
        <v>43</v>
      </c>
      <c r="S393" t="s">
        <v>41</v>
      </c>
      <c r="T393">
        <v>4</v>
      </c>
      <c r="U393" s="5">
        <v>591.41</v>
      </c>
      <c r="V393" s="5">
        <v>796.32</v>
      </c>
      <c r="W393">
        <v>1</v>
      </c>
      <c r="X393" t="s">
        <v>45</v>
      </c>
      <c r="Y393">
        <v>2024</v>
      </c>
      <c r="Z393" t="str">
        <f>TEXT(Table1[[#This Row],[Order Date]],"MMM")</f>
        <v>Sep</v>
      </c>
      <c r="AA393" s="5">
        <f>Table1[[#This Row],[Unit Price]]*Table1[[#This Row],[Quantity]]*(1-Table1[[#This Row],[Discount %]]/100)</f>
        <v>1241.961</v>
      </c>
      <c r="AB393" s="5">
        <f>Table1[[#This Row],[Sales]]-Table1[[#This Row],[Cost]]</f>
        <v>445.64099999999996</v>
      </c>
    </row>
    <row r="394" spans="1:28" x14ac:dyDescent="0.3">
      <c r="A394" t="s">
        <v>1168</v>
      </c>
      <c r="B394" s="1">
        <v>45637</v>
      </c>
      <c r="C394" t="s">
        <v>1169</v>
      </c>
      <c r="D394" t="s">
        <v>3176</v>
      </c>
      <c r="E394" s="1">
        <v>45642</v>
      </c>
      <c r="F394" t="s">
        <v>115</v>
      </c>
      <c r="G394" t="s">
        <v>66</v>
      </c>
      <c r="H394" t="s">
        <v>114</v>
      </c>
      <c r="I394" t="s">
        <v>2619</v>
      </c>
      <c r="J394" t="s">
        <v>2620</v>
      </c>
      <c r="K394" t="s">
        <v>52</v>
      </c>
      <c r="L394">
        <v>46</v>
      </c>
      <c r="M394">
        <v>1</v>
      </c>
      <c r="N394">
        <v>25</v>
      </c>
      <c r="O394" t="s">
        <v>755</v>
      </c>
      <c r="P394" t="s">
        <v>75</v>
      </c>
      <c r="Q394" t="s">
        <v>117</v>
      </c>
      <c r="R394" t="s">
        <v>71</v>
      </c>
      <c r="S394" t="s">
        <v>116</v>
      </c>
      <c r="T394">
        <v>3</v>
      </c>
      <c r="U394" s="5">
        <v>878.04</v>
      </c>
      <c r="V394" s="5">
        <v>374.24</v>
      </c>
      <c r="W394">
        <v>5</v>
      </c>
      <c r="X394" t="s">
        <v>94</v>
      </c>
      <c r="Y394">
        <v>2024</v>
      </c>
      <c r="Z394" t="str">
        <f>TEXT(Table1[[#This Row],[Order Date]],"MMM")</f>
        <v>Dec</v>
      </c>
      <c r="AA394" s="5">
        <f>Table1[[#This Row],[Unit Price]]*Table1[[#This Row],[Quantity]]*(1-Table1[[#This Row],[Discount %]]/100)</f>
        <v>658.53</v>
      </c>
      <c r="AB394" s="5">
        <f>Table1[[#This Row],[Sales]]-Table1[[#This Row],[Cost]]</f>
        <v>284.28999999999996</v>
      </c>
    </row>
    <row r="395" spans="1:28" x14ac:dyDescent="0.3">
      <c r="A395" t="s">
        <v>1170</v>
      </c>
      <c r="B395" s="1">
        <v>45997</v>
      </c>
      <c r="C395" t="s">
        <v>1171</v>
      </c>
      <c r="D395" t="s">
        <v>3177</v>
      </c>
      <c r="E395" s="1">
        <v>45998</v>
      </c>
      <c r="F395" t="s">
        <v>56</v>
      </c>
      <c r="G395" t="s">
        <v>54</v>
      </c>
      <c r="H395" t="s">
        <v>55</v>
      </c>
      <c r="I395" t="s">
        <v>2661</v>
      </c>
      <c r="J395" t="s">
        <v>2715</v>
      </c>
      <c r="K395" t="s">
        <v>52</v>
      </c>
      <c r="L395">
        <v>31</v>
      </c>
      <c r="M395">
        <v>2</v>
      </c>
      <c r="N395">
        <v>25</v>
      </c>
      <c r="O395" t="s">
        <v>1172</v>
      </c>
      <c r="P395" t="s">
        <v>33</v>
      </c>
      <c r="Q395" t="s">
        <v>58</v>
      </c>
      <c r="R395" t="s">
        <v>32</v>
      </c>
      <c r="S395" t="s">
        <v>57</v>
      </c>
      <c r="T395">
        <v>5</v>
      </c>
      <c r="U395" s="5">
        <v>506.51</v>
      </c>
      <c r="V395" s="5">
        <v>485.27</v>
      </c>
      <c r="W395">
        <v>1</v>
      </c>
      <c r="X395" t="s">
        <v>94</v>
      </c>
      <c r="Y395">
        <v>2025</v>
      </c>
      <c r="Z395" t="str">
        <f>TEXT(Table1[[#This Row],[Order Date]],"MMM")</f>
        <v>Dec</v>
      </c>
      <c r="AA395" s="5">
        <f>Table1[[#This Row],[Unit Price]]*Table1[[#This Row],[Quantity]]*(1-Table1[[#This Row],[Discount %]]/100)</f>
        <v>759.76499999999999</v>
      </c>
      <c r="AB395" s="5">
        <f>Table1[[#This Row],[Sales]]-Table1[[#This Row],[Cost]]</f>
        <v>274.495</v>
      </c>
    </row>
    <row r="396" spans="1:28" x14ac:dyDescent="0.3">
      <c r="A396" t="s">
        <v>1173</v>
      </c>
      <c r="B396" s="1">
        <v>45725</v>
      </c>
      <c r="C396" t="s">
        <v>1174</v>
      </c>
      <c r="D396" t="s">
        <v>3178</v>
      </c>
      <c r="E396" s="1">
        <v>45732</v>
      </c>
      <c r="F396" t="s">
        <v>56</v>
      </c>
      <c r="G396" t="s">
        <v>54</v>
      </c>
      <c r="H396" t="s">
        <v>55</v>
      </c>
      <c r="I396" t="s">
        <v>2627</v>
      </c>
      <c r="J396" t="s">
        <v>2670</v>
      </c>
      <c r="K396" t="s">
        <v>25</v>
      </c>
      <c r="L396">
        <v>24</v>
      </c>
      <c r="M396">
        <v>3</v>
      </c>
      <c r="N396">
        <v>5</v>
      </c>
      <c r="O396" t="s">
        <v>1175</v>
      </c>
      <c r="P396" t="s">
        <v>44</v>
      </c>
      <c r="Q396" t="s">
        <v>70</v>
      </c>
      <c r="R396" t="s">
        <v>43</v>
      </c>
      <c r="S396" t="s">
        <v>57</v>
      </c>
      <c r="T396">
        <v>2</v>
      </c>
      <c r="U396" s="5">
        <v>573.71</v>
      </c>
      <c r="V396" s="5">
        <v>865.33</v>
      </c>
      <c r="W396">
        <v>7</v>
      </c>
      <c r="X396" t="s">
        <v>34</v>
      </c>
      <c r="Y396">
        <v>2025</v>
      </c>
      <c r="Z396" t="str">
        <f>TEXT(Table1[[#This Row],[Order Date]],"MMM")</f>
        <v>Mar</v>
      </c>
      <c r="AA396" s="5">
        <f>Table1[[#This Row],[Unit Price]]*Table1[[#This Row],[Quantity]]*(1-Table1[[#This Row],[Discount %]]/100)</f>
        <v>1635.0735</v>
      </c>
      <c r="AB396" s="5">
        <f>Table1[[#This Row],[Sales]]-Table1[[#This Row],[Cost]]</f>
        <v>769.74349999999993</v>
      </c>
    </row>
    <row r="397" spans="1:28" x14ac:dyDescent="0.3">
      <c r="A397" t="s">
        <v>1176</v>
      </c>
      <c r="B397" s="1">
        <v>45401</v>
      </c>
      <c r="C397" t="s">
        <v>1177</v>
      </c>
      <c r="D397" t="s">
        <v>3179</v>
      </c>
      <c r="E397" s="1">
        <v>45408</v>
      </c>
      <c r="F397" t="s">
        <v>40</v>
      </c>
      <c r="G397" t="s">
        <v>38</v>
      </c>
      <c r="H397" t="s">
        <v>39</v>
      </c>
      <c r="I397" t="s">
        <v>2621</v>
      </c>
      <c r="J397" t="s">
        <v>2699</v>
      </c>
      <c r="K397" t="s">
        <v>52</v>
      </c>
      <c r="L397">
        <v>65</v>
      </c>
      <c r="M397">
        <v>4</v>
      </c>
      <c r="N397">
        <v>5</v>
      </c>
      <c r="O397" t="s">
        <v>634</v>
      </c>
      <c r="P397" t="s">
        <v>33</v>
      </c>
      <c r="Q397" t="s">
        <v>31</v>
      </c>
      <c r="R397" t="s">
        <v>71</v>
      </c>
      <c r="S397" t="s">
        <v>41</v>
      </c>
      <c r="T397">
        <v>1</v>
      </c>
      <c r="U397" s="5">
        <v>28.67</v>
      </c>
      <c r="V397" s="5">
        <v>64.47</v>
      </c>
      <c r="W397">
        <v>7</v>
      </c>
      <c r="X397" t="s">
        <v>49</v>
      </c>
      <c r="Y397">
        <v>2024</v>
      </c>
      <c r="Z397" t="str">
        <f>TEXT(Table1[[#This Row],[Order Date]],"MMM")</f>
        <v>Apr</v>
      </c>
      <c r="AA397" s="5">
        <f>Table1[[#This Row],[Unit Price]]*Table1[[#This Row],[Quantity]]*(1-Table1[[#This Row],[Discount %]]/100)</f>
        <v>108.946</v>
      </c>
      <c r="AB397" s="5">
        <f>Table1[[#This Row],[Sales]]-Table1[[#This Row],[Cost]]</f>
        <v>44.475999999999999</v>
      </c>
    </row>
    <row r="398" spans="1:28" x14ac:dyDescent="0.3">
      <c r="A398" t="s">
        <v>1178</v>
      </c>
      <c r="B398" s="1">
        <v>45409</v>
      </c>
      <c r="C398" t="s">
        <v>1179</v>
      </c>
      <c r="D398" t="s">
        <v>3180</v>
      </c>
      <c r="E398" s="1">
        <v>45412</v>
      </c>
      <c r="F398" t="s">
        <v>29</v>
      </c>
      <c r="G398" t="s">
        <v>27</v>
      </c>
      <c r="H398" t="s">
        <v>28</v>
      </c>
      <c r="I398" t="s">
        <v>2621</v>
      </c>
      <c r="J398" t="s">
        <v>2699</v>
      </c>
      <c r="K398" t="s">
        <v>25</v>
      </c>
      <c r="L398">
        <v>18</v>
      </c>
      <c r="M398">
        <v>4</v>
      </c>
      <c r="N398">
        <v>20</v>
      </c>
      <c r="O398" t="s">
        <v>1180</v>
      </c>
      <c r="P398" t="s">
        <v>33</v>
      </c>
      <c r="Q398" t="s">
        <v>42</v>
      </c>
      <c r="R398" t="s">
        <v>71</v>
      </c>
      <c r="S398" t="s">
        <v>30</v>
      </c>
      <c r="T398">
        <v>5</v>
      </c>
      <c r="U398" s="5">
        <v>133.53</v>
      </c>
      <c r="V398" s="5">
        <v>324.86</v>
      </c>
      <c r="W398">
        <v>3</v>
      </c>
      <c r="X398" t="s">
        <v>49</v>
      </c>
      <c r="Y398">
        <v>2024</v>
      </c>
      <c r="Z398" t="str">
        <f>TEXT(Table1[[#This Row],[Order Date]],"MMM")</f>
        <v>Apr</v>
      </c>
      <c r="AA398" s="5">
        <f>Table1[[#This Row],[Unit Price]]*Table1[[#This Row],[Quantity]]*(1-Table1[[#This Row],[Discount %]]/100)</f>
        <v>427.29600000000005</v>
      </c>
      <c r="AB398" s="5">
        <f>Table1[[#This Row],[Sales]]-Table1[[#This Row],[Cost]]</f>
        <v>102.43600000000004</v>
      </c>
    </row>
    <row r="399" spans="1:28" x14ac:dyDescent="0.3">
      <c r="A399" t="s">
        <v>1181</v>
      </c>
      <c r="B399" s="1">
        <v>45374</v>
      </c>
      <c r="C399" t="s">
        <v>1182</v>
      </c>
      <c r="D399" t="s">
        <v>3181</v>
      </c>
      <c r="E399" s="1">
        <v>45375</v>
      </c>
      <c r="F399" t="s">
        <v>56</v>
      </c>
      <c r="G399" t="s">
        <v>54</v>
      </c>
      <c r="H399" t="s">
        <v>55</v>
      </c>
      <c r="I399" t="s">
        <v>2637</v>
      </c>
      <c r="J399" t="s">
        <v>2638</v>
      </c>
      <c r="K399" t="s">
        <v>25</v>
      </c>
      <c r="L399">
        <v>55</v>
      </c>
      <c r="M399">
        <v>2</v>
      </c>
      <c r="N399">
        <v>10</v>
      </c>
      <c r="O399" t="s">
        <v>1183</v>
      </c>
      <c r="P399" t="s">
        <v>33</v>
      </c>
      <c r="Q399" t="s">
        <v>31</v>
      </c>
      <c r="R399" t="s">
        <v>32</v>
      </c>
      <c r="S399" t="s">
        <v>57</v>
      </c>
      <c r="T399">
        <v>1</v>
      </c>
      <c r="U399" s="5">
        <v>614.16999999999996</v>
      </c>
      <c r="V399" s="5">
        <v>655.77</v>
      </c>
      <c r="W399">
        <v>1</v>
      </c>
      <c r="X399" t="s">
        <v>34</v>
      </c>
      <c r="Y399">
        <v>2024</v>
      </c>
      <c r="Z399" t="str">
        <f>TEXT(Table1[[#This Row],[Order Date]],"MMM")</f>
        <v>Mar</v>
      </c>
      <c r="AA399" s="5">
        <f>Table1[[#This Row],[Unit Price]]*Table1[[#This Row],[Quantity]]*(1-Table1[[#This Row],[Discount %]]/100)</f>
        <v>1105.5059999999999</v>
      </c>
      <c r="AB399" s="5">
        <f>Table1[[#This Row],[Sales]]-Table1[[#This Row],[Cost]]</f>
        <v>449.73599999999988</v>
      </c>
    </row>
    <row r="400" spans="1:28" x14ac:dyDescent="0.3">
      <c r="A400" t="s">
        <v>1184</v>
      </c>
      <c r="B400" s="1">
        <v>45639</v>
      </c>
      <c r="C400" t="s">
        <v>134</v>
      </c>
      <c r="D400" t="s">
        <v>3182</v>
      </c>
      <c r="E400" s="1">
        <v>45643</v>
      </c>
      <c r="F400" t="s">
        <v>100</v>
      </c>
      <c r="G400" t="s">
        <v>98</v>
      </c>
      <c r="H400" t="s">
        <v>99</v>
      </c>
      <c r="I400" t="s">
        <v>2618</v>
      </c>
      <c r="J400" t="s">
        <v>2700</v>
      </c>
      <c r="K400" t="s">
        <v>52</v>
      </c>
      <c r="L400">
        <v>36</v>
      </c>
      <c r="M400">
        <v>5</v>
      </c>
      <c r="N400">
        <v>20</v>
      </c>
      <c r="O400" t="s">
        <v>1185</v>
      </c>
      <c r="P400" t="s">
        <v>33</v>
      </c>
      <c r="Q400" t="s">
        <v>70</v>
      </c>
      <c r="R400" t="s">
        <v>62</v>
      </c>
      <c r="S400" t="s">
        <v>101</v>
      </c>
      <c r="T400">
        <v>2</v>
      </c>
      <c r="U400" s="5">
        <v>358.06</v>
      </c>
      <c r="V400" s="5">
        <v>938.22</v>
      </c>
      <c r="W400">
        <v>4</v>
      </c>
      <c r="X400" t="s">
        <v>94</v>
      </c>
      <c r="Y400">
        <v>2024</v>
      </c>
      <c r="Z400" t="str">
        <f>TEXT(Table1[[#This Row],[Order Date]],"MMM")</f>
        <v>Dec</v>
      </c>
      <c r="AA400" s="5">
        <f>Table1[[#This Row],[Unit Price]]*Table1[[#This Row],[Quantity]]*(1-Table1[[#This Row],[Discount %]]/100)</f>
        <v>1432.24</v>
      </c>
      <c r="AB400" s="5">
        <f>Table1[[#This Row],[Sales]]-Table1[[#This Row],[Cost]]</f>
        <v>494.02</v>
      </c>
    </row>
    <row r="401" spans="1:28" x14ac:dyDescent="0.3">
      <c r="A401" t="s">
        <v>1186</v>
      </c>
      <c r="B401" s="1">
        <v>45310</v>
      </c>
      <c r="C401" t="s">
        <v>1187</v>
      </c>
      <c r="D401" t="s">
        <v>3183</v>
      </c>
      <c r="E401" s="1">
        <v>45316</v>
      </c>
      <c r="F401" t="s">
        <v>140</v>
      </c>
      <c r="G401" t="s">
        <v>38</v>
      </c>
      <c r="H401" t="s">
        <v>139</v>
      </c>
      <c r="I401" t="s">
        <v>2659</v>
      </c>
      <c r="J401" t="s">
        <v>2666</v>
      </c>
      <c r="K401" t="s">
        <v>52</v>
      </c>
      <c r="L401">
        <v>24</v>
      </c>
      <c r="M401">
        <v>5</v>
      </c>
      <c r="N401">
        <v>20</v>
      </c>
      <c r="O401" t="s">
        <v>1188</v>
      </c>
      <c r="P401" t="s">
        <v>33</v>
      </c>
      <c r="Q401" t="s">
        <v>42</v>
      </c>
      <c r="R401" t="s">
        <v>32</v>
      </c>
      <c r="S401" t="s">
        <v>141</v>
      </c>
      <c r="T401">
        <v>5</v>
      </c>
      <c r="U401" s="5">
        <v>218.55</v>
      </c>
      <c r="V401" s="5">
        <v>658.03</v>
      </c>
      <c r="W401">
        <v>6</v>
      </c>
      <c r="X401" t="s">
        <v>34</v>
      </c>
      <c r="Y401">
        <v>2024</v>
      </c>
      <c r="Z401" t="str">
        <f>TEXT(Table1[[#This Row],[Order Date]],"MMM")</f>
        <v>Jan</v>
      </c>
      <c r="AA401" s="5">
        <f>Table1[[#This Row],[Unit Price]]*Table1[[#This Row],[Quantity]]*(1-Table1[[#This Row],[Discount %]]/100)</f>
        <v>874.2</v>
      </c>
      <c r="AB401" s="5">
        <f>Table1[[#This Row],[Sales]]-Table1[[#This Row],[Cost]]</f>
        <v>216.17000000000007</v>
      </c>
    </row>
    <row r="402" spans="1:28" x14ac:dyDescent="0.3">
      <c r="A402" t="s">
        <v>1189</v>
      </c>
      <c r="B402" s="1">
        <v>45513</v>
      </c>
      <c r="C402" t="s">
        <v>1190</v>
      </c>
      <c r="D402" t="s">
        <v>3184</v>
      </c>
      <c r="E402" s="1">
        <v>45516</v>
      </c>
      <c r="F402" t="s">
        <v>56</v>
      </c>
      <c r="G402" t="s">
        <v>54</v>
      </c>
      <c r="H402" t="s">
        <v>55</v>
      </c>
      <c r="I402" t="s">
        <v>2657</v>
      </c>
      <c r="J402" t="s">
        <v>2667</v>
      </c>
      <c r="K402" t="s">
        <v>52</v>
      </c>
      <c r="L402">
        <v>61</v>
      </c>
      <c r="M402">
        <v>2</v>
      </c>
      <c r="N402">
        <v>10</v>
      </c>
      <c r="O402" t="s">
        <v>889</v>
      </c>
      <c r="P402" t="s">
        <v>44</v>
      </c>
      <c r="Q402" t="s">
        <v>58</v>
      </c>
      <c r="R402" t="s">
        <v>32</v>
      </c>
      <c r="S402" t="s">
        <v>57</v>
      </c>
      <c r="T402">
        <v>1</v>
      </c>
      <c r="U402" s="5">
        <v>533</v>
      </c>
      <c r="V402" s="5">
        <v>698.24</v>
      </c>
      <c r="W402">
        <v>3</v>
      </c>
      <c r="X402" t="s">
        <v>45</v>
      </c>
      <c r="Y402">
        <v>2024</v>
      </c>
      <c r="Z402" t="str">
        <f>TEXT(Table1[[#This Row],[Order Date]],"MMM")</f>
        <v>Aug</v>
      </c>
      <c r="AA402" s="5">
        <f>Table1[[#This Row],[Unit Price]]*Table1[[#This Row],[Quantity]]*(1-Table1[[#This Row],[Discount %]]/100)</f>
        <v>959.4</v>
      </c>
      <c r="AB402" s="5">
        <f>Table1[[#This Row],[Sales]]-Table1[[#This Row],[Cost]]</f>
        <v>261.15999999999997</v>
      </c>
    </row>
    <row r="403" spans="1:28" x14ac:dyDescent="0.3">
      <c r="A403" t="s">
        <v>1191</v>
      </c>
      <c r="B403" s="1">
        <v>45460</v>
      </c>
      <c r="C403" t="s">
        <v>1192</v>
      </c>
      <c r="D403" t="s">
        <v>3185</v>
      </c>
      <c r="E403" s="1">
        <v>45465</v>
      </c>
      <c r="F403" t="s">
        <v>68</v>
      </c>
      <c r="G403" t="s">
        <v>66</v>
      </c>
      <c r="H403" t="s">
        <v>67</v>
      </c>
      <c r="I403" t="s">
        <v>2630</v>
      </c>
      <c r="J403" t="s">
        <v>2640</v>
      </c>
      <c r="K403" t="s">
        <v>25</v>
      </c>
      <c r="L403">
        <v>31</v>
      </c>
      <c r="M403">
        <v>5</v>
      </c>
      <c r="N403">
        <v>0</v>
      </c>
      <c r="O403" t="s">
        <v>1193</v>
      </c>
      <c r="P403" t="s">
        <v>44</v>
      </c>
      <c r="Q403" t="s">
        <v>31</v>
      </c>
      <c r="R403" t="s">
        <v>71</v>
      </c>
      <c r="S403" t="s">
        <v>69</v>
      </c>
      <c r="T403">
        <v>2</v>
      </c>
      <c r="U403" s="5">
        <v>695.67</v>
      </c>
      <c r="V403" s="5">
        <v>2078.62</v>
      </c>
      <c r="W403">
        <v>5</v>
      </c>
      <c r="X403" t="s">
        <v>49</v>
      </c>
      <c r="Y403">
        <v>2024</v>
      </c>
      <c r="Z403" t="str">
        <f>TEXT(Table1[[#This Row],[Order Date]],"MMM")</f>
        <v>Jun</v>
      </c>
      <c r="AA403" s="5">
        <f>Table1[[#This Row],[Unit Price]]*Table1[[#This Row],[Quantity]]*(1-Table1[[#This Row],[Discount %]]/100)</f>
        <v>3478.35</v>
      </c>
      <c r="AB403" s="5">
        <f>Table1[[#This Row],[Sales]]-Table1[[#This Row],[Cost]]</f>
        <v>1399.73</v>
      </c>
    </row>
    <row r="404" spans="1:28" x14ac:dyDescent="0.3">
      <c r="A404" t="s">
        <v>1194</v>
      </c>
      <c r="B404" s="1">
        <v>45728</v>
      </c>
      <c r="C404" t="s">
        <v>1195</v>
      </c>
      <c r="D404" t="s">
        <v>3186</v>
      </c>
      <c r="E404" s="1">
        <v>45734</v>
      </c>
      <c r="F404" t="s">
        <v>56</v>
      </c>
      <c r="G404" t="s">
        <v>54</v>
      </c>
      <c r="H404" t="s">
        <v>55</v>
      </c>
      <c r="I404" t="s">
        <v>2618</v>
      </c>
      <c r="J404" t="s">
        <v>2700</v>
      </c>
      <c r="K404" t="s">
        <v>52</v>
      </c>
      <c r="L404">
        <v>41</v>
      </c>
      <c r="M404">
        <v>4</v>
      </c>
      <c r="N404">
        <v>5</v>
      </c>
      <c r="O404" t="s">
        <v>1196</v>
      </c>
      <c r="P404" t="s">
        <v>75</v>
      </c>
      <c r="Q404" t="s">
        <v>70</v>
      </c>
      <c r="R404" t="s">
        <v>32</v>
      </c>
      <c r="S404" t="s">
        <v>57</v>
      </c>
      <c r="T404">
        <v>3</v>
      </c>
      <c r="U404" s="5">
        <v>447.95</v>
      </c>
      <c r="V404" s="5">
        <v>1388.66</v>
      </c>
      <c r="W404">
        <v>6</v>
      </c>
      <c r="X404" t="s">
        <v>34</v>
      </c>
      <c r="Y404">
        <v>2025</v>
      </c>
      <c r="Z404" t="str">
        <f>TEXT(Table1[[#This Row],[Order Date]],"MMM")</f>
        <v>Mar</v>
      </c>
      <c r="AA404" s="5">
        <f>Table1[[#This Row],[Unit Price]]*Table1[[#This Row],[Quantity]]*(1-Table1[[#This Row],[Discount %]]/100)</f>
        <v>1702.2099999999998</v>
      </c>
      <c r="AB404" s="5">
        <f>Table1[[#This Row],[Sales]]-Table1[[#This Row],[Cost]]</f>
        <v>313.54999999999973</v>
      </c>
    </row>
    <row r="405" spans="1:28" x14ac:dyDescent="0.3">
      <c r="A405" t="s">
        <v>1197</v>
      </c>
      <c r="B405" s="1">
        <v>45514</v>
      </c>
      <c r="C405" t="s">
        <v>1198</v>
      </c>
      <c r="D405" t="s">
        <v>3187</v>
      </c>
      <c r="E405" s="1">
        <v>45519</v>
      </c>
      <c r="F405" t="s">
        <v>29</v>
      </c>
      <c r="G405" t="s">
        <v>27</v>
      </c>
      <c r="H405" t="s">
        <v>28</v>
      </c>
      <c r="I405" t="s">
        <v>2661</v>
      </c>
      <c r="J405" t="s">
        <v>2662</v>
      </c>
      <c r="K405" t="s">
        <v>25</v>
      </c>
      <c r="L405">
        <v>43</v>
      </c>
      <c r="M405">
        <v>4</v>
      </c>
      <c r="N405">
        <v>10</v>
      </c>
      <c r="O405" t="s">
        <v>217</v>
      </c>
      <c r="P405" t="s">
        <v>44</v>
      </c>
      <c r="Q405" t="s">
        <v>31</v>
      </c>
      <c r="R405" t="s">
        <v>32</v>
      </c>
      <c r="S405" t="s">
        <v>30</v>
      </c>
      <c r="T405">
        <v>1</v>
      </c>
      <c r="U405" s="5">
        <v>242.47</v>
      </c>
      <c r="V405" s="5">
        <v>511.92</v>
      </c>
      <c r="W405">
        <v>5</v>
      </c>
      <c r="X405" t="s">
        <v>45</v>
      </c>
      <c r="Y405">
        <v>2024</v>
      </c>
      <c r="Z405" t="str">
        <f>TEXT(Table1[[#This Row],[Order Date]],"MMM")</f>
        <v>Aug</v>
      </c>
      <c r="AA405" s="5">
        <f>Table1[[#This Row],[Unit Price]]*Table1[[#This Row],[Quantity]]*(1-Table1[[#This Row],[Discount %]]/100)</f>
        <v>872.89200000000005</v>
      </c>
      <c r="AB405" s="5">
        <f>Table1[[#This Row],[Sales]]-Table1[[#This Row],[Cost]]</f>
        <v>360.97200000000004</v>
      </c>
    </row>
    <row r="406" spans="1:28" x14ac:dyDescent="0.3">
      <c r="A406" t="s">
        <v>1199</v>
      </c>
      <c r="B406" s="1">
        <v>45658</v>
      </c>
      <c r="C406" t="s">
        <v>1200</v>
      </c>
      <c r="D406" t="s">
        <v>3188</v>
      </c>
      <c r="E406" s="1">
        <v>45659</v>
      </c>
      <c r="F406" t="s">
        <v>140</v>
      </c>
      <c r="G406" t="s">
        <v>38</v>
      </c>
      <c r="H406" t="s">
        <v>139</v>
      </c>
      <c r="I406" t="s">
        <v>2625</v>
      </c>
      <c r="J406" t="s">
        <v>2685</v>
      </c>
      <c r="K406" t="s">
        <v>25</v>
      </c>
      <c r="L406">
        <v>47</v>
      </c>
      <c r="M406">
        <v>1</v>
      </c>
      <c r="N406">
        <v>0</v>
      </c>
      <c r="O406" t="s">
        <v>1201</v>
      </c>
      <c r="P406" t="s">
        <v>75</v>
      </c>
      <c r="Q406" t="s">
        <v>58</v>
      </c>
      <c r="R406" t="s">
        <v>62</v>
      </c>
      <c r="S406" t="s">
        <v>141</v>
      </c>
      <c r="T406">
        <v>4</v>
      </c>
      <c r="U406" s="5">
        <v>240.8</v>
      </c>
      <c r="V406" s="5">
        <v>139.88999999999999</v>
      </c>
      <c r="W406">
        <v>1</v>
      </c>
      <c r="X406" t="s">
        <v>34</v>
      </c>
      <c r="Y406">
        <v>2025</v>
      </c>
      <c r="Z406" t="str">
        <f>TEXT(Table1[[#This Row],[Order Date]],"MMM")</f>
        <v>Jan</v>
      </c>
      <c r="AA406" s="5">
        <f>Table1[[#This Row],[Unit Price]]*Table1[[#This Row],[Quantity]]*(1-Table1[[#This Row],[Discount %]]/100)</f>
        <v>240.8</v>
      </c>
      <c r="AB406" s="5">
        <f>Table1[[#This Row],[Sales]]-Table1[[#This Row],[Cost]]</f>
        <v>100.91000000000003</v>
      </c>
    </row>
    <row r="407" spans="1:28" x14ac:dyDescent="0.3">
      <c r="A407" t="s">
        <v>1202</v>
      </c>
      <c r="B407" s="1">
        <v>45846</v>
      </c>
      <c r="C407" t="s">
        <v>1203</v>
      </c>
      <c r="D407" t="s">
        <v>3189</v>
      </c>
      <c r="E407" s="1">
        <v>45851</v>
      </c>
      <c r="F407" t="s">
        <v>29</v>
      </c>
      <c r="G407" t="s">
        <v>27</v>
      </c>
      <c r="H407" t="s">
        <v>28</v>
      </c>
      <c r="I407" t="s">
        <v>2664</v>
      </c>
      <c r="J407" t="s">
        <v>2665</v>
      </c>
      <c r="K407" t="s">
        <v>52</v>
      </c>
      <c r="L407">
        <v>27</v>
      </c>
      <c r="M407">
        <v>1</v>
      </c>
      <c r="N407">
        <v>0</v>
      </c>
      <c r="O407" t="s">
        <v>207</v>
      </c>
      <c r="P407" t="s">
        <v>75</v>
      </c>
      <c r="Q407" t="s">
        <v>42</v>
      </c>
      <c r="R407" t="s">
        <v>32</v>
      </c>
      <c r="S407" t="s">
        <v>30</v>
      </c>
      <c r="T407">
        <v>3</v>
      </c>
      <c r="U407" s="5">
        <v>297.97000000000003</v>
      </c>
      <c r="V407" s="5">
        <v>193.77</v>
      </c>
      <c r="W407">
        <v>5</v>
      </c>
      <c r="X407" t="s">
        <v>45</v>
      </c>
      <c r="Y407">
        <v>2025</v>
      </c>
      <c r="Z407" t="str">
        <f>TEXT(Table1[[#This Row],[Order Date]],"MMM")</f>
        <v>Jul</v>
      </c>
      <c r="AA407" s="5">
        <f>Table1[[#This Row],[Unit Price]]*Table1[[#This Row],[Quantity]]*(1-Table1[[#This Row],[Discount %]]/100)</f>
        <v>297.97000000000003</v>
      </c>
      <c r="AB407" s="5">
        <f>Table1[[#This Row],[Sales]]-Table1[[#This Row],[Cost]]</f>
        <v>104.20000000000002</v>
      </c>
    </row>
    <row r="408" spans="1:28" x14ac:dyDescent="0.3">
      <c r="A408" t="s">
        <v>1204</v>
      </c>
      <c r="B408" s="1">
        <v>45648</v>
      </c>
      <c r="C408" t="s">
        <v>1205</v>
      </c>
      <c r="D408" t="s">
        <v>3190</v>
      </c>
      <c r="E408" s="1">
        <v>45649</v>
      </c>
      <c r="F408" t="s">
        <v>122</v>
      </c>
      <c r="G408" t="s">
        <v>120</v>
      </c>
      <c r="H408" t="s">
        <v>121</v>
      </c>
      <c r="I408" t="s">
        <v>2625</v>
      </c>
      <c r="J408" t="s">
        <v>2685</v>
      </c>
      <c r="K408" t="s">
        <v>52</v>
      </c>
      <c r="L408">
        <v>59</v>
      </c>
      <c r="M408">
        <v>4</v>
      </c>
      <c r="N408">
        <v>20</v>
      </c>
      <c r="O408" t="s">
        <v>1206</v>
      </c>
      <c r="P408" t="s">
        <v>33</v>
      </c>
      <c r="Q408" t="s">
        <v>117</v>
      </c>
      <c r="R408" t="s">
        <v>62</v>
      </c>
      <c r="S408" t="s">
        <v>123</v>
      </c>
      <c r="T408">
        <v>4</v>
      </c>
      <c r="U408" s="5">
        <v>497.17</v>
      </c>
      <c r="V408" s="5">
        <v>1326.17</v>
      </c>
      <c r="W408">
        <v>1</v>
      </c>
      <c r="X408" t="s">
        <v>94</v>
      </c>
      <c r="Y408">
        <v>2024</v>
      </c>
      <c r="Z408" t="str">
        <f>TEXT(Table1[[#This Row],[Order Date]],"MMM")</f>
        <v>Dec</v>
      </c>
      <c r="AA408" s="5">
        <f>Table1[[#This Row],[Unit Price]]*Table1[[#This Row],[Quantity]]*(1-Table1[[#This Row],[Discount %]]/100)</f>
        <v>1590.9440000000002</v>
      </c>
      <c r="AB408" s="5">
        <f>Table1[[#This Row],[Sales]]-Table1[[#This Row],[Cost]]</f>
        <v>264.77400000000011</v>
      </c>
    </row>
    <row r="409" spans="1:28" x14ac:dyDescent="0.3">
      <c r="A409" t="s">
        <v>1207</v>
      </c>
      <c r="B409" s="1">
        <v>45928</v>
      </c>
      <c r="C409" t="s">
        <v>1208</v>
      </c>
      <c r="D409" t="s">
        <v>3191</v>
      </c>
      <c r="E409" s="1">
        <v>45933</v>
      </c>
      <c r="F409" t="s">
        <v>29</v>
      </c>
      <c r="G409" t="s">
        <v>27</v>
      </c>
      <c r="H409" t="s">
        <v>28</v>
      </c>
      <c r="I409" t="s">
        <v>2621</v>
      </c>
      <c r="J409" t="s">
        <v>2647</v>
      </c>
      <c r="K409" t="s">
        <v>52</v>
      </c>
      <c r="L409">
        <v>39</v>
      </c>
      <c r="M409">
        <v>3</v>
      </c>
      <c r="N409">
        <v>10</v>
      </c>
      <c r="O409" t="s">
        <v>1209</v>
      </c>
      <c r="P409" t="s">
        <v>44</v>
      </c>
      <c r="Q409" t="s">
        <v>117</v>
      </c>
      <c r="R409" t="s">
        <v>62</v>
      </c>
      <c r="S409" t="s">
        <v>30</v>
      </c>
      <c r="T409">
        <v>5</v>
      </c>
      <c r="U409" s="5">
        <v>20.37</v>
      </c>
      <c r="V409" s="5">
        <v>37.86</v>
      </c>
      <c r="W409">
        <v>5</v>
      </c>
      <c r="X409" t="s">
        <v>45</v>
      </c>
      <c r="Y409">
        <v>2025</v>
      </c>
      <c r="Z409" t="str">
        <f>TEXT(Table1[[#This Row],[Order Date]],"MMM")</f>
        <v>Sep</v>
      </c>
      <c r="AA409" s="5">
        <f>Table1[[#This Row],[Unit Price]]*Table1[[#This Row],[Quantity]]*(1-Table1[[#This Row],[Discount %]]/100)</f>
        <v>54.999000000000002</v>
      </c>
      <c r="AB409" s="5">
        <f>Table1[[#This Row],[Sales]]-Table1[[#This Row],[Cost]]</f>
        <v>17.139000000000003</v>
      </c>
    </row>
    <row r="410" spans="1:28" x14ac:dyDescent="0.3">
      <c r="A410" t="s">
        <v>1210</v>
      </c>
      <c r="B410" s="1">
        <v>45959</v>
      </c>
      <c r="C410" t="s">
        <v>1211</v>
      </c>
      <c r="D410" t="s">
        <v>3192</v>
      </c>
      <c r="E410" s="1">
        <v>45966</v>
      </c>
      <c r="F410" t="s">
        <v>29</v>
      </c>
      <c r="G410" t="s">
        <v>27</v>
      </c>
      <c r="H410" t="s">
        <v>28</v>
      </c>
      <c r="I410" t="s">
        <v>2630</v>
      </c>
      <c r="J410" t="s">
        <v>2646</v>
      </c>
      <c r="K410" t="s">
        <v>52</v>
      </c>
      <c r="L410">
        <v>32</v>
      </c>
      <c r="M410">
        <v>1</v>
      </c>
      <c r="N410">
        <v>10</v>
      </c>
      <c r="O410" t="s">
        <v>1212</v>
      </c>
      <c r="P410" t="s">
        <v>75</v>
      </c>
      <c r="Q410" t="s">
        <v>70</v>
      </c>
      <c r="R410" t="s">
        <v>71</v>
      </c>
      <c r="S410" t="s">
        <v>30</v>
      </c>
      <c r="T410">
        <v>1</v>
      </c>
      <c r="U410" s="5">
        <v>566.73</v>
      </c>
      <c r="V410" s="5">
        <v>317.60000000000002</v>
      </c>
      <c r="W410">
        <v>7</v>
      </c>
      <c r="X410" t="s">
        <v>94</v>
      </c>
      <c r="Y410">
        <v>2025</v>
      </c>
      <c r="Z410" t="str">
        <f>TEXT(Table1[[#This Row],[Order Date]],"MMM")</f>
        <v>Oct</v>
      </c>
      <c r="AA410" s="5">
        <f>Table1[[#This Row],[Unit Price]]*Table1[[#This Row],[Quantity]]*(1-Table1[[#This Row],[Discount %]]/100)</f>
        <v>510.05700000000002</v>
      </c>
      <c r="AB410" s="5">
        <f>Table1[[#This Row],[Sales]]-Table1[[#This Row],[Cost]]</f>
        <v>192.45699999999999</v>
      </c>
    </row>
    <row r="411" spans="1:28" x14ac:dyDescent="0.3">
      <c r="A411" t="s">
        <v>1213</v>
      </c>
      <c r="B411" s="1">
        <v>45629</v>
      </c>
      <c r="C411" t="s">
        <v>1214</v>
      </c>
      <c r="D411" t="s">
        <v>3193</v>
      </c>
      <c r="E411" s="1">
        <v>45630</v>
      </c>
      <c r="F411" t="s">
        <v>68</v>
      </c>
      <c r="G411" t="s">
        <v>66</v>
      </c>
      <c r="H411" t="s">
        <v>67</v>
      </c>
      <c r="I411" t="s">
        <v>2625</v>
      </c>
      <c r="J411" t="s">
        <v>2693</v>
      </c>
      <c r="K411" t="s">
        <v>52</v>
      </c>
      <c r="L411">
        <v>52</v>
      </c>
      <c r="M411">
        <v>2</v>
      </c>
      <c r="N411">
        <v>15</v>
      </c>
      <c r="O411" t="s">
        <v>934</v>
      </c>
      <c r="P411" t="s">
        <v>75</v>
      </c>
      <c r="Q411" t="s">
        <v>70</v>
      </c>
      <c r="R411" t="s">
        <v>71</v>
      </c>
      <c r="S411" t="s">
        <v>69</v>
      </c>
      <c r="T411">
        <v>2</v>
      </c>
      <c r="U411" s="5">
        <v>607.12</v>
      </c>
      <c r="V411" s="5">
        <v>806.7</v>
      </c>
      <c r="W411">
        <v>1</v>
      </c>
      <c r="X411" t="s">
        <v>94</v>
      </c>
      <c r="Y411">
        <v>2024</v>
      </c>
      <c r="Z411" t="str">
        <f>TEXT(Table1[[#This Row],[Order Date]],"MMM")</f>
        <v>Dec</v>
      </c>
      <c r="AA411" s="5">
        <f>Table1[[#This Row],[Unit Price]]*Table1[[#This Row],[Quantity]]*(1-Table1[[#This Row],[Discount %]]/100)</f>
        <v>1032.104</v>
      </c>
      <c r="AB411" s="5">
        <f>Table1[[#This Row],[Sales]]-Table1[[#This Row],[Cost]]</f>
        <v>225.404</v>
      </c>
    </row>
    <row r="412" spans="1:28" x14ac:dyDescent="0.3">
      <c r="A412" t="s">
        <v>1215</v>
      </c>
      <c r="B412" s="1">
        <v>45500</v>
      </c>
      <c r="C412" t="s">
        <v>1216</v>
      </c>
      <c r="D412" t="s">
        <v>3194</v>
      </c>
      <c r="E412" s="1">
        <v>45501</v>
      </c>
      <c r="F412" t="s">
        <v>122</v>
      </c>
      <c r="G412" t="s">
        <v>120</v>
      </c>
      <c r="H412" t="s">
        <v>121</v>
      </c>
      <c r="I412" t="s">
        <v>2652</v>
      </c>
      <c r="J412" t="s">
        <v>2679</v>
      </c>
      <c r="K412" t="s">
        <v>52</v>
      </c>
      <c r="L412">
        <v>61</v>
      </c>
      <c r="M412">
        <v>3</v>
      </c>
      <c r="N412">
        <v>30</v>
      </c>
      <c r="O412" t="s">
        <v>1055</v>
      </c>
      <c r="P412" t="s">
        <v>33</v>
      </c>
      <c r="Q412" t="s">
        <v>31</v>
      </c>
      <c r="R412" t="s">
        <v>43</v>
      </c>
      <c r="S412" t="s">
        <v>123</v>
      </c>
      <c r="T412">
        <v>2</v>
      </c>
      <c r="U412" s="5">
        <v>476.8</v>
      </c>
      <c r="V412" s="5">
        <v>721.64</v>
      </c>
      <c r="W412">
        <v>1</v>
      </c>
      <c r="X412" t="s">
        <v>45</v>
      </c>
      <c r="Y412">
        <v>2024</v>
      </c>
      <c r="Z412" t="str">
        <f>TEXT(Table1[[#This Row],[Order Date]],"MMM")</f>
        <v>Jul</v>
      </c>
      <c r="AA412" s="5">
        <f>Table1[[#This Row],[Unit Price]]*Table1[[#This Row],[Quantity]]*(1-Table1[[#This Row],[Discount %]]/100)</f>
        <v>1001.28</v>
      </c>
      <c r="AB412" s="5">
        <f>Table1[[#This Row],[Sales]]-Table1[[#This Row],[Cost]]</f>
        <v>279.64</v>
      </c>
    </row>
    <row r="413" spans="1:28" x14ac:dyDescent="0.3">
      <c r="A413" t="s">
        <v>1217</v>
      </c>
      <c r="B413" s="1">
        <v>46117</v>
      </c>
      <c r="C413" t="s">
        <v>1218</v>
      </c>
      <c r="D413" t="s">
        <v>3195</v>
      </c>
      <c r="E413" s="1">
        <v>46121</v>
      </c>
      <c r="F413" t="s">
        <v>100</v>
      </c>
      <c r="G413" t="s">
        <v>98</v>
      </c>
      <c r="H413" t="s">
        <v>99</v>
      </c>
      <c r="I413" t="s">
        <v>2629</v>
      </c>
      <c r="J413" t="s">
        <v>2691</v>
      </c>
      <c r="K413" t="s">
        <v>52</v>
      </c>
      <c r="L413">
        <v>60</v>
      </c>
      <c r="M413">
        <v>3</v>
      </c>
      <c r="N413">
        <v>25</v>
      </c>
      <c r="O413" t="s">
        <v>1219</v>
      </c>
      <c r="P413" t="s">
        <v>44</v>
      </c>
      <c r="Q413" t="s">
        <v>58</v>
      </c>
      <c r="R413" t="s">
        <v>62</v>
      </c>
      <c r="S413" t="s">
        <v>101</v>
      </c>
      <c r="T413">
        <v>1</v>
      </c>
      <c r="U413" s="5">
        <v>588.16</v>
      </c>
      <c r="V413" s="5">
        <v>1104.78</v>
      </c>
      <c r="W413">
        <v>4</v>
      </c>
      <c r="X413" t="s">
        <v>49</v>
      </c>
      <c r="Y413">
        <v>2026</v>
      </c>
      <c r="Z413" t="str">
        <f>TEXT(Table1[[#This Row],[Order Date]],"MMM")</f>
        <v>Apr</v>
      </c>
      <c r="AA413" s="5">
        <f>Table1[[#This Row],[Unit Price]]*Table1[[#This Row],[Quantity]]*(1-Table1[[#This Row],[Discount %]]/100)</f>
        <v>1323.3600000000001</v>
      </c>
      <c r="AB413" s="5">
        <f>Table1[[#This Row],[Sales]]-Table1[[#This Row],[Cost]]</f>
        <v>218.58000000000015</v>
      </c>
    </row>
    <row r="414" spans="1:28" x14ac:dyDescent="0.3">
      <c r="A414" t="s">
        <v>1220</v>
      </c>
      <c r="B414" s="1">
        <v>46162</v>
      </c>
      <c r="C414" t="s">
        <v>1221</v>
      </c>
      <c r="D414" t="s">
        <v>3196</v>
      </c>
      <c r="E414" s="1">
        <v>46165</v>
      </c>
      <c r="F414" t="s">
        <v>29</v>
      </c>
      <c r="G414" t="s">
        <v>27</v>
      </c>
      <c r="H414" t="s">
        <v>28</v>
      </c>
      <c r="I414" t="s">
        <v>2661</v>
      </c>
      <c r="J414" t="s">
        <v>2715</v>
      </c>
      <c r="K414" t="s">
        <v>25</v>
      </c>
      <c r="L414">
        <v>31</v>
      </c>
      <c r="M414">
        <v>5</v>
      </c>
      <c r="N414">
        <v>5</v>
      </c>
      <c r="O414" t="s">
        <v>1222</v>
      </c>
      <c r="P414" t="s">
        <v>33</v>
      </c>
      <c r="Q414" t="s">
        <v>117</v>
      </c>
      <c r="R414" t="s">
        <v>71</v>
      </c>
      <c r="S414" t="s">
        <v>30</v>
      </c>
      <c r="T414">
        <v>1</v>
      </c>
      <c r="U414" s="5">
        <v>822.34</v>
      </c>
      <c r="V414" s="5">
        <v>2244.29</v>
      </c>
      <c r="W414">
        <v>3</v>
      </c>
      <c r="X414" t="s">
        <v>49</v>
      </c>
      <c r="Y414">
        <v>2026</v>
      </c>
      <c r="Z414" t="str">
        <f>TEXT(Table1[[#This Row],[Order Date]],"MMM")</f>
        <v>May</v>
      </c>
      <c r="AA414" s="5">
        <f>Table1[[#This Row],[Unit Price]]*Table1[[#This Row],[Quantity]]*(1-Table1[[#This Row],[Discount %]]/100)</f>
        <v>3906.1149999999998</v>
      </c>
      <c r="AB414" s="5">
        <f>Table1[[#This Row],[Sales]]-Table1[[#This Row],[Cost]]</f>
        <v>1661.8249999999998</v>
      </c>
    </row>
    <row r="415" spans="1:28" x14ac:dyDescent="0.3">
      <c r="A415" t="s">
        <v>1223</v>
      </c>
      <c r="B415" s="1">
        <v>45982</v>
      </c>
      <c r="C415" t="s">
        <v>1224</v>
      </c>
      <c r="D415" t="s">
        <v>3197</v>
      </c>
      <c r="E415" s="1">
        <v>45985</v>
      </c>
      <c r="F415" t="s">
        <v>100</v>
      </c>
      <c r="G415" t="s">
        <v>98</v>
      </c>
      <c r="H415" t="s">
        <v>99</v>
      </c>
      <c r="I415" t="s">
        <v>2668</v>
      </c>
      <c r="J415" t="s">
        <v>2712</v>
      </c>
      <c r="K415" t="s">
        <v>25</v>
      </c>
      <c r="L415">
        <v>23</v>
      </c>
      <c r="M415">
        <v>2</v>
      </c>
      <c r="N415">
        <v>5</v>
      </c>
      <c r="O415" t="s">
        <v>1225</v>
      </c>
      <c r="P415" t="s">
        <v>75</v>
      </c>
      <c r="Q415" t="s">
        <v>42</v>
      </c>
      <c r="R415" t="s">
        <v>32</v>
      </c>
      <c r="S415" t="s">
        <v>101</v>
      </c>
      <c r="T415">
        <v>4</v>
      </c>
      <c r="U415" s="5">
        <v>782.61</v>
      </c>
      <c r="V415" s="5">
        <v>1005.79</v>
      </c>
      <c r="W415">
        <v>3</v>
      </c>
      <c r="X415" t="s">
        <v>94</v>
      </c>
      <c r="Y415">
        <v>2025</v>
      </c>
      <c r="Z415" t="str">
        <f>TEXT(Table1[[#This Row],[Order Date]],"MMM")</f>
        <v>Nov</v>
      </c>
      <c r="AA415" s="5">
        <f>Table1[[#This Row],[Unit Price]]*Table1[[#This Row],[Quantity]]*(1-Table1[[#This Row],[Discount %]]/100)</f>
        <v>1486.9590000000001</v>
      </c>
      <c r="AB415" s="5">
        <f>Table1[[#This Row],[Sales]]-Table1[[#This Row],[Cost]]</f>
        <v>481.1690000000001</v>
      </c>
    </row>
    <row r="416" spans="1:28" x14ac:dyDescent="0.3">
      <c r="A416" t="s">
        <v>1226</v>
      </c>
      <c r="B416" s="1">
        <v>45987</v>
      </c>
      <c r="C416" t="s">
        <v>1227</v>
      </c>
      <c r="D416" t="s">
        <v>3198</v>
      </c>
      <c r="E416" s="1">
        <v>45992</v>
      </c>
      <c r="F416" t="s">
        <v>56</v>
      </c>
      <c r="G416" t="s">
        <v>54</v>
      </c>
      <c r="H416" t="s">
        <v>55</v>
      </c>
      <c r="I416" t="s">
        <v>2628</v>
      </c>
      <c r="J416" t="s">
        <v>2642</v>
      </c>
      <c r="K416" t="s">
        <v>25</v>
      </c>
      <c r="L416">
        <v>40</v>
      </c>
      <c r="M416">
        <v>2</v>
      </c>
      <c r="N416">
        <v>15</v>
      </c>
      <c r="O416" t="s">
        <v>1228</v>
      </c>
      <c r="P416" t="s">
        <v>44</v>
      </c>
      <c r="Q416" t="s">
        <v>58</v>
      </c>
      <c r="R416" t="s">
        <v>43</v>
      </c>
      <c r="S416" t="s">
        <v>57</v>
      </c>
      <c r="T416">
        <v>2</v>
      </c>
      <c r="U416" s="5">
        <v>724.2</v>
      </c>
      <c r="V416" s="5">
        <v>976.17</v>
      </c>
      <c r="W416">
        <v>5</v>
      </c>
      <c r="X416" t="s">
        <v>94</v>
      </c>
      <c r="Y416">
        <v>2025</v>
      </c>
      <c r="Z416" t="str">
        <f>TEXT(Table1[[#This Row],[Order Date]],"MMM")</f>
        <v>Nov</v>
      </c>
      <c r="AA416" s="5">
        <f>Table1[[#This Row],[Unit Price]]*Table1[[#This Row],[Quantity]]*(1-Table1[[#This Row],[Discount %]]/100)</f>
        <v>1231.1400000000001</v>
      </c>
      <c r="AB416" s="5">
        <f>Table1[[#This Row],[Sales]]-Table1[[#This Row],[Cost]]</f>
        <v>254.97000000000014</v>
      </c>
    </row>
    <row r="417" spans="1:28" x14ac:dyDescent="0.3">
      <c r="A417" t="s">
        <v>1229</v>
      </c>
      <c r="B417" s="1">
        <v>45724</v>
      </c>
      <c r="C417" t="s">
        <v>1230</v>
      </c>
      <c r="D417" t="s">
        <v>3199</v>
      </c>
      <c r="E417" s="1">
        <v>45731</v>
      </c>
      <c r="F417" t="s">
        <v>68</v>
      </c>
      <c r="G417" t="s">
        <v>66</v>
      </c>
      <c r="H417" t="s">
        <v>67</v>
      </c>
      <c r="I417" t="s">
        <v>2668</v>
      </c>
      <c r="J417" t="s">
        <v>2712</v>
      </c>
      <c r="K417" t="s">
        <v>25</v>
      </c>
      <c r="L417">
        <v>38</v>
      </c>
      <c r="M417">
        <v>2</v>
      </c>
      <c r="N417">
        <v>5</v>
      </c>
      <c r="O417" t="s">
        <v>555</v>
      </c>
      <c r="P417" t="s">
        <v>33</v>
      </c>
      <c r="Q417" t="s">
        <v>42</v>
      </c>
      <c r="R417" t="s">
        <v>32</v>
      </c>
      <c r="S417" t="s">
        <v>69</v>
      </c>
      <c r="T417">
        <v>2</v>
      </c>
      <c r="U417" s="5">
        <v>806.17</v>
      </c>
      <c r="V417" s="5">
        <v>1171.28</v>
      </c>
      <c r="W417">
        <v>7</v>
      </c>
      <c r="X417" t="s">
        <v>34</v>
      </c>
      <c r="Y417">
        <v>2025</v>
      </c>
      <c r="Z417" t="str">
        <f>TEXT(Table1[[#This Row],[Order Date]],"MMM")</f>
        <v>Mar</v>
      </c>
      <c r="AA417" s="5">
        <f>Table1[[#This Row],[Unit Price]]*Table1[[#This Row],[Quantity]]*(1-Table1[[#This Row],[Discount %]]/100)</f>
        <v>1531.723</v>
      </c>
      <c r="AB417" s="5">
        <f>Table1[[#This Row],[Sales]]-Table1[[#This Row],[Cost]]</f>
        <v>360.44299999999998</v>
      </c>
    </row>
    <row r="418" spans="1:28" x14ac:dyDescent="0.3">
      <c r="A418" t="s">
        <v>1231</v>
      </c>
      <c r="B418" s="1">
        <v>46048</v>
      </c>
      <c r="C418" t="s">
        <v>1232</v>
      </c>
      <c r="D418" t="s">
        <v>3200</v>
      </c>
      <c r="E418" s="1">
        <v>46053</v>
      </c>
      <c r="F418" t="s">
        <v>140</v>
      </c>
      <c r="G418" t="s">
        <v>38</v>
      </c>
      <c r="H418" t="s">
        <v>139</v>
      </c>
      <c r="I418" t="s">
        <v>2627</v>
      </c>
      <c r="J418" t="s">
        <v>2690</v>
      </c>
      <c r="K418" t="s">
        <v>52</v>
      </c>
      <c r="L418">
        <v>46</v>
      </c>
      <c r="M418">
        <v>1</v>
      </c>
      <c r="N418">
        <v>20</v>
      </c>
      <c r="O418" t="s">
        <v>1233</v>
      </c>
      <c r="P418" t="s">
        <v>75</v>
      </c>
      <c r="Q418" t="s">
        <v>70</v>
      </c>
      <c r="R418" t="s">
        <v>71</v>
      </c>
      <c r="S418" t="s">
        <v>141</v>
      </c>
      <c r="T418">
        <v>2</v>
      </c>
      <c r="U418" s="5">
        <v>701.76</v>
      </c>
      <c r="V418" s="5">
        <v>361.39</v>
      </c>
      <c r="W418">
        <v>5</v>
      </c>
      <c r="X418" t="s">
        <v>34</v>
      </c>
      <c r="Y418">
        <v>2026</v>
      </c>
      <c r="Z418" t="str">
        <f>TEXT(Table1[[#This Row],[Order Date]],"MMM")</f>
        <v>Jan</v>
      </c>
      <c r="AA418" s="5">
        <f>Table1[[#This Row],[Unit Price]]*Table1[[#This Row],[Quantity]]*(1-Table1[[#This Row],[Discount %]]/100)</f>
        <v>561.40800000000002</v>
      </c>
      <c r="AB418" s="5">
        <f>Table1[[#This Row],[Sales]]-Table1[[#This Row],[Cost]]</f>
        <v>200.01800000000003</v>
      </c>
    </row>
    <row r="419" spans="1:28" x14ac:dyDescent="0.3">
      <c r="A419" t="s">
        <v>1234</v>
      </c>
      <c r="B419" s="1">
        <v>45952</v>
      </c>
      <c r="C419" t="s">
        <v>1235</v>
      </c>
      <c r="D419" t="s">
        <v>3201</v>
      </c>
      <c r="E419" s="1">
        <v>45955</v>
      </c>
      <c r="F419" t="s">
        <v>29</v>
      </c>
      <c r="G419" t="s">
        <v>27</v>
      </c>
      <c r="H419" t="s">
        <v>28</v>
      </c>
      <c r="I419" t="s">
        <v>2621</v>
      </c>
      <c r="J419" t="s">
        <v>2699</v>
      </c>
      <c r="K419" t="s">
        <v>25</v>
      </c>
      <c r="L419">
        <v>33</v>
      </c>
      <c r="M419">
        <v>4</v>
      </c>
      <c r="N419">
        <v>10</v>
      </c>
      <c r="O419" t="s">
        <v>1236</v>
      </c>
      <c r="P419" t="s">
        <v>44</v>
      </c>
      <c r="Q419" t="s">
        <v>31</v>
      </c>
      <c r="R419" t="s">
        <v>71</v>
      </c>
      <c r="S419" t="s">
        <v>30</v>
      </c>
      <c r="T419">
        <v>1</v>
      </c>
      <c r="U419" s="5">
        <v>337.07</v>
      </c>
      <c r="V419" s="5">
        <v>988.78</v>
      </c>
      <c r="W419">
        <v>3</v>
      </c>
      <c r="X419" t="s">
        <v>94</v>
      </c>
      <c r="Y419">
        <v>2025</v>
      </c>
      <c r="Z419" t="str">
        <f>TEXT(Table1[[#This Row],[Order Date]],"MMM")</f>
        <v>Oct</v>
      </c>
      <c r="AA419" s="5">
        <f>Table1[[#This Row],[Unit Price]]*Table1[[#This Row],[Quantity]]*(1-Table1[[#This Row],[Discount %]]/100)</f>
        <v>1213.452</v>
      </c>
      <c r="AB419" s="5">
        <f>Table1[[#This Row],[Sales]]-Table1[[#This Row],[Cost]]</f>
        <v>224.67200000000003</v>
      </c>
    </row>
    <row r="420" spans="1:28" x14ac:dyDescent="0.3">
      <c r="A420" t="s">
        <v>1237</v>
      </c>
      <c r="B420" s="1">
        <v>45964</v>
      </c>
      <c r="C420" t="s">
        <v>1238</v>
      </c>
      <c r="D420" t="s">
        <v>3202</v>
      </c>
      <c r="E420" s="1">
        <v>45965</v>
      </c>
      <c r="F420" t="s">
        <v>56</v>
      </c>
      <c r="G420" t="s">
        <v>54</v>
      </c>
      <c r="H420" t="s">
        <v>55</v>
      </c>
      <c r="I420" t="s">
        <v>2668</v>
      </c>
      <c r="J420" t="s">
        <v>2686</v>
      </c>
      <c r="K420" t="s">
        <v>25</v>
      </c>
      <c r="L420">
        <v>18</v>
      </c>
      <c r="M420">
        <v>2</v>
      </c>
      <c r="N420">
        <v>15</v>
      </c>
      <c r="O420" t="s">
        <v>1239</v>
      </c>
      <c r="P420" t="s">
        <v>44</v>
      </c>
      <c r="Q420" t="s">
        <v>31</v>
      </c>
      <c r="R420" t="s">
        <v>62</v>
      </c>
      <c r="S420" t="s">
        <v>57</v>
      </c>
      <c r="T420">
        <v>1</v>
      </c>
      <c r="U420" s="5">
        <v>897.94</v>
      </c>
      <c r="V420" s="5">
        <v>1215.69</v>
      </c>
      <c r="W420">
        <v>1</v>
      </c>
      <c r="X420" t="s">
        <v>94</v>
      </c>
      <c r="Y420">
        <v>2025</v>
      </c>
      <c r="Z420" t="str">
        <f>TEXT(Table1[[#This Row],[Order Date]],"MMM")</f>
        <v>Nov</v>
      </c>
      <c r="AA420" s="5">
        <f>Table1[[#This Row],[Unit Price]]*Table1[[#This Row],[Quantity]]*(1-Table1[[#This Row],[Discount %]]/100)</f>
        <v>1526.498</v>
      </c>
      <c r="AB420" s="5">
        <f>Table1[[#This Row],[Sales]]-Table1[[#This Row],[Cost]]</f>
        <v>310.80799999999999</v>
      </c>
    </row>
    <row r="421" spans="1:28" x14ac:dyDescent="0.3">
      <c r="A421" t="s">
        <v>1240</v>
      </c>
      <c r="B421" s="1">
        <v>45909</v>
      </c>
      <c r="C421" t="s">
        <v>1241</v>
      </c>
      <c r="D421" t="s">
        <v>3203</v>
      </c>
      <c r="E421" s="1">
        <v>45910</v>
      </c>
      <c r="F421" t="s">
        <v>128</v>
      </c>
      <c r="G421" t="s">
        <v>98</v>
      </c>
      <c r="H421" t="s">
        <v>127</v>
      </c>
      <c r="I421" t="s">
        <v>2629</v>
      </c>
      <c r="J421" t="s">
        <v>2632</v>
      </c>
      <c r="K421" t="s">
        <v>25</v>
      </c>
      <c r="L421">
        <v>27</v>
      </c>
      <c r="M421">
        <v>1</v>
      </c>
      <c r="N421">
        <v>5</v>
      </c>
      <c r="O421" t="s">
        <v>1242</v>
      </c>
      <c r="P421" t="s">
        <v>75</v>
      </c>
      <c r="Q421" t="s">
        <v>31</v>
      </c>
      <c r="R421" t="s">
        <v>32</v>
      </c>
      <c r="S421" t="s">
        <v>129</v>
      </c>
      <c r="T421">
        <v>4</v>
      </c>
      <c r="U421" s="5">
        <v>391.83</v>
      </c>
      <c r="V421" s="5">
        <v>202.07</v>
      </c>
      <c r="W421">
        <v>1</v>
      </c>
      <c r="X421" t="s">
        <v>45</v>
      </c>
      <c r="Y421">
        <v>2025</v>
      </c>
      <c r="Z421" t="str">
        <f>TEXT(Table1[[#This Row],[Order Date]],"MMM")</f>
        <v>Sep</v>
      </c>
      <c r="AA421" s="5">
        <f>Table1[[#This Row],[Unit Price]]*Table1[[#This Row],[Quantity]]*(1-Table1[[#This Row],[Discount %]]/100)</f>
        <v>372.23849999999999</v>
      </c>
      <c r="AB421" s="5">
        <f>Table1[[#This Row],[Sales]]-Table1[[#This Row],[Cost]]</f>
        <v>170.16849999999999</v>
      </c>
    </row>
    <row r="422" spans="1:28" x14ac:dyDescent="0.3">
      <c r="A422" t="s">
        <v>1243</v>
      </c>
      <c r="B422" s="1">
        <v>45820</v>
      </c>
      <c r="C422" t="s">
        <v>1244</v>
      </c>
      <c r="D422" t="s">
        <v>3204</v>
      </c>
      <c r="E422" s="1">
        <v>45821</v>
      </c>
      <c r="F422" t="s">
        <v>56</v>
      </c>
      <c r="G422" t="s">
        <v>54</v>
      </c>
      <c r="H422" t="s">
        <v>55</v>
      </c>
      <c r="I422" t="s">
        <v>2621</v>
      </c>
      <c r="J422" t="s">
        <v>2622</v>
      </c>
      <c r="K422" t="s">
        <v>25</v>
      </c>
      <c r="L422">
        <v>43</v>
      </c>
      <c r="M422">
        <v>3</v>
      </c>
      <c r="N422">
        <v>15</v>
      </c>
      <c r="O422" t="s">
        <v>1245</v>
      </c>
      <c r="P422" t="s">
        <v>75</v>
      </c>
      <c r="Q422" t="s">
        <v>58</v>
      </c>
      <c r="R422" t="s">
        <v>32</v>
      </c>
      <c r="S422" t="s">
        <v>57</v>
      </c>
      <c r="T422">
        <v>2</v>
      </c>
      <c r="U422" s="5">
        <v>230.79</v>
      </c>
      <c r="V422" s="5">
        <v>470.85</v>
      </c>
      <c r="W422">
        <v>1</v>
      </c>
      <c r="X422" t="s">
        <v>49</v>
      </c>
      <c r="Y422">
        <v>2025</v>
      </c>
      <c r="Z422" t="str">
        <f>TEXT(Table1[[#This Row],[Order Date]],"MMM")</f>
        <v>Jun</v>
      </c>
      <c r="AA422" s="5">
        <f>Table1[[#This Row],[Unit Price]]*Table1[[#This Row],[Quantity]]*(1-Table1[[#This Row],[Discount %]]/100)</f>
        <v>588.5145</v>
      </c>
      <c r="AB422" s="5">
        <f>Table1[[#This Row],[Sales]]-Table1[[#This Row],[Cost]]</f>
        <v>117.66449999999998</v>
      </c>
    </row>
    <row r="423" spans="1:28" x14ac:dyDescent="0.3">
      <c r="A423" t="s">
        <v>1246</v>
      </c>
      <c r="B423" s="1">
        <v>45480</v>
      </c>
      <c r="C423" t="s">
        <v>1247</v>
      </c>
      <c r="D423" t="s">
        <v>3205</v>
      </c>
      <c r="E423" s="1">
        <v>45486</v>
      </c>
      <c r="F423" t="s">
        <v>29</v>
      </c>
      <c r="G423" t="s">
        <v>27</v>
      </c>
      <c r="H423" t="s">
        <v>28</v>
      </c>
      <c r="I423" t="s">
        <v>2648</v>
      </c>
      <c r="J423" t="s">
        <v>2702</v>
      </c>
      <c r="K423" t="s">
        <v>25</v>
      </c>
      <c r="L423">
        <v>58</v>
      </c>
      <c r="M423">
        <v>5</v>
      </c>
      <c r="N423">
        <v>20</v>
      </c>
      <c r="O423" t="s">
        <v>1248</v>
      </c>
      <c r="P423" t="s">
        <v>33</v>
      </c>
      <c r="Q423" t="s">
        <v>58</v>
      </c>
      <c r="R423" t="s">
        <v>71</v>
      </c>
      <c r="S423" t="s">
        <v>30</v>
      </c>
      <c r="T423">
        <v>2</v>
      </c>
      <c r="U423" s="5">
        <v>162.41999999999999</v>
      </c>
      <c r="V423" s="5">
        <v>436.26</v>
      </c>
      <c r="W423">
        <v>6</v>
      </c>
      <c r="X423" t="s">
        <v>45</v>
      </c>
      <c r="Y423">
        <v>2024</v>
      </c>
      <c r="Z423" t="str">
        <f>TEXT(Table1[[#This Row],[Order Date]],"MMM")</f>
        <v>Jul</v>
      </c>
      <c r="AA423" s="5">
        <f>Table1[[#This Row],[Unit Price]]*Table1[[#This Row],[Quantity]]*(1-Table1[[#This Row],[Discount %]]/100)</f>
        <v>649.67999999999995</v>
      </c>
      <c r="AB423" s="5">
        <f>Table1[[#This Row],[Sales]]-Table1[[#This Row],[Cost]]</f>
        <v>213.41999999999996</v>
      </c>
    </row>
    <row r="424" spans="1:28" x14ac:dyDescent="0.3">
      <c r="A424" t="s">
        <v>1249</v>
      </c>
      <c r="B424" s="1">
        <v>45525</v>
      </c>
      <c r="C424" t="s">
        <v>149</v>
      </c>
      <c r="D424" t="s">
        <v>3206</v>
      </c>
      <c r="E424" s="1">
        <v>45528</v>
      </c>
      <c r="F424" t="s">
        <v>140</v>
      </c>
      <c r="G424" t="s">
        <v>38</v>
      </c>
      <c r="H424" t="s">
        <v>139</v>
      </c>
      <c r="I424" t="s">
        <v>2619</v>
      </c>
      <c r="J424" t="s">
        <v>2692</v>
      </c>
      <c r="K424" t="s">
        <v>52</v>
      </c>
      <c r="L424">
        <v>57</v>
      </c>
      <c r="M424">
        <v>1</v>
      </c>
      <c r="N424">
        <v>15</v>
      </c>
      <c r="O424" t="s">
        <v>1250</v>
      </c>
      <c r="P424" t="s">
        <v>33</v>
      </c>
      <c r="Q424" t="s">
        <v>58</v>
      </c>
      <c r="R424" t="s">
        <v>32</v>
      </c>
      <c r="S424" t="s">
        <v>141</v>
      </c>
      <c r="T424">
        <v>2</v>
      </c>
      <c r="U424" s="5">
        <v>245.51</v>
      </c>
      <c r="V424" s="5">
        <v>152.71</v>
      </c>
      <c r="W424">
        <v>3</v>
      </c>
      <c r="X424" t="s">
        <v>45</v>
      </c>
      <c r="Y424">
        <v>2024</v>
      </c>
      <c r="Z424" t="str">
        <f>TEXT(Table1[[#This Row],[Order Date]],"MMM")</f>
        <v>Aug</v>
      </c>
      <c r="AA424" s="5">
        <f>Table1[[#This Row],[Unit Price]]*Table1[[#This Row],[Quantity]]*(1-Table1[[#This Row],[Discount %]]/100)</f>
        <v>208.68349999999998</v>
      </c>
      <c r="AB424" s="5">
        <f>Table1[[#This Row],[Sales]]-Table1[[#This Row],[Cost]]</f>
        <v>55.973499999999973</v>
      </c>
    </row>
    <row r="425" spans="1:28" x14ac:dyDescent="0.3">
      <c r="A425" t="s">
        <v>1251</v>
      </c>
      <c r="B425" s="1">
        <v>45950</v>
      </c>
      <c r="C425" t="s">
        <v>1252</v>
      </c>
      <c r="D425" t="s">
        <v>3207</v>
      </c>
      <c r="E425" s="1">
        <v>45954</v>
      </c>
      <c r="F425" t="s">
        <v>122</v>
      </c>
      <c r="G425" t="s">
        <v>120</v>
      </c>
      <c r="H425" t="s">
        <v>121</v>
      </c>
      <c r="I425" t="s">
        <v>2618</v>
      </c>
      <c r="J425" t="s">
        <v>2701</v>
      </c>
      <c r="K425" t="s">
        <v>25</v>
      </c>
      <c r="L425">
        <v>36</v>
      </c>
      <c r="M425">
        <v>4</v>
      </c>
      <c r="N425">
        <v>0</v>
      </c>
      <c r="O425" t="s">
        <v>1253</v>
      </c>
      <c r="P425" t="s">
        <v>75</v>
      </c>
      <c r="Q425" t="s">
        <v>31</v>
      </c>
      <c r="R425" t="s">
        <v>71</v>
      </c>
      <c r="S425" t="s">
        <v>123</v>
      </c>
      <c r="T425">
        <v>3</v>
      </c>
      <c r="U425" s="5">
        <v>887.23</v>
      </c>
      <c r="V425" s="5">
        <v>2471.46</v>
      </c>
      <c r="W425">
        <v>4</v>
      </c>
      <c r="X425" t="s">
        <v>94</v>
      </c>
      <c r="Y425">
        <v>2025</v>
      </c>
      <c r="Z425" t="str">
        <f>TEXT(Table1[[#This Row],[Order Date]],"MMM")</f>
        <v>Oct</v>
      </c>
      <c r="AA425" s="5">
        <f>Table1[[#This Row],[Unit Price]]*Table1[[#This Row],[Quantity]]*(1-Table1[[#This Row],[Discount %]]/100)</f>
        <v>3548.92</v>
      </c>
      <c r="AB425" s="5">
        <f>Table1[[#This Row],[Sales]]-Table1[[#This Row],[Cost]]</f>
        <v>1077.46</v>
      </c>
    </row>
    <row r="426" spans="1:28" x14ac:dyDescent="0.3">
      <c r="A426" t="s">
        <v>1254</v>
      </c>
      <c r="B426" s="1">
        <v>45559</v>
      </c>
      <c r="C426" t="s">
        <v>1007</v>
      </c>
      <c r="D426" t="s">
        <v>3208</v>
      </c>
      <c r="E426" s="1">
        <v>45560</v>
      </c>
      <c r="F426" t="s">
        <v>29</v>
      </c>
      <c r="G426" t="s">
        <v>27</v>
      </c>
      <c r="H426" t="s">
        <v>28</v>
      </c>
      <c r="I426" t="s">
        <v>2664</v>
      </c>
      <c r="J426" t="s">
        <v>2678</v>
      </c>
      <c r="K426" t="s">
        <v>52</v>
      </c>
      <c r="L426">
        <v>61</v>
      </c>
      <c r="M426">
        <v>4</v>
      </c>
      <c r="N426">
        <v>10</v>
      </c>
      <c r="O426" t="s">
        <v>1228</v>
      </c>
      <c r="P426" t="s">
        <v>44</v>
      </c>
      <c r="Q426" t="s">
        <v>31</v>
      </c>
      <c r="R426" t="s">
        <v>43</v>
      </c>
      <c r="S426" t="s">
        <v>30</v>
      </c>
      <c r="T426">
        <v>2</v>
      </c>
      <c r="U426" s="5">
        <v>876.3</v>
      </c>
      <c r="V426" s="5">
        <v>2659.66</v>
      </c>
      <c r="W426">
        <v>1</v>
      </c>
      <c r="X426" t="s">
        <v>45</v>
      </c>
      <c r="Y426">
        <v>2024</v>
      </c>
      <c r="Z426" t="str">
        <f>TEXT(Table1[[#This Row],[Order Date]],"MMM")</f>
        <v>Sep</v>
      </c>
      <c r="AA426" s="5">
        <f>Table1[[#This Row],[Unit Price]]*Table1[[#This Row],[Quantity]]*(1-Table1[[#This Row],[Discount %]]/100)</f>
        <v>3154.68</v>
      </c>
      <c r="AB426" s="5">
        <f>Table1[[#This Row],[Sales]]-Table1[[#This Row],[Cost]]</f>
        <v>495.02</v>
      </c>
    </row>
    <row r="427" spans="1:28" x14ac:dyDescent="0.3">
      <c r="A427" t="s">
        <v>1255</v>
      </c>
      <c r="B427" s="1">
        <v>45603</v>
      </c>
      <c r="C427" t="s">
        <v>1256</v>
      </c>
      <c r="D427" t="s">
        <v>3209</v>
      </c>
      <c r="E427" s="1">
        <v>45605</v>
      </c>
      <c r="F427" t="s">
        <v>56</v>
      </c>
      <c r="G427" t="s">
        <v>54</v>
      </c>
      <c r="H427" t="s">
        <v>55</v>
      </c>
      <c r="I427" t="s">
        <v>2621</v>
      </c>
      <c r="J427" t="s">
        <v>2699</v>
      </c>
      <c r="K427" t="s">
        <v>52</v>
      </c>
      <c r="L427">
        <v>18</v>
      </c>
      <c r="M427">
        <v>3</v>
      </c>
      <c r="N427">
        <v>15</v>
      </c>
      <c r="O427" t="s">
        <v>1257</v>
      </c>
      <c r="P427" t="s">
        <v>44</v>
      </c>
      <c r="Q427" t="s">
        <v>117</v>
      </c>
      <c r="R427" t="s">
        <v>43</v>
      </c>
      <c r="S427" t="s">
        <v>57</v>
      </c>
      <c r="T427">
        <v>2</v>
      </c>
      <c r="U427" s="5">
        <v>783.39</v>
      </c>
      <c r="V427" s="5">
        <v>1553.16</v>
      </c>
      <c r="W427">
        <v>2</v>
      </c>
      <c r="X427" t="s">
        <v>94</v>
      </c>
      <c r="Y427">
        <v>2024</v>
      </c>
      <c r="Z427" t="str">
        <f>TEXT(Table1[[#This Row],[Order Date]],"MMM")</f>
        <v>Nov</v>
      </c>
      <c r="AA427" s="5">
        <f>Table1[[#This Row],[Unit Price]]*Table1[[#This Row],[Quantity]]*(1-Table1[[#This Row],[Discount %]]/100)</f>
        <v>1997.6445000000001</v>
      </c>
      <c r="AB427" s="5">
        <f>Table1[[#This Row],[Sales]]-Table1[[#This Row],[Cost]]</f>
        <v>444.48450000000003</v>
      </c>
    </row>
    <row r="428" spans="1:28" x14ac:dyDescent="0.3">
      <c r="A428" t="s">
        <v>1258</v>
      </c>
      <c r="B428" s="1">
        <v>45474</v>
      </c>
      <c r="C428" t="s">
        <v>1259</v>
      </c>
      <c r="D428" t="s">
        <v>3210</v>
      </c>
      <c r="E428" s="1">
        <v>45478</v>
      </c>
      <c r="F428" t="s">
        <v>115</v>
      </c>
      <c r="G428" t="s">
        <v>66</v>
      </c>
      <c r="H428" t="s">
        <v>114</v>
      </c>
      <c r="I428" t="s">
        <v>2664</v>
      </c>
      <c r="J428" t="s">
        <v>2704</v>
      </c>
      <c r="K428" t="s">
        <v>52</v>
      </c>
      <c r="L428">
        <v>52</v>
      </c>
      <c r="M428">
        <v>1</v>
      </c>
      <c r="N428">
        <v>25</v>
      </c>
      <c r="O428" t="s">
        <v>1260</v>
      </c>
      <c r="P428" t="s">
        <v>75</v>
      </c>
      <c r="Q428" t="s">
        <v>58</v>
      </c>
      <c r="R428" t="s">
        <v>71</v>
      </c>
      <c r="S428" t="s">
        <v>116</v>
      </c>
      <c r="T428">
        <v>5</v>
      </c>
      <c r="U428" s="5">
        <v>614.20000000000005</v>
      </c>
      <c r="V428" s="5">
        <v>362.01</v>
      </c>
      <c r="W428">
        <v>4</v>
      </c>
      <c r="X428" t="s">
        <v>45</v>
      </c>
      <c r="Y428">
        <v>2024</v>
      </c>
      <c r="Z428" t="str">
        <f>TEXT(Table1[[#This Row],[Order Date]],"MMM")</f>
        <v>Jul</v>
      </c>
      <c r="AA428" s="5">
        <f>Table1[[#This Row],[Unit Price]]*Table1[[#This Row],[Quantity]]*(1-Table1[[#This Row],[Discount %]]/100)</f>
        <v>460.65000000000003</v>
      </c>
      <c r="AB428" s="5">
        <f>Table1[[#This Row],[Sales]]-Table1[[#This Row],[Cost]]</f>
        <v>98.640000000000043</v>
      </c>
    </row>
    <row r="429" spans="1:28" x14ac:dyDescent="0.3">
      <c r="A429" t="s">
        <v>1261</v>
      </c>
      <c r="B429" s="1">
        <v>46156</v>
      </c>
      <c r="C429" t="s">
        <v>1262</v>
      </c>
      <c r="D429" t="s">
        <v>3211</v>
      </c>
      <c r="E429" s="1">
        <v>46158</v>
      </c>
      <c r="F429" t="s">
        <v>122</v>
      </c>
      <c r="G429" t="s">
        <v>120</v>
      </c>
      <c r="H429" t="s">
        <v>121</v>
      </c>
      <c r="I429" t="s">
        <v>2631</v>
      </c>
      <c r="J429" t="s">
        <v>2639</v>
      </c>
      <c r="K429" t="s">
        <v>25</v>
      </c>
      <c r="L429">
        <v>26</v>
      </c>
      <c r="M429">
        <v>3</v>
      </c>
      <c r="N429">
        <v>15</v>
      </c>
      <c r="O429" t="s">
        <v>802</v>
      </c>
      <c r="P429" t="s">
        <v>33</v>
      </c>
      <c r="Q429" t="s">
        <v>42</v>
      </c>
      <c r="R429" t="s">
        <v>43</v>
      </c>
      <c r="S429" t="s">
        <v>123</v>
      </c>
      <c r="T429">
        <v>1</v>
      </c>
      <c r="U429" s="5">
        <v>219.3</v>
      </c>
      <c r="V429" s="5">
        <v>315.64</v>
      </c>
      <c r="W429">
        <v>2</v>
      </c>
      <c r="X429" t="s">
        <v>49</v>
      </c>
      <c r="Y429">
        <v>2026</v>
      </c>
      <c r="Z429" t="str">
        <f>TEXT(Table1[[#This Row],[Order Date]],"MMM")</f>
        <v>May</v>
      </c>
      <c r="AA429" s="5">
        <f>Table1[[#This Row],[Unit Price]]*Table1[[#This Row],[Quantity]]*(1-Table1[[#This Row],[Discount %]]/100)</f>
        <v>559.21500000000003</v>
      </c>
      <c r="AB429" s="5">
        <f>Table1[[#This Row],[Sales]]-Table1[[#This Row],[Cost]]</f>
        <v>243.57500000000005</v>
      </c>
    </row>
    <row r="430" spans="1:28" x14ac:dyDescent="0.3">
      <c r="A430" t="s">
        <v>1263</v>
      </c>
      <c r="B430" s="1">
        <v>45773</v>
      </c>
      <c r="C430" t="s">
        <v>1264</v>
      </c>
      <c r="D430" t="s">
        <v>3212</v>
      </c>
      <c r="E430" s="1">
        <v>45774</v>
      </c>
      <c r="F430" t="s">
        <v>115</v>
      </c>
      <c r="G430" t="s">
        <v>66</v>
      </c>
      <c r="H430" t="s">
        <v>114</v>
      </c>
      <c r="I430" t="s">
        <v>2635</v>
      </c>
      <c r="J430" t="s">
        <v>2700</v>
      </c>
      <c r="K430" t="s">
        <v>52</v>
      </c>
      <c r="L430">
        <v>19</v>
      </c>
      <c r="M430">
        <v>3</v>
      </c>
      <c r="N430">
        <v>20</v>
      </c>
      <c r="O430" t="s">
        <v>1265</v>
      </c>
      <c r="P430" t="s">
        <v>44</v>
      </c>
      <c r="Q430" t="s">
        <v>42</v>
      </c>
      <c r="R430" t="s">
        <v>71</v>
      </c>
      <c r="S430" t="s">
        <v>116</v>
      </c>
      <c r="T430">
        <v>4</v>
      </c>
      <c r="U430" s="5">
        <v>474.2</v>
      </c>
      <c r="V430" s="5">
        <v>714.49</v>
      </c>
      <c r="W430">
        <v>1</v>
      </c>
      <c r="X430" t="s">
        <v>49</v>
      </c>
      <c r="Y430">
        <v>2025</v>
      </c>
      <c r="Z430" t="str">
        <f>TEXT(Table1[[#This Row],[Order Date]],"MMM")</f>
        <v>Apr</v>
      </c>
      <c r="AA430" s="5">
        <f>Table1[[#This Row],[Unit Price]]*Table1[[#This Row],[Quantity]]*(1-Table1[[#This Row],[Discount %]]/100)</f>
        <v>1138.08</v>
      </c>
      <c r="AB430" s="5">
        <f>Table1[[#This Row],[Sales]]-Table1[[#This Row],[Cost]]</f>
        <v>423.58999999999992</v>
      </c>
    </row>
    <row r="431" spans="1:28" x14ac:dyDescent="0.3">
      <c r="A431" t="s">
        <v>1266</v>
      </c>
      <c r="B431" s="1">
        <v>45601</v>
      </c>
      <c r="C431" t="s">
        <v>1267</v>
      </c>
      <c r="D431" t="s">
        <v>3213</v>
      </c>
      <c r="E431" s="1">
        <v>45608</v>
      </c>
      <c r="F431" t="s">
        <v>140</v>
      </c>
      <c r="G431" t="s">
        <v>38</v>
      </c>
      <c r="H431" t="s">
        <v>139</v>
      </c>
      <c r="I431" t="s">
        <v>2648</v>
      </c>
      <c r="J431" t="s">
        <v>2702</v>
      </c>
      <c r="K431" t="s">
        <v>25</v>
      </c>
      <c r="L431">
        <v>54</v>
      </c>
      <c r="M431">
        <v>4</v>
      </c>
      <c r="N431">
        <v>0</v>
      </c>
      <c r="O431" t="s">
        <v>1268</v>
      </c>
      <c r="P431" t="s">
        <v>44</v>
      </c>
      <c r="Q431" t="s">
        <v>31</v>
      </c>
      <c r="R431" t="s">
        <v>62</v>
      </c>
      <c r="S431" t="s">
        <v>141</v>
      </c>
      <c r="T431">
        <v>2</v>
      </c>
      <c r="U431" s="5">
        <v>498.65</v>
      </c>
      <c r="V431" s="5">
        <v>1635.96</v>
      </c>
      <c r="W431">
        <v>7</v>
      </c>
      <c r="X431" t="s">
        <v>94</v>
      </c>
      <c r="Y431">
        <v>2024</v>
      </c>
      <c r="Z431" t="str">
        <f>TEXT(Table1[[#This Row],[Order Date]],"MMM")</f>
        <v>Nov</v>
      </c>
      <c r="AA431" s="5">
        <f>Table1[[#This Row],[Unit Price]]*Table1[[#This Row],[Quantity]]*(1-Table1[[#This Row],[Discount %]]/100)</f>
        <v>1994.6</v>
      </c>
      <c r="AB431" s="5">
        <f>Table1[[#This Row],[Sales]]-Table1[[#This Row],[Cost]]</f>
        <v>358.63999999999987</v>
      </c>
    </row>
    <row r="432" spans="1:28" x14ac:dyDescent="0.3">
      <c r="A432" t="s">
        <v>1269</v>
      </c>
      <c r="B432" s="1">
        <v>46140</v>
      </c>
      <c r="C432" t="s">
        <v>1270</v>
      </c>
      <c r="D432" t="s">
        <v>3214</v>
      </c>
      <c r="E432" s="1">
        <v>46147</v>
      </c>
      <c r="F432" t="s">
        <v>115</v>
      </c>
      <c r="G432" t="s">
        <v>66</v>
      </c>
      <c r="H432" t="s">
        <v>114</v>
      </c>
      <c r="I432" t="s">
        <v>2629</v>
      </c>
      <c r="J432" t="s">
        <v>2674</v>
      </c>
      <c r="K432" t="s">
        <v>25</v>
      </c>
      <c r="L432">
        <v>28</v>
      </c>
      <c r="M432">
        <v>1</v>
      </c>
      <c r="N432">
        <v>25</v>
      </c>
      <c r="O432" t="s">
        <v>1271</v>
      </c>
      <c r="P432" t="s">
        <v>33</v>
      </c>
      <c r="Q432" t="s">
        <v>42</v>
      </c>
      <c r="R432" t="s">
        <v>43</v>
      </c>
      <c r="S432" t="s">
        <v>116</v>
      </c>
      <c r="T432">
        <v>2</v>
      </c>
      <c r="U432" s="5">
        <v>40.69</v>
      </c>
      <c r="V432" s="5">
        <v>16.3</v>
      </c>
      <c r="W432">
        <v>7</v>
      </c>
      <c r="X432" t="s">
        <v>49</v>
      </c>
      <c r="Y432">
        <v>2026</v>
      </c>
      <c r="Z432" t="str">
        <f>TEXT(Table1[[#This Row],[Order Date]],"MMM")</f>
        <v>Apr</v>
      </c>
      <c r="AA432" s="5">
        <f>Table1[[#This Row],[Unit Price]]*Table1[[#This Row],[Quantity]]*(1-Table1[[#This Row],[Discount %]]/100)</f>
        <v>30.517499999999998</v>
      </c>
      <c r="AB432" s="5">
        <f>Table1[[#This Row],[Sales]]-Table1[[#This Row],[Cost]]</f>
        <v>14.217499999999998</v>
      </c>
    </row>
    <row r="433" spans="1:28" x14ac:dyDescent="0.3">
      <c r="A433" t="s">
        <v>1272</v>
      </c>
      <c r="B433" s="1">
        <v>45793</v>
      </c>
      <c r="C433" t="s">
        <v>1273</v>
      </c>
      <c r="D433" t="s">
        <v>3215</v>
      </c>
      <c r="E433" s="1">
        <v>45794</v>
      </c>
      <c r="F433" t="s">
        <v>140</v>
      </c>
      <c r="G433" t="s">
        <v>38</v>
      </c>
      <c r="H433" t="s">
        <v>139</v>
      </c>
      <c r="I433" t="s">
        <v>2648</v>
      </c>
      <c r="J433" t="s">
        <v>2684</v>
      </c>
      <c r="K433" t="s">
        <v>25</v>
      </c>
      <c r="L433">
        <v>55</v>
      </c>
      <c r="M433">
        <v>1</v>
      </c>
      <c r="N433">
        <v>15</v>
      </c>
      <c r="O433" t="s">
        <v>1274</v>
      </c>
      <c r="P433" t="s">
        <v>33</v>
      </c>
      <c r="Q433" t="s">
        <v>70</v>
      </c>
      <c r="R433" t="s">
        <v>32</v>
      </c>
      <c r="S433" t="s">
        <v>141</v>
      </c>
      <c r="T433">
        <v>4</v>
      </c>
      <c r="U433" s="5">
        <v>869.03</v>
      </c>
      <c r="V433" s="5">
        <v>555.48</v>
      </c>
      <c r="W433">
        <v>1</v>
      </c>
      <c r="X433" t="s">
        <v>49</v>
      </c>
      <c r="Y433">
        <v>2025</v>
      </c>
      <c r="Z433" t="str">
        <f>TEXT(Table1[[#This Row],[Order Date]],"MMM")</f>
        <v>May</v>
      </c>
      <c r="AA433" s="5">
        <f>Table1[[#This Row],[Unit Price]]*Table1[[#This Row],[Quantity]]*(1-Table1[[#This Row],[Discount %]]/100)</f>
        <v>738.67549999999994</v>
      </c>
      <c r="AB433" s="5">
        <f>Table1[[#This Row],[Sales]]-Table1[[#This Row],[Cost]]</f>
        <v>183.19549999999992</v>
      </c>
    </row>
    <row r="434" spans="1:28" x14ac:dyDescent="0.3">
      <c r="A434" t="s">
        <v>1275</v>
      </c>
      <c r="B434" s="1">
        <v>45850</v>
      </c>
      <c r="C434" t="s">
        <v>1276</v>
      </c>
      <c r="D434" t="s">
        <v>3216</v>
      </c>
      <c r="E434" s="1">
        <v>45852</v>
      </c>
      <c r="F434" t="s">
        <v>40</v>
      </c>
      <c r="G434" t="s">
        <v>38</v>
      </c>
      <c r="H434" t="s">
        <v>39</v>
      </c>
      <c r="I434" t="s">
        <v>2619</v>
      </c>
      <c r="J434" t="s">
        <v>2697</v>
      </c>
      <c r="K434" t="s">
        <v>25</v>
      </c>
      <c r="L434">
        <v>38</v>
      </c>
      <c r="M434">
        <v>5</v>
      </c>
      <c r="N434">
        <v>15</v>
      </c>
      <c r="O434" t="s">
        <v>1277</v>
      </c>
      <c r="P434" t="s">
        <v>44</v>
      </c>
      <c r="Q434" t="s">
        <v>117</v>
      </c>
      <c r="R434" t="s">
        <v>43</v>
      </c>
      <c r="S434" t="s">
        <v>41</v>
      </c>
      <c r="T434">
        <v>4</v>
      </c>
      <c r="U434" s="5">
        <v>578.84</v>
      </c>
      <c r="V434" s="5">
        <v>1304.22</v>
      </c>
      <c r="W434">
        <v>2</v>
      </c>
      <c r="X434" t="s">
        <v>45</v>
      </c>
      <c r="Y434">
        <v>2025</v>
      </c>
      <c r="Z434" t="str">
        <f>TEXT(Table1[[#This Row],[Order Date]],"MMM")</f>
        <v>Jul</v>
      </c>
      <c r="AA434" s="5">
        <f>Table1[[#This Row],[Unit Price]]*Table1[[#This Row],[Quantity]]*(1-Table1[[#This Row],[Discount %]]/100)</f>
        <v>2460.0700000000002</v>
      </c>
      <c r="AB434" s="5">
        <f>Table1[[#This Row],[Sales]]-Table1[[#This Row],[Cost]]</f>
        <v>1155.8500000000001</v>
      </c>
    </row>
    <row r="435" spans="1:28" x14ac:dyDescent="0.3">
      <c r="A435" t="s">
        <v>1278</v>
      </c>
      <c r="B435" s="1">
        <v>45439</v>
      </c>
      <c r="C435" t="s">
        <v>1279</v>
      </c>
      <c r="D435" t="s">
        <v>3217</v>
      </c>
      <c r="E435" s="1">
        <v>45446</v>
      </c>
      <c r="F435" t="s">
        <v>115</v>
      </c>
      <c r="G435" t="s">
        <v>66</v>
      </c>
      <c r="H435" t="s">
        <v>114</v>
      </c>
      <c r="I435" t="s">
        <v>2643</v>
      </c>
      <c r="J435" t="s">
        <v>2717</v>
      </c>
      <c r="K435" t="s">
        <v>25</v>
      </c>
      <c r="L435">
        <v>23</v>
      </c>
      <c r="M435">
        <v>1</v>
      </c>
      <c r="N435">
        <v>30</v>
      </c>
      <c r="O435" t="s">
        <v>332</v>
      </c>
      <c r="P435" t="s">
        <v>33</v>
      </c>
      <c r="Q435" t="s">
        <v>31</v>
      </c>
      <c r="R435" t="s">
        <v>43</v>
      </c>
      <c r="S435" t="s">
        <v>116</v>
      </c>
      <c r="T435">
        <v>1</v>
      </c>
      <c r="U435" s="5">
        <v>380.8</v>
      </c>
      <c r="V435" s="5">
        <v>185.69</v>
      </c>
      <c r="W435">
        <v>7</v>
      </c>
      <c r="X435" t="s">
        <v>49</v>
      </c>
      <c r="Y435">
        <v>2024</v>
      </c>
      <c r="Z435" t="str">
        <f>TEXT(Table1[[#This Row],[Order Date]],"MMM")</f>
        <v>May</v>
      </c>
      <c r="AA435" s="5">
        <f>Table1[[#This Row],[Unit Price]]*Table1[[#This Row],[Quantity]]*(1-Table1[[#This Row],[Discount %]]/100)</f>
        <v>266.56</v>
      </c>
      <c r="AB435" s="5">
        <f>Table1[[#This Row],[Sales]]-Table1[[#This Row],[Cost]]</f>
        <v>80.87</v>
      </c>
    </row>
    <row r="436" spans="1:28" x14ac:dyDescent="0.3">
      <c r="A436" t="s">
        <v>1280</v>
      </c>
      <c r="B436" s="1">
        <v>45584</v>
      </c>
      <c r="C436" t="s">
        <v>1281</v>
      </c>
      <c r="D436" t="s">
        <v>3218</v>
      </c>
      <c r="E436" s="1">
        <v>45587</v>
      </c>
      <c r="F436" t="s">
        <v>68</v>
      </c>
      <c r="G436" t="s">
        <v>66</v>
      </c>
      <c r="H436" t="s">
        <v>67</v>
      </c>
      <c r="I436" t="s">
        <v>2675</v>
      </c>
      <c r="J436" t="s">
        <v>2681</v>
      </c>
      <c r="K436" t="s">
        <v>25</v>
      </c>
      <c r="L436">
        <v>53</v>
      </c>
      <c r="M436">
        <v>1</v>
      </c>
      <c r="N436">
        <v>20</v>
      </c>
      <c r="O436" t="s">
        <v>1282</v>
      </c>
      <c r="P436" t="s">
        <v>75</v>
      </c>
      <c r="Q436" t="s">
        <v>58</v>
      </c>
      <c r="R436" t="s">
        <v>62</v>
      </c>
      <c r="S436" t="s">
        <v>69</v>
      </c>
      <c r="T436">
        <v>4</v>
      </c>
      <c r="U436" s="5">
        <v>398.1</v>
      </c>
      <c r="V436" s="5">
        <v>254.8</v>
      </c>
      <c r="W436">
        <v>3</v>
      </c>
      <c r="X436" t="s">
        <v>94</v>
      </c>
      <c r="Y436">
        <v>2024</v>
      </c>
      <c r="Z436" t="str">
        <f>TEXT(Table1[[#This Row],[Order Date]],"MMM")</f>
        <v>Oct</v>
      </c>
      <c r="AA436" s="5">
        <f>Table1[[#This Row],[Unit Price]]*Table1[[#This Row],[Quantity]]*(1-Table1[[#This Row],[Discount %]]/100)</f>
        <v>318.48</v>
      </c>
      <c r="AB436" s="5">
        <f>Table1[[#This Row],[Sales]]-Table1[[#This Row],[Cost]]</f>
        <v>63.680000000000007</v>
      </c>
    </row>
    <row r="437" spans="1:28" x14ac:dyDescent="0.3">
      <c r="A437" t="s">
        <v>1283</v>
      </c>
      <c r="B437" s="1">
        <v>45992</v>
      </c>
      <c r="C437" t="s">
        <v>1284</v>
      </c>
      <c r="D437" t="s">
        <v>3219</v>
      </c>
      <c r="E437" s="1">
        <v>45995</v>
      </c>
      <c r="F437" t="s">
        <v>100</v>
      </c>
      <c r="G437" t="s">
        <v>98</v>
      </c>
      <c r="H437" t="s">
        <v>99</v>
      </c>
      <c r="I437" t="s">
        <v>2627</v>
      </c>
      <c r="J437" t="s">
        <v>2690</v>
      </c>
      <c r="K437" t="s">
        <v>25</v>
      </c>
      <c r="L437">
        <v>47</v>
      </c>
      <c r="M437">
        <v>4</v>
      </c>
      <c r="N437">
        <v>5</v>
      </c>
      <c r="O437" t="s">
        <v>350</v>
      </c>
      <c r="P437" t="s">
        <v>33</v>
      </c>
      <c r="Q437" t="s">
        <v>42</v>
      </c>
      <c r="R437" t="s">
        <v>62</v>
      </c>
      <c r="S437" t="s">
        <v>101</v>
      </c>
      <c r="T437">
        <v>5</v>
      </c>
      <c r="U437" s="5">
        <v>41.19</v>
      </c>
      <c r="V437" s="5">
        <v>80.72</v>
      </c>
      <c r="W437">
        <v>3</v>
      </c>
      <c r="X437" t="s">
        <v>94</v>
      </c>
      <c r="Y437">
        <v>2025</v>
      </c>
      <c r="Z437" t="str">
        <f>TEXT(Table1[[#This Row],[Order Date]],"MMM")</f>
        <v>Dec</v>
      </c>
      <c r="AA437" s="5">
        <f>Table1[[#This Row],[Unit Price]]*Table1[[#This Row],[Quantity]]*(1-Table1[[#This Row],[Discount %]]/100)</f>
        <v>156.52199999999999</v>
      </c>
      <c r="AB437" s="5">
        <f>Table1[[#This Row],[Sales]]-Table1[[#This Row],[Cost]]</f>
        <v>75.801999999999992</v>
      </c>
    </row>
    <row r="438" spans="1:28" x14ac:dyDescent="0.3">
      <c r="A438" t="s">
        <v>1285</v>
      </c>
      <c r="B438" s="1">
        <v>45526</v>
      </c>
      <c r="C438" t="s">
        <v>1286</v>
      </c>
      <c r="D438" t="s">
        <v>3220</v>
      </c>
      <c r="E438" s="1">
        <v>45527</v>
      </c>
      <c r="F438" t="s">
        <v>56</v>
      </c>
      <c r="G438" t="s">
        <v>54</v>
      </c>
      <c r="H438" t="s">
        <v>55</v>
      </c>
      <c r="I438" t="s">
        <v>2630</v>
      </c>
      <c r="J438" t="s">
        <v>2646</v>
      </c>
      <c r="K438" t="s">
        <v>52</v>
      </c>
      <c r="L438">
        <v>59</v>
      </c>
      <c r="M438">
        <v>5</v>
      </c>
      <c r="N438">
        <v>10</v>
      </c>
      <c r="O438" t="s">
        <v>1287</v>
      </c>
      <c r="P438" t="s">
        <v>75</v>
      </c>
      <c r="Q438" t="s">
        <v>42</v>
      </c>
      <c r="R438" t="s">
        <v>32</v>
      </c>
      <c r="S438" t="s">
        <v>57</v>
      </c>
      <c r="T438">
        <v>1</v>
      </c>
      <c r="U438" s="5">
        <v>400.22</v>
      </c>
      <c r="V438" s="5">
        <v>1163.0899999999999</v>
      </c>
      <c r="W438">
        <v>1</v>
      </c>
      <c r="X438" t="s">
        <v>45</v>
      </c>
      <c r="Y438">
        <v>2024</v>
      </c>
      <c r="Z438" t="str">
        <f>TEXT(Table1[[#This Row],[Order Date]],"MMM")</f>
        <v>Aug</v>
      </c>
      <c r="AA438" s="5">
        <f>Table1[[#This Row],[Unit Price]]*Table1[[#This Row],[Quantity]]*(1-Table1[[#This Row],[Discount %]]/100)</f>
        <v>1800.9900000000002</v>
      </c>
      <c r="AB438" s="5">
        <f>Table1[[#This Row],[Sales]]-Table1[[#This Row],[Cost]]</f>
        <v>637.90000000000032</v>
      </c>
    </row>
    <row r="439" spans="1:28" x14ac:dyDescent="0.3">
      <c r="A439" t="s">
        <v>1288</v>
      </c>
      <c r="B439" s="1">
        <v>45856</v>
      </c>
      <c r="C439" t="s">
        <v>1289</v>
      </c>
      <c r="D439" t="s">
        <v>3221</v>
      </c>
      <c r="E439" s="1">
        <v>45858</v>
      </c>
      <c r="F439" t="s">
        <v>140</v>
      </c>
      <c r="G439" t="s">
        <v>38</v>
      </c>
      <c r="H439" t="s">
        <v>139</v>
      </c>
      <c r="I439" t="s">
        <v>2652</v>
      </c>
      <c r="J439" t="s">
        <v>2679</v>
      </c>
      <c r="K439" t="s">
        <v>25</v>
      </c>
      <c r="L439">
        <v>31</v>
      </c>
      <c r="M439">
        <v>4</v>
      </c>
      <c r="N439">
        <v>5</v>
      </c>
      <c r="O439" t="s">
        <v>512</v>
      </c>
      <c r="P439" t="s">
        <v>44</v>
      </c>
      <c r="Q439" t="s">
        <v>42</v>
      </c>
      <c r="R439" t="s">
        <v>43</v>
      </c>
      <c r="S439" t="s">
        <v>141</v>
      </c>
      <c r="T439">
        <v>1</v>
      </c>
      <c r="U439" s="5">
        <v>388.01</v>
      </c>
      <c r="V439" s="5">
        <v>1221.3</v>
      </c>
      <c r="W439">
        <v>2</v>
      </c>
      <c r="X439" t="s">
        <v>45</v>
      </c>
      <c r="Y439">
        <v>2025</v>
      </c>
      <c r="Z439" t="str">
        <f>TEXT(Table1[[#This Row],[Order Date]],"MMM")</f>
        <v>Jul</v>
      </c>
      <c r="AA439" s="5">
        <f>Table1[[#This Row],[Unit Price]]*Table1[[#This Row],[Quantity]]*(1-Table1[[#This Row],[Discount %]]/100)</f>
        <v>1474.4379999999999</v>
      </c>
      <c r="AB439" s="5">
        <f>Table1[[#This Row],[Sales]]-Table1[[#This Row],[Cost]]</f>
        <v>253.13799999999992</v>
      </c>
    </row>
    <row r="440" spans="1:28" x14ac:dyDescent="0.3">
      <c r="A440" t="s">
        <v>1290</v>
      </c>
      <c r="B440" s="1">
        <v>46079</v>
      </c>
      <c r="C440" t="s">
        <v>1291</v>
      </c>
      <c r="D440" t="s">
        <v>3222</v>
      </c>
      <c r="E440" s="1">
        <v>46085</v>
      </c>
      <c r="F440" t="s">
        <v>122</v>
      </c>
      <c r="G440" t="s">
        <v>120</v>
      </c>
      <c r="H440" t="s">
        <v>121</v>
      </c>
      <c r="I440" t="s">
        <v>2625</v>
      </c>
      <c r="J440" t="s">
        <v>2685</v>
      </c>
      <c r="K440" t="s">
        <v>25</v>
      </c>
      <c r="L440">
        <v>28</v>
      </c>
      <c r="M440">
        <v>2</v>
      </c>
      <c r="N440">
        <v>15</v>
      </c>
      <c r="O440" t="s">
        <v>1292</v>
      </c>
      <c r="P440" t="s">
        <v>44</v>
      </c>
      <c r="Q440" t="s">
        <v>117</v>
      </c>
      <c r="R440" t="s">
        <v>32</v>
      </c>
      <c r="S440" t="s">
        <v>123</v>
      </c>
      <c r="T440">
        <v>4</v>
      </c>
      <c r="U440" s="5">
        <v>237.05</v>
      </c>
      <c r="V440" s="5">
        <v>213.98</v>
      </c>
      <c r="W440">
        <v>6</v>
      </c>
      <c r="X440" t="s">
        <v>34</v>
      </c>
      <c r="Y440">
        <v>2026</v>
      </c>
      <c r="Z440" t="str">
        <f>TEXT(Table1[[#This Row],[Order Date]],"MMM")</f>
        <v>Feb</v>
      </c>
      <c r="AA440" s="5">
        <f>Table1[[#This Row],[Unit Price]]*Table1[[#This Row],[Quantity]]*(1-Table1[[#This Row],[Discount %]]/100)</f>
        <v>402.98500000000001</v>
      </c>
      <c r="AB440" s="5">
        <f>Table1[[#This Row],[Sales]]-Table1[[#This Row],[Cost]]</f>
        <v>189.00500000000002</v>
      </c>
    </row>
    <row r="441" spans="1:28" x14ac:dyDescent="0.3">
      <c r="A441" t="s">
        <v>1293</v>
      </c>
      <c r="B441" s="1">
        <v>45898</v>
      </c>
      <c r="C441" t="s">
        <v>1294</v>
      </c>
      <c r="D441" t="s">
        <v>3223</v>
      </c>
      <c r="E441" s="1">
        <v>45904</v>
      </c>
      <c r="F441" t="s">
        <v>56</v>
      </c>
      <c r="G441" t="s">
        <v>54</v>
      </c>
      <c r="H441" t="s">
        <v>55</v>
      </c>
      <c r="I441" t="s">
        <v>2630</v>
      </c>
      <c r="J441" t="s">
        <v>2646</v>
      </c>
      <c r="K441" t="s">
        <v>52</v>
      </c>
      <c r="L441">
        <v>44</v>
      </c>
      <c r="M441">
        <v>4</v>
      </c>
      <c r="N441">
        <v>30</v>
      </c>
      <c r="O441" t="s">
        <v>1295</v>
      </c>
      <c r="P441" t="s">
        <v>33</v>
      </c>
      <c r="Q441" t="s">
        <v>117</v>
      </c>
      <c r="R441" t="s">
        <v>43</v>
      </c>
      <c r="S441" t="s">
        <v>57</v>
      </c>
      <c r="T441">
        <v>3</v>
      </c>
      <c r="U441" s="5">
        <v>715.42</v>
      </c>
      <c r="V441" s="5">
        <v>1163.4100000000001</v>
      </c>
      <c r="W441">
        <v>6</v>
      </c>
      <c r="X441" t="s">
        <v>45</v>
      </c>
      <c r="Y441">
        <v>2025</v>
      </c>
      <c r="Z441" t="str">
        <f>TEXT(Table1[[#This Row],[Order Date]],"MMM")</f>
        <v>Aug</v>
      </c>
      <c r="AA441" s="5">
        <f>Table1[[#This Row],[Unit Price]]*Table1[[#This Row],[Quantity]]*(1-Table1[[#This Row],[Discount %]]/100)</f>
        <v>2003.1759999999997</v>
      </c>
      <c r="AB441" s="5">
        <f>Table1[[#This Row],[Sales]]-Table1[[#This Row],[Cost]]</f>
        <v>839.76599999999962</v>
      </c>
    </row>
    <row r="442" spans="1:28" x14ac:dyDescent="0.3">
      <c r="A442" t="s">
        <v>1296</v>
      </c>
      <c r="B442" s="1">
        <v>45955</v>
      </c>
      <c r="C442" t="s">
        <v>1297</v>
      </c>
      <c r="D442" t="s">
        <v>3224</v>
      </c>
      <c r="E442" s="1">
        <v>45961</v>
      </c>
      <c r="F442" t="s">
        <v>68</v>
      </c>
      <c r="G442" t="s">
        <v>66</v>
      </c>
      <c r="H442" t="s">
        <v>67</v>
      </c>
      <c r="I442" t="s">
        <v>2652</v>
      </c>
      <c r="J442" t="s">
        <v>2653</v>
      </c>
      <c r="K442" t="s">
        <v>52</v>
      </c>
      <c r="L442">
        <v>51</v>
      </c>
      <c r="M442">
        <v>2</v>
      </c>
      <c r="N442">
        <v>5</v>
      </c>
      <c r="O442" t="s">
        <v>1298</v>
      </c>
      <c r="P442" t="s">
        <v>75</v>
      </c>
      <c r="Q442" t="s">
        <v>117</v>
      </c>
      <c r="R442" t="s">
        <v>32</v>
      </c>
      <c r="S442" t="s">
        <v>69</v>
      </c>
      <c r="T442">
        <v>1</v>
      </c>
      <c r="U442" s="5">
        <v>547.72</v>
      </c>
      <c r="V442" s="5">
        <v>524.76</v>
      </c>
      <c r="W442">
        <v>6</v>
      </c>
      <c r="X442" t="s">
        <v>94</v>
      </c>
      <c r="Y442">
        <v>2025</v>
      </c>
      <c r="Z442" t="str">
        <f>TEXT(Table1[[#This Row],[Order Date]],"MMM")</f>
        <v>Oct</v>
      </c>
      <c r="AA442" s="5">
        <f>Table1[[#This Row],[Unit Price]]*Table1[[#This Row],[Quantity]]*(1-Table1[[#This Row],[Discount %]]/100)</f>
        <v>1040.6679999999999</v>
      </c>
      <c r="AB442" s="5">
        <f>Table1[[#This Row],[Sales]]-Table1[[#This Row],[Cost]]</f>
        <v>515.9079999999999</v>
      </c>
    </row>
    <row r="443" spans="1:28" x14ac:dyDescent="0.3">
      <c r="A443" t="s">
        <v>1299</v>
      </c>
      <c r="B443" s="1">
        <v>45676</v>
      </c>
      <c r="C443" t="s">
        <v>1300</v>
      </c>
      <c r="D443" t="s">
        <v>3225</v>
      </c>
      <c r="E443" s="1">
        <v>45679</v>
      </c>
      <c r="F443" t="s">
        <v>29</v>
      </c>
      <c r="G443" t="s">
        <v>27</v>
      </c>
      <c r="H443" t="s">
        <v>28</v>
      </c>
      <c r="I443" t="s">
        <v>2648</v>
      </c>
      <c r="J443" t="s">
        <v>2649</v>
      </c>
      <c r="K443" t="s">
        <v>25</v>
      </c>
      <c r="L443">
        <v>18</v>
      </c>
      <c r="M443">
        <v>2</v>
      </c>
      <c r="N443">
        <v>15</v>
      </c>
      <c r="O443" t="s">
        <v>1301</v>
      </c>
      <c r="P443" t="s">
        <v>44</v>
      </c>
      <c r="Q443" t="s">
        <v>117</v>
      </c>
      <c r="R443" t="s">
        <v>71</v>
      </c>
      <c r="S443" t="s">
        <v>30</v>
      </c>
      <c r="T443">
        <v>5</v>
      </c>
      <c r="U443" s="5">
        <v>706.08</v>
      </c>
      <c r="V443" s="5">
        <v>781.81</v>
      </c>
      <c r="W443">
        <v>3</v>
      </c>
      <c r="X443" t="s">
        <v>34</v>
      </c>
      <c r="Y443">
        <v>2025</v>
      </c>
      <c r="Z443" t="str">
        <f>TEXT(Table1[[#This Row],[Order Date]],"MMM")</f>
        <v>Jan</v>
      </c>
      <c r="AA443" s="5">
        <f>Table1[[#This Row],[Unit Price]]*Table1[[#This Row],[Quantity]]*(1-Table1[[#This Row],[Discount %]]/100)</f>
        <v>1200.336</v>
      </c>
      <c r="AB443" s="5">
        <f>Table1[[#This Row],[Sales]]-Table1[[#This Row],[Cost]]</f>
        <v>418.52600000000007</v>
      </c>
    </row>
    <row r="444" spans="1:28" x14ac:dyDescent="0.3">
      <c r="A444" t="s">
        <v>1302</v>
      </c>
      <c r="B444" s="1">
        <v>45655</v>
      </c>
      <c r="C444" t="s">
        <v>1303</v>
      </c>
      <c r="D444" t="s">
        <v>3226</v>
      </c>
      <c r="E444" s="1">
        <v>45661</v>
      </c>
      <c r="F444" t="s">
        <v>40</v>
      </c>
      <c r="G444" t="s">
        <v>38</v>
      </c>
      <c r="H444" t="s">
        <v>39</v>
      </c>
      <c r="I444" t="s">
        <v>2661</v>
      </c>
      <c r="J444" t="s">
        <v>2662</v>
      </c>
      <c r="K444" t="s">
        <v>52</v>
      </c>
      <c r="L444">
        <v>57</v>
      </c>
      <c r="M444">
        <v>3</v>
      </c>
      <c r="N444">
        <v>20</v>
      </c>
      <c r="O444" t="s">
        <v>1304</v>
      </c>
      <c r="P444" t="s">
        <v>44</v>
      </c>
      <c r="Q444" t="s">
        <v>117</v>
      </c>
      <c r="R444" t="s">
        <v>62</v>
      </c>
      <c r="S444" t="s">
        <v>41</v>
      </c>
      <c r="T444">
        <v>5</v>
      </c>
      <c r="U444" s="5">
        <v>96.99</v>
      </c>
      <c r="V444" s="5">
        <v>186.86</v>
      </c>
      <c r="W444">
        <v>6</v>
      </c>
      <c r="X444" t="s">
        <v>94</v>
      </c>
      <c r="Y444">
        <v>2024</v>
      </c>
      <c r="Z444" t="str">
        <f>TEXT(Table1[[#This Row],[Order Date]],"MMM")</f>
        <v>Dec</v>
      </c>
      <c r="AA444" s="5">
        <f>Table1[[#This Row],[Unit Price]]*Table1[[#This Row],[Quantity]]*(1-Table1[[#This Row],[Discount %]]/100)</f>
        <v>232.77599999999998</v>
      </c>
      <c r="AB444" s="5">
        <f>Table1[[#This Row],[Sales]]-Table1[[#This Row],[Cost]]</f>
        <v>45.915999999999968</v>
      </c>
    </row>
    <row r="445" spans="1:28" x14ac:dyDescent="0.3">
      <c r="A445" t="s">
        <v>1305</v>
      </c>
      <c r="B445" s="1">
        <v>45470</v>
      </c>
      <c r="C445" t="s">
        <v>1306</v>
      </c>
      <c r="D445" t="s">
        <v>2782</v>
      </c>
      <c r="E445" s="1">
        <v>45475</v>
      </c>
      <c r="F445" t="s">
        <v>128</v>
      </c>
      <c r="G445" t="s">
        <v>98</v>
      </c>
      <c r="H445" t="s">
        <v>127</v>
      </c>
      <c r="I445" t="s">
        <v>2675</v>
      </c>
      <c r="J445" t="s">
        <v>2703</v>
      </c>
      <c r="K445" t="s">
        <v>52</v>
      </c>
      <c r="L445">
        <v>39</v>
      </c>
      <c r="M445">
        <v>2</v>
      </c>
      <c r="N445">
        <v>10</v>
      </c>
      <c r="O445" t="s">
        <v>1307</v>
      </c>
      <c r="P445" t="s">
        <v>44</v>
      </c>
      <c r="Q445" t="s">
        <v>31</v>
      </c>
      <c r="R445" t="s">
        <v>62</v>
      </c>
      <c r="S445" t="s">
        <v>129</v>
      </c>
      <c r="T445">
        <v>4</v>
      </c>
      <c r="U445" s="5">
        <v>752.46</v>
      </c>
      <c r="V445" s="5">
        <v>750.65</v>
      </c>
      <c r="W445">
        <v>5</v>
      </c>
      <c r="X445" t="s">
        <v>49</v>
      </c>
      <c r="Y445">
        <v>2024</v>
      </c>
      <c r="Z445" t="str">
        <f>TEXT(Table1[[#This Row],[Order Date]],"MMM")</f>
        <v>Jun</v>
      </c>
      <c r="AA445" s="5">
        <f>Table1[[#This Row],[Unit Price]]*Table1[[#This Row],[Quantity]]*(1-Table1[[#This Row],[Discount %]]/100)</f>
        <v>1354.4280000000001</v>
      </c>
      <c r="AB445" s="5">
        <f>Table1[[#This Row],[Sales]]-Table1[[#This Row],[Cost]]</f>
        <v>603.77800000000013</v>
      </c>
    </row>
    <row r="446" spans="1:28" x14ac:dyDescent="0.3">
      <c r="A446" t="s">
        <v>1308</v>
      </c>
      <c r="B446" s="1">
        <v>46067</v>
      </c>
      <c r="C446" t="s">
        <v>1309</v>
      </c>
      <c r="D446" t="s">
        <v>2783</v>
      </c>
      <c r="E446" s="1">
        <v>46068</v>
      </c>
      <c r="F446" t="s">
        <v>122</v>
      </c>
      <c r="G446" t="s">
        <v>120</v>
      </c>
      <c r="H446" t="s">
        <v>121</v>
      </c>
      <c r="I446" t="s">
        <v>2621</v>
      </c>
      <c r="J446" t="s">
        <v>2622</v>
      </c>
      <c r="K446" t="s">
        <v>52</v>
      </c>
      <c r="L446">
        <v>33</v>
      </c>
      <c r="M446">
        <v>2</v>
      </c>
      <c r="N446">
        <v>5</v>
      </c>
      <c r="O446" t="s">
        <v>1096</v>
      </c>
      <c r="P446" t="s">
        <v>44</v>
      </c>
      <c r="Q446" t="s">
        <v>117</v>
      </c>
      <c r="R446" t="s">
        <v>71</v>
      </c>
      <c r="S446" t="s">
        <v>123</v>
      </c>
      <c r="T446">
        <v>5</v>
      </c>
      <c r="U446" s="5">
        <v>256.10000000000002</v>
      </c>
      <c r="V446" s="5">
        <v>413.02</v>
      </c>
      <c r="W446">
        <v>1</v>
      </c>
      <c r="X446" t="s">
        <v>34</v>
      </c>
      <c r="Y446">
        <v>2026</v>
      </c>
      <c r="Z446" t="str">
        <f>TEXT(Table1[[#This Row],[Order Date]],"MMM")</f>
        <v>Feb</v>
      </c>
      <c r="AA446" s="5">
        <f>Table1[[#This Row],[Unit Price]]*Table1[[#This Row],[Quantity]]*(1-Table1[[#This Row],[Discount %]]/100)</f>
        <v>486.59000000000003</v>
      </c>
      <c r="AB446" s="5">
        <f>Table1[[#This Row],[Sales]]-Table1[[#This Row],[Cost]]</f>
        <v>73.57000000000005</v>
      </c>
    </row>
    <row r="447" spans="1:28" x14ac:dyDescent="0.3">
      <c r="A447" t="s">
        <v>1310</v>
      </c>
      <c r="B447" s="1">
        <v>45674</v>
      </c>
      <c r="C447" t="s">
        <v>1311</v>
      </c>
      <c r="D447" t="s">
        <v>3227</v>
      </c>
      <c r="E447" s="1">
        <v>45677</v>
      </c>
      <c r="F447" t="s">
        <v>29</v>
      </c>
      <c r="G447" t="s">
        <v>27</v>
      </c>
      <c r="H447" t="s">
        <v>28</v>
      </c>
      <c r="I447" t="s">
        <v>2633</v>
      </c>
      <c r="J447" t="s">
        <v>99</v>
      </c>
      <c r="K447" t="s">
        <v>25</v>
      </c>
      <c r="L447">
        <v>42</v>
      </c>
      <c r="M447">
        <v>3</v>
      </c>
      <c r="N447">
        <v>30</v>
      </c>
      <c r="O447" t="s">
        <v>1312</v>
      </c>
      <c r="P447" t="s">
        <v>33</v>
      </c>
      <c r="Q447" t="s">
        <v>117</v>
      </c>
      <c r="R447" t="s">
        <v>71</v>
      </c>
      <c r="S447" t="s">
        <v>30</v>
      </c>
      <c r="T447">
        <v>3</v>
      </c>
      <c r="U447" s="5">
        <v>430.63</v>
      </c>
      <c r="V447" s="5">
        <v>670.52</v>
      </c>
      <c r="W447">
        <v>3</v>
      </c>
      <c r="X447" t="s">
        <v>34</v>
      </c>
      <c r="Y447">
        <v>2025</v>
      </c>
      <c r="Z447" t="str">
        <f>TEXT(Table1[[#This Row],[Order Date]],"MMM")</f>
        <v>Jan</v>
      </c>
      <c r="AA447" s="5">
        <f>Table1[[#This Row],[Unit Price]]*Table1[[#This Row],[Quantity]]*(1-Table1[[#This Row],[Discount %]]/100)</f>
        <v>904.32299999999987</v>
      </c>
      <c r="AB447" s="5">
        <f>Table1[[#This Row],[Sales]]-Table1[[#This Row],[Cost]]</f>
        <v>233.80299999999988</v>
      </c>
    </row>
    <row r="448" spans="1:28" x14ac:dyDescent="0.3">
      <c r="A448" t="s">
        <v>1313</v>
      </c>
      <c r="B448" s="1">
        <v>45938</v>
      </c>
      <c r="C448" t="s">
        <v>1314</v>
      </c>
      <c r="D448" t="s">
        <v>3228</v>
      </c>
      <c r="E448" s="1">
        <v>45944</v>
      </c>
      <c r="F448" t="s">
        <v>29</v>
      </c>
      <c r="G448" t="s">
        <v>27</v>
      </c>
      <c r="H448" t="s">
        <v>28</v>
      </c>
      <c r="I448" t="s">
        <v>2664</v>
      </c>
      <c r="J448" t="s">
        <v>2665</v>
      </c>
      <c r="K448" t="s">
        <v>25</v>
      </c>
      <c r="L448">
        <v>49</v>
      </c>
      <c r="M448">
        <v>2</v>
      </c>
      <c r="N448">
        <v>25</v>
      </c>
      <c r="O448" t="s">
        <v>1315</v>
      </c>
      <c r="P448" t="s">
        <v>44</v>
      </c>
      <c r="Q448" t="s">
        <v>31</v>
      </c>
      <c r="R448" t="s">
        <v>62</v>
      </c>
      <c r="S448" t="s">
        <v>30</v>
      </c>
      <c r="T448">
        <v>5</v>
      </c>
      <c r="U448" s="5">
        <v>646.66999999999996</v>
      </c>
      <c r="V448" s="5">
        <v>720.77</v>
      </c>
      <c r="W448">
        <v>6</v>
      </c>
      <c r="X448" t="s">
        <v>94</v>
      </c>
      <c r="Y448">
        <v>2025</v>
      </c>
      <c r="Z448" t="str">
        <f>TEXT(Table1[[#This Row],[Order Date]],"MMM")</f>
        <v>Oct</v>
      </c>
      <c r="AA448" s="5">
        <f>Table1[[#This Row],[Unit Price]]*Table1[[#This Row],[Quantity]]*(1-Table1[[#This Row],[Discount %]]/100)</f>
        <v>970.00499999999988</v>
      </c>
      <c r="AB448" s="5">
        <f>Table1[[#This Row],[Sales]]-Table1[[#This Row],[Cost]]</f>
        <v>249.2349999999999</v>
      </c>
    </row>
    <row r="449" spans="1:28" x14ac:dyDescent="0.3">
      <c r="A449" t="s">
        <v>1316</v>
      </c>
      <c r="B449" s="1">
        <v>46072</v>
      </c>
      <c r="C449" t="s">
        <v>1317</v>
      </c>
      <c r="D449" t="s">
        <v>3229</v>
      </c>
      <c r="E449" s="1">
        <v>46075</v>
      </c>
      <c r="F449" t="s">
        <v>122</v>
      </c>
      <c r="G449" t="s">
        <v>120</v>
      </c>
      <c r="H449" t="s">
        <v>121</v>
      </c>
      <c r="I449" t="s">
        <v>2650</v>
      </c>
      <c r="J449" t="s">
        <v>2698</v>
      </c>
      <c r="K449" t="s">
        <v>25</v>
      </c>
      <c r="L449">
        <v>51</v>
      </c>
      <c r="M449">
        <v>3</v>
      </c>
      <c r="N449">
        <v>15</v>
      </c>
      <c r="O449" t="s">
        <v>1239</v>
      </c>
      <c r="P449" t="s">
        <v>44</v>
      </c>
      <c r="Q449" t="s">
        <v>117</v>
      </c>
      <c r="R449" t="s">
        <v>43</v>
      </c>
      <c r="S449" t="s">
        <v>123</v>
      </c>
      <c r="T449">
        <v>1</v>
      </c>
      <c r="U449" s="5">
        <v>757.07</v>
      </c>
      <c r="V449" s="5">
        <v>1626.13</v>
      </c>
      <c r="W449">
        <v>3</v>
      </c>
      <c r="X449" t="s">
        <v>34</v>
      </c>
      <c r="Y449">
        <v>2026</v>
      </c>
      <c r="Z449" t="str">
        <f>TEXT(Table1[[#This Row],[Order Date]],"MMM")</f>
        <v>Feb</v>
      </c>
      <c r="AA449" s="5">
        <f>Table1[[#This Row],[Unit Price]]*Table1[[#This Row],[Quantity]]*(1-Table1[[#This Row],[Discount %]]/100)</f>
        <v>1930.5284999999999</v>
      </c>
      <c r="AB449" s="5">
        <f>Table1[[#This Row],[Sales]]-Table1[[#This Row],[Cost]]</f>
        <v>304.39849999999979</v>
      </c>
    </row>
    <row r="450" spans="1:28" x14ac:dyDescent="0.3">
      <c r="A450" t="s">
        <v>1318</v>
      </c>
      <c r="B450" s="1">
        <v>45428</v>
      </c>
      <c r="C450" t="s">
        <v>1319</v>
      </c>
      <c r="D450" t="s">
        <v>3230</v>
      </c>
      <c r="E450" s="1">
        <v>45431</v>
      </c>
      <c r="F450" t="s">
        <v>122</v>
      </c>
      <c r="G450" t="s">
        <v>120</v>
      </c>
      <c r="H450" t="s">
        <v>121</v>
      </c>
      <c r="I450" t="s">
        <v>2628</v>
      </c>
      <c r="J450" t="s">
        <v>2711</v>
      </c>
      <c r="K450" t="s">
        <v>25</v>
      </c>
      <c r="L450">
        <v>52</v>
      </c>
      <c r="M450">
        <v>2</v>
      </c>
      <c r="N450">
        <v>25</v>
      </c>
      <c r="O450" t="s">
        <v>1320</v>
      </c>
      <c r="P450" t="s">
        <v>44</v>
      </c>
      <c r="Q450" t="s">
        <v>42</v>
      </c>
      <c r="R450" t="s">
        <v>43</v>
      </c>
      <c r="S450" t="s">
        <v>123</v>
      </c>
      <c r="T450">
        <v>1</v>
      </c>
      <c r="U450" s="5">
        <v>420.6</v>
      </c>
      <c r="V450" s="5">
        <v>415.71</v>
      </c>
      <c r="W450">
        <v>3</v>
      </c>
      <c r="X450" t="s">
        <v>49</v>
      </c>
      <c r="Y450">
        <v>2024</v>
      </c>
      <c r="Z450" t="str">
        <f>TEXT(Table1[[#This Row],[Order Date]],"MMM")</f>
        <v>May</v>
      </c>
      <c r="AA450" s="5">
        <f>Table1[[#This Row],[Unit Price]]*Table1[[#This Row],[Quantity]]*(1-Table1[[#This Row],[Discount %]]/100)</f>
        <v>630.90000000000009</v>
      </c>
      <c r="AB450" s="5">
        <f>Table1[[#This Row],[Sales]]-Table1[[#This Row],[Cost]]</f>
        <v>215.19000000000011</v>
      </c>
    </row>
    <row r="451" spans="1:28" x14ac:dyDescent="0.3">
      <c r="A451" t="s">
        <v>1321</v>
      </c>
      <c r="B451" s="1">
        <v>45350</v>
      </c>
      <c r="C451" t="s">
        <v>621</v>
      </c>
      <c r="D451" t="s">
        <v>3231</v>
      </c>
      <c r="E451" s="1">
        <v>45355</v>
      </c>
      <c r="F451" t="s">
        <v>56</v>
      </c>
      <c r="G451" t="s">
        <v>54</v>
      </c>
      <c r="H451" t="s">
        <v>55</v>
      </c>
      <c r="I451" t="s">
        <v>2627</v>
      </c>
      <c r="J451" t="s">
        <v>2707</v>
      </c>
      <c r="K451" t="s">
        <v>25</v>
      </c>
      <c r="L451">
        <v>45</v>
      </c>
      <c r="M451">
        <v>1</v>
      </c>
      <c r="N451">
        <v>30</v>
      </c>
      <c r="O451" t="s">
        <v>496</v>
      </c>
      <c r="P451" t="s">
        <v>33</v>
      </c>
      <c r="Q451" t="s">
        <v>31</v>
      </c>
      <c r="R451" t="s">
        <v>62</v>
      </c>
      <c r="S451" t="s">
        <v>57</v>
      </c>
      <c r="T451">
        <v>2</v>
      </c>
      <c r="U451" s="5">
        <v>339.11</v>
      </c>
      <c r="V451" s="5">
        <v>171.83</v>
      </c>
      <c r="W451">
        <v>5</v>
      </c>
      <c r="X451" t="s">
        <v>34</v>
      </c>
      <c r="Y451">
        <v>2024</v>
      </c>
      <c r="Z451" t="str">
        <f>TEXT(Table1[[#This Row],[Order Date]],"MMM")</f>
        <v>Feb</v>
      </c>
      <c r="AA451" s="5">
        <f>Table1[[#This Row],[Unit Price]]*Table1[[#This Row],[Quantity]]*(1-Table1[[#This Row],[Discount %]]/100)</f>
        <v>237.37699999999998</v>
      </c>
      <c r="AB451" s="5">
        <f>Table1[[#This Row],[Sales]]-Table1[[#This Row],[Cost]]</f>
        <v>65.546999999999969</v>
      </c>
    </row>
    <row r="452" spans="1:28" x14ac:dyDescent="0.3">
      <c r="A452" t="s">
        <v>1322</v>
      </c>
      <c r="B452" s="1">
        <v>45761</v>
      </c>
      <c r="C452" t="s">
        <v>1323</v>
      </c>
      <c r="D452" t="s">
        <v>3232</v>
      </c>
      <c r="E452" s="1">
        <v>45764</v>
      </c>
      <c r="F452" t="s">
        <v>56</v>
      </c>
      <c r="G452" t="s">
        <v>54</v>
      </c>
      <c r="H452" t="s">
        <v>55</v>
      </c>
      <c r="I452" t="s">
        <v>2629</v>
      </c>
      <c r="J452" t="s">
        <v>2632</v>
      </c>
      <c r="K452" t="s">
        <v>25</v>
      </c>
      <c r="L452">
        <v>37</v>
      </c>
      <c r="M452">
        <v>2</v>
      </c>
      <c r="N452">
        <v>15</v>
      </c>
      <c r="O452" t="s">
        <v>1324</v>
      </c>
      <c r="P452" t="s">
        <v>44</v>
      </c>
      <c r="Q452" t="s">
        <v>70</v>
      </c>
      <c r="R452" t="s">
        <v>43</v>
      </c>
      <c r="S452" t="s">
        <v>57</v>
      </c>
      <c r="T452">
        <v>1</v>
      </c>
      <c r="U452" s="5">
        <v>497.2</v>
      </c>
      <c r="V452" s="5">
        <v>674.38</v>
      </c>
      <c r="W452">
        <v>3</v>
      </c>
      <c r="X452" t="s">
        <v>49</v>
      </c>
      <c r="Y452">
        <v>2025</v>
      </c>
      <c r="Z452" t="str">
        <f>TEXT(Table1[[#This Row],[Order Date]],"MMM")</f>
        <v>Apr</v>
      </c>
      <c r="AA452" s="5">
        <f>Table1[[#This Row],[Unit Price]]*Table1[[#This Row],[Quantity]]*(1-Table1[[#This Row],[Discount %]]/100)</f>
        <v>845.24</v>
      </c>
      <c r="AB452" s="5">
        <f>Table1[[#This Row],[Sales]]-Table1[[#This Row],[Cost]]</f>
        <v>170.86</v>
      </c>
    </row>
    <row r="453" spans="1:28" x14ac:dyDescent="0.3">
      <c r="A453" t="s">
        <v>1325</v>
      </c>
      <c r="B453" s="1">
        <v>45962</v>
      </c>
      <c r="C453" t="s">
        <v>1326</v>
      </c>
      <c r="D453" t="s">
        <v>3233</v>
      </c>
      <c r="E453" s="1">
        <v>45966</v>
      </c>
      <c r="F453" t="s">
        <v>56</v>
      </c>
      <c r="G453" t="s">
        <v>54</v>
      </c>
      <c r="H453" t="s">
        <v>55</v>
      </c>
      <c r="I453" t="s">
        <v>2664</v>
      </c>
      <c r="J453" t="s">
        <v>2665</v>
      </c>
      <c r="K453" t="s">
        <v>25</v>
      </c>
      <c r="L453">
        <v>29</v>
      </c>
      <c r="M453">
        <v>2</v>
      </c>
      <c r="N453">
        <v>10</v>
      </c>
      <c r="O453" t="s">
        <v>1327</v>
      </c>
      <c r="P453" t="s">
        <v>75</v>
      </c>
      <c r="Q453" t="s">
        <v>117</v>
      </c>
      <c r="R453" t="s">
        <v>32</v>
      </c>
      <c r="S453" t="s">
        <v>57</v>
      </c>
      <c r="T453">
        <v>4</v>
      </c>
      <c r="U453" s="5">
        <v>505.63</v>
      </c>
      <c r="V453" s="5">
        <v>757.56</v>
      </c>
      <c r="W453">
        <v>4</v>
      </c>
      <c r="X453" t="s">
        <v>94</v>
      </c>
      <c r="Y453">
        <v>2025</v>
      </c>
      <c r="Z453" t="str">
        <f>TEXT(Table1[[#This Row],[Order Date]],"MMM")</f>
        <v>Nov</v>
      </c>
      <c r="AA453" s="5">
        <f>Table1[[#This Row],[Unit Price]]*Table1[[#This Row],[Quantity]]*(1-Table1[[#This Row],[Discount %]]/100)</f>
        <v>910.13400000000001</v>
      </c>
      <c r="AB453" s="5">
        <f>Table1[[#This Row],[Sales]]-Table1[[#This Row],[Cost]]</f>
        <v>152.57400000000007</v>
      </c>
    </row>
    <row r="454" spans="1:28" x14ac:dyDescent="0.3">
      <c r="A454" t="s">
        <v>1328</v>
      </c>
      <c r="B454" s="1">
        <v>45896</v>
      </c>
      <c r="C454" t="s">
        <v>1329</v>
      </c>
      <c r="D454" t="s">
        <v>3234</v>
      </c>
      <c r="E454" s="1">
        <v>45899</v>
      </c>
      <c r="F454" t="s">
        <v>68</v>
      </c>
      <c r="G454" t="s">
        <v>66</v>
      </c>
      <c r="H454" t="s">
        <v>67</v>
      </c>
      <c r="I454" t="s">
        <v>2637</v>
      </c>
      <c r="J454" t="s">
        <v>2688</v>
      </c>
      <c r="K454" t="s">
        <v>25</v>
      </c>
      <c r="L454">
        <v>18</v>
      </c>
      <c r="M454">
        <v>1</v>
      </c>
      <c r="N454">
        <v>10</v>
      </c>
      <c r="O454" t="s">
        <v>1000</v>
      </c>
      <c r="P454" t="s">
        <v>33</v>
      </c>
      <c r="Q454" t="s">
        <v>31</v>
      </c>
      <c r="R454" t="s">
        <v>32</v>
      </c>
      <c r="S454" t="s">
        <v>69</v>
      </c>
      <c r="T454">
        <v>3</v>
      </c>
      <c r="U454" s="5">
        <v>735.22</v>
      </c>
      <c r="V454" s="5">
        <v>410.44</v>
      </c>
      <c r="W454">
        <v>3</v>
      </c>
      <c r="X454" t="s">
        <v>45</v>
      </c>
      <c r="Y454">
        <v>2025</v>
      </c>
      <c r="Z454" t="str">
        <f>TEXT(Table1[[#This Row],[Order Date]],"MMM")</f>
        <v>Aug</v>
      </c>
      <c r="AA454" s="5">
        <f>Table1[[#This Row],[Unit Price]]*Table1[[#This Row],[Quantity]]*(1-Table1[[#This Row],[Discount %]]/100)</f>
        <v>661.69800000000009</v>
      </c>
      <c r="AB454" s="5">
        <f>Table1[[#This Row],[Sales]]-Table1[[#This Row],[Cost]]</f>
        <v>251.2580000000001</v>
      </c>
    </row>
    <row r="455" spans="1:28" x14ac:dyDescent="0.3">
      <c r="A455" t="s">
        <v>1330</v>
      </c>
      <c r="B455" s="1">
        <v>45519</v>
      </c>
      <c r="C455" t="s">
        <v>1331</v>
      </c>
      <c r="D455" t="s">
        <v>3235</v>
      </c>
      <c r="E455" s="1">
        <v>45525</v>
      </c>
      <c r="F455" t="s">
        <v>68</v>
      </c>
      <c r="G455" t="s">
        <v>66</v>
      </c>
      <c r="H455" t="s">
        <v>67</v>
      </c>
      <c r="I455" t="s">
        <v>2625</v>
      </c>
      <c r="J455" t="s">
        <v>2685</v>
      </c>
      <c r="K455" t="s">
        <v>52</v>
      </c>
      <c r="L455">
        <v>65</v>
      </c>
      <c r="M455">
        <v>3</v>
      </c>
      <c r="N455">
        <v>5</v>
      </c>
      <c r="O455" t="s">
        <v>270</v>
      </c>
      <c r="P455" t="s">
        <v>33</v>
      </c>
      <c r="Q455" t="s">
        <v>31</v>
      </c>
      <c r="R455" t="s">
        <v>62</v>
      </c>
      <c r="S455" t="s">
        <v>69</v>
      </c>
      <c r="T455">
        <v>4</v>
      </c>
      <c r="U455" s="5">
        <v>527.65</v>
      </c>
      <c r="V455" s="5">
        <v>1144.55</v>
      </c>
      <c r="W455">
        <v>6</v>
      </c>
      <c r="X455" t="s">
        <v>45</v>
      </c>
      <c r="Y455">
        <v>2024</v>
      </c>
      <c r="Z455" t="str">
        <f>TEXT(Table1[[#This Row],[Order Date]],"MMM")</f>
        <v>Aug</v>
      </c>
      <c r="AA455" s="5">
        <f>Table1[[#This Row],[Unit Price]]*Table1[[#This Row],[Quantity]]*(1-Table1[[#This Row],[Discount %]]/100)</f>
        <v>1503.8024999999998</v>
      </c>
      <c r="AB455" s="5">
        <f>Table1[[#This Row],[Sales]]-Table1[[#This Row],[Cost]]</f>
        <v>359.25249999999983</v>
      </c>
    </row>
    <row r="456" spans="1:28" x14ac:dyDescent="0.3">
      <c r="A456" t="s">
        <v>1332</v>
      </c>
      <c r="B456" s="1">
        <v>46041</v>
      </c>
      <c r="C456" t="s">
        <v>1333</v>
      </c>
      <c r="D456" t="s">
        <v>3236</v>
      </c>
      <c r="E456" s="1">
        <v>46043</v>
      </c>
      <c r="F456" t="s">
        <v>29</v>
      </c>
      <c r="G456" t="s">
        <v>27</v>
      </c>
      <c r="H456" t="s">
        <v>28</v>
      </c>
      <c r="I456" t="s">
        <v>2675</v>
      </c>
      <c r="J456" t="s">
        <v>2703</v>
      </c>
      <c r="K456" t="s">
        <v>52</v>
      </c>
      <c r="L456">
        <v>28</v>
      </c>
      <c r="M456">
        <v>1</v>
      </c>
      <c r="N456">
        <v>20</v>
      </c>
      <c r="O456" t="s">
        <v>794</v>
      </c>
      <c r="P456" t="s">
        <v>44</v>
      </c>
      <c r="Q456" t="s">
        <v>117</v>
      </c>
      <c r="R456" t="s">
        <v>71</v>
      </c>
      <c r="S456" t="s">
        <v>30</v>
      </c>
      <c r="T456">
        <v>2</v>
      </c>
      <c r="U456" s="5">
        <v>855.81</v>
      </c>
      <c r="V456" s="5">
        <v>567.19000000000005</v>
      </c>
      <c r="W456">
        <v>2</v>
      </c>
      <c r="X456" t="s">
        <v>34</v>
      </c>
      <c r="Y456">
        <v>2026</v>
      </c>
      <c r="Z456" t="str">
        <f>TEXT(Table1[[#This Row],[Order Date]],"MMM")</f>
        <v>Jan</v>
      </c>
      <c r="AA456" s="5">
        <f>Table1[[#This Row],[Unit Price]]*Table1[[#This Row],[Quantity]]*(1-Table1[[#This Row],[Discount %]]/100)</f>
        <v>684.64800000000002</v>
      </c>
      <c r="AB456" s="5">
        <f>Table1[[#This Row],[Sales]]-Table1[[#This Row],[Cost]]</f>
        <v>117.45799999999997</v>
      </c>
    </row>
    <row r="457" spans="1:28" x14ac:dyDescent="0.3">
      <c r="A457" t="s">
        <v>1334</v>
      </c>
      <c r="B457" s="1">
        <v>45492</v>
      </c>
      <c r="C457" t="s">
        <v>1335</v>
      </c>
      <c r="D457" t="s">
        <v>3237</v>
      </c>
      <c r="E457" s="1">
        <v>45498</v>
      </c>
      <c r="F457" t="s">
        <v>122</v>
      </c>
      <c r="G457" t="s">
        <v>120</v>
      </c>
      <c r="H457" t="s">
        <v>121</v>
      </c>
      <c r="I457" t="s">
        <v>2629</v>
      </c>
      <c r="J457" t="s">
        <v>2674</v>
      </c>
      <c r="K457" t="s">
        <v>25</v>
      </c>
      <c r="L457">
        <v>34</v>
      </c>
      <c r="M457">
        <v>3</v>
      </c>
      <c r="N457">
        <v>30</v>
      </c>
      <c r="O457" t="s">
        <v>1336</v>
      </c>
      <c r="P457" t="s">
        <v>44</v>
      </c>
      <c r="Q457" t="s">
        <v>42</v>
      </c>
      <c r="R457" t="s">
        <v>71</v>
      </c>
      <c r="S457" t="s">
        <v>123</v>
      </c>
      <c r="T457">
        <v>5</v>
      </c>
      <c r="U457" s="5">
        <v>393.03</v>
      </c>
      <c r="V457" s="5">
        <v>582.88</v>
      </c>
      <c r="W457">
        <v>6</v>
      </c>
      <c r="X457" t="s">
        <v>45</v>
      </c>
      <c r="Y457">
        <v>2024</v>
      </c>
      <c r="Z457" t="str">
        <f>TEXT(Table1[[#This Row],[Order Date]],"MMM")</f>
        <v>Jul</v>
      </c>
      <c r="AA457" s="5">
        <f>Table1[[#This Row],[Unit Price]]*Table1[[#This Row],[Quantity]]*(1-Table1[[#This Row],[Discount %]]/100)</f>
        <v>825.36299999999994</v>
      </c>
      <c r="AB457" s="5">
        <f>Table1[[#This Row],[Sales]]-Table1[[#This Row],[Cost]]</f>
        <v>242.48299999999995</v>
      </c>
    </row>
    <row r="458" spans="1:28" x14ac:dyDescent="0.3">
      <c r="A458" t="s">
        <v>1337</v>
      </c>
      <c r="B458" s="1">
        <v>45337</v>
      </c>
      <c r="C458" t="s">
        <v>1338</v>
      </c>
      <c r="D458" t="s">
        <v>3238</v>
      </c>
      <c r="E458" s="1">
        <v>45341</v>
      </c>
      <c r="F458" t="s">
        <v>56</v>
      </c>
      <c r="G458" t="s">
        <v>54</v>
      </c>
      <c r="H458" t="s">
        <v>55</v>
      </c>
      <c r="I458" t="s">
        <v>2629</v>
      </c>
      <c r="J458" t="s">
        <v>2691</v>
      </c>
      <c r="K458" t="s">
        <v>25</v>
      </c>
      <c r="L458">
        <v>51</v>
      </c>
      <c r="M458">
        <v>1</v>
      </c>
      <c r="N458">
        <v>30</v>
      </c>
      <c r="O458" t="s">
        <v>1339</v>
      </c>
      <c r="P458" t="s">
        <v>44</v>
      </c>
      <c r="Q458" t="s">
        <v>117</v>
      </c>
      <c r="R458" t="s">
        <v>71</v>
      </c>
      <c r="S458" t="s">
        <v>57</v>
      </c>
      <c r="T458">
        <v>5</v>
      </c>
      <c r="U458" s="5">
        <v>315.14</v>
      </c>
      <c r="V458" s="5">
        <v>183.4</v>
      </c>
      <c r="W458">
        <v>4</v>
      </c>
      <c r="X458" t="s">
        <v>34</v>
      </c>
      <c r="Y458">
        <v>2024</v>
      </c>
      <c r="Z458" t="str">
        <f>TEXT(Table1[[#This Row],[Order Date]],"MMM")</f>
        <v>Feb</v>
      </c>
      <c r="AA458" s="5">
        <f>Table1[[#This Row],[Unit Price]]*Table1[[#This Row],[Quantity]]*(1-Table1[[#This Row],[Discount %]]/100)</f>
        <v>220.59799999999998</v>
      </c>
      <c r="AB458" s="5">
        <f>Table1[[#This Row],[Sales]]-Table1[[#This Row],[Cost]]</f>
        <v>37.197999999999979</v>
      </c>
    </row>
    <row r="459" spans="1:28" x14ac:dyDescent="0.3">
      <c r="A459" t="s">
        <v>1340</v>
      </c>
      <c r="B459" s="1">
        <v>45396</v>
      </c>
      <c r="C459" t="s">
        <v>1341</v>
      </c>
      <c r="D459" t="s">
        <v>3239</v>
      </c>
      <c r="E459" s="1">
        <v>45399</v>
      </c>
      <c r="F459" t="s">
        <v>128</v>
      </c>
      <c r="G459" t="s">
        <v>98</v>
      </c>
      <c r="H459" t="s">
        <v>127</v>
      </c>
      <c r="I459" t="s">
        <v>2619</v>
      </c>
      <c r="J459" t="s">
        <v>2687</v>
      </c>
      <c r="K459" t="s">
        <v>52</v>
      </c>
      <c r="L459">
        <v>50</v>
      </c>
      <c r="M459">
        <v>1</v>
      </c>
      <c r="N459">
        <v>15</v>
      </c>
      <c r="O459" t="s">
        <v>563</v>
      </c>
      <c r="P459" t="s">
        <v>44</v>
      </c>
      <c r="Q459" t="s">
        <v>31</v>
      </c>
      <c r="R459" t="s">
        <v>43</v>
      </c>
      <c r="S459" t="s">
        <v>129</v>
      </c>
      <c r="T459">
        <v>4</v>
      </c>
      <c r="U459" s="5">
        <v>122.66</v>
      </c>
      <c r="V459" s="5">
        <v>70.790000000000006</v>
      </c>
      <c r="W459">
        <v>3</v>
      </c>
      <c r="X459" t="s">
        <v>49</v>
      </c>
      <c r="Y459">
        <v>2024</v>
      </c>
      <c r="Z459" t="str">
        <f>TEXT(Table1[[#This Row],[Order Date]],"MMM")</f>
        <v>Apr</v>
      </c>
      <c r="AA459" s="5">
        <f>Table1[[#This Row],[Unit Price]]*Table1[[#This Row],[Quantity]]*(1-Table1[[#This Row],[Discount %]]/100)</f>
        <v>104.261</v>
      </c>
      <c r="AB459" s="5">
        <f>Table1[[#This Row],[Sales]]-Table1[[#This Row],[Cost]]</f>
        <v>33.470999999999989</v>
      </c>
    </row>
    <row r="460" spans="1:28" x14ac:dyDescent="0.3">
      <c r="A460" t="s">
        <v>1342</v>
      </c>
      <c r="B460" s="1">
        <v>45755</v>
      </c>
      <c r="C460" t="s">
        <v>1343</v>
      </c>
      <c r="D460" t="s">
        <v>3240</v>
      </c>
      <c r="E460" s="1">
        <v>45759</v>
      </c>
      <c r="F460" t="s">
        <v>68</v>
      </c>
      <c r="G460" t="s">
        <v>66</v>
      </c>
      <c r="H460" t="s">
        <v>67</v>
      </c>
      <c r="I460" t="s">
        <v>2637</v>
      </c>
      <c r="J460" t="s">
        <v>2709</v>
      </c>
      <c r="K460" t="s">
        <v>52</v>
      </c>
      <c r="L460">
        <v>31</v>
      </c>
      <c r="M460">
        <v>5</v>
      </c>
      <c r="N460">
        <v>30</v>
      </c>
      <c r="O460" t="s">
        <v>1344</v>
      </c>
      <c r="P460" t="s">
        <v>33</v>
      </c>
      <c r="Q460" t="s">
        <v>42</v>
      </c>
      <c r="R460" t="s">
        <v>43</v>
      </c>
      <c r="S460" t="s">
        <v>69</v>
      </c>
      <c r="T460">
        <v>4</v>
      </c>
      <c r="U460" s="5">
        <v>848.44</v>
      </c>
      <c r="V460" s="5">
        <v>2269.38</v>
      </c>
      <c r="W460">
        <v>4</v>
      </c>
      <c r="X460" t="s">
        <v>49</v>
      </c>
      <c r="Y460">
        <v>2025</v>
      </c>
      <c r="Z460" t="str">
        <f>TEXT(Table1[[#This Row],[Order Date]],"MMM")</f>
        <v>Apr</v>
      </c>
      <c r="AA460" s="5">
        <f>Table1[[#This Row],[Unit Price]]*Table1[[#This Row],[Quantity]]*(1-Table1[[#This Row],[Discount %]]/100)</f>
        <v>2969.5400000000004</v>
      </c>
      <c r="AB460" s="5">
        <f>Table1[[#This Row],[Sales]]-Table1[[#This Row],[Cost]]</f>
        <v>700.16000000000031</v>
      </c>
    </row>
    <row r="461" spans="1:28" x14ac:dyDescent="0.3">
      <c r="A461" t="s">
        <v>1345</v>
      </c>
      <c r="B461" s="1">
        <v>45359</v>
      </c>
      <c r="C461" t="s">
        <v>1346</v>
      </c>
      <c r="D461" t="s">
        <v>3241</v>
      </c>
      <c r="E461" s="1">
        <v>45366</v>
      </c>
      <c r="F461" t="s">
        <v>29</v>
      </c>
      <c r="G461" t="s">
        <v>27</v>
      </c>
      <c r="H461" t="s">
        <v>28</v>
      </c>
      <c r="I461" t="s">
        <v>2625</v>
      </c>
      <c r="J461" t="s">
        <v>2626</v>
      </c>
      <c r="K461" t="s">
        <v>52</v>
      </c>
      <c r="L461">
        <v>21</v>
      </c>
      <c r="M461">
        <v>3</v>
      </c>
      <c r="N461">
        <v>25</v>
      </c>
      <c r="O461" t="s">
        <v>558</v>
      </c>
      <c r="P461" t="s">
        <v>44</v>
      </c>
      <c r="Q461" t="s">
        <v>70</v>
      </c>
      <c r="R461" t="s">
        <v>71</v>
      </c>
      <c r="S461" t="s">
        <v>30</v>
      </c>
      <c r="T461">
        <v>2</v>
      </c>
      <c r="U461" s="5">
        <v>257.37</v>
      </c>
      <c r="V461" s="5">
        <v>403.05</v>
      </c>
      <c r="W461">
        <v>7</v>
      </c>
      <c r="X461" t="s">
        <v>34</v>
      </c>
      <c r="Y461">
        <v>2024</v>
      </c>
      <c r="Z461" t="str">
        <f>TEXT(Table1[[#This Row],[Order Date]],"MMM")</f>
        <v>Mar</v>
      </c>
      <c r="AA461" s="5">
        <f>Table1[[#This Row],[Unit Price]]*Table1[[#This Row],[Quantity]]*(1-Table1[[#This Row],[Discount %]]/100)</f>
        <v>579.08249999999998</v>
      </c>
      <c r="AB461" s="5">
        <f>Table1[[#This Row],[Sales]]-Table1[[#This Row],[Cost]]</f>
        <v>176.03249999999997</v>
      </c>
    </row>
    <row r="462" spans="1:28" x14ac:dyDescent="0.3">
      <c r="A462" t="s">
        <v>1347</v>
      </c>
      <c r="B462" s="1">
        <v>45533</v>
      </c>
      <c r="C462" t="s">
        <v>1348</v>
      </c>
      <c r="D462" t="s">
        <v>3242</v>
      </c>
      <c r="E462" s="1">
        <v>45539</v>
      </c>
      <c r="F462" t="s">
        <v>122</v>
      </c>
      <c r="G462" t="s">
        <v>120</v>
      </c>
      <c r="H462" t="s">
        <v>121</v>
      </c>
      <c r="I462" t="s">
        <v>2633</v>
      </c>
      <c r="J462" t="s">
        <v>2645</v>
      </c>
      <c r="K462" t="s">
        <v>52</v>
      </c>
      <c r="L462">
        <v>43</v>
      </c>
      <c r="M462">
        <v>3</v>
      </c>
      <c r="N462">
        <v>5</v>
      </c>
      <c r="O462" t="s">
        <v>871</v>
      </c>
      <c r="P462" t="s">
        <v>33</v>
      </c>
      <c r="Q462" t="s">
        <v>70</v>
      </c>
      <c r="R462" t="s">
        <v>71</v>
      </c>
      <c r="S462" t="s">
        <v>123</v>
      </c>
      <c r="T462">
        <v>3</v>
      </c>
      <c r="U462" s="5">
        <v>913.04</v>
      </c>
      <c r="V462" s="5">
        <v>1778.64</v>
      </c>
      <c r="W462">
        <v>6</v>
      </c>
      <c r="X462" t="s">
        <v>45</v>
      </c>
      <c r="Y462">
        <v>2024</v>
      </c>
      <c r="Z462" t="str">
        <f>TEXT(Table1[[#This Row],[Order Date]],"MMM")</f>
        <v>Aug</v>
      </c>
      <c r="AA462" s="5">
        <f>Table1[[#This Row],[Unit Price]]*Table1[[#This Row],[Quantity]]*(1-Table1[[#This Row],[Discount %]]/100)</f>
        <v>2602.1639999999998</v>
      </c>
      <c r="AB462" s="5">
        <f>Table1[[#This Row],[Sales]]-Table1[[#This Row],[Cost]]</f>
        <v>823.52399999999966</v>
      </c>
    </row>
    <row r="463" spans="1:28" x14ac:dyDescent="0.3">
      <c r="A463" t="s">
        <v>1349</v>
      </c>
      <c r="B463" s="1">
        <v>45714</v>
      </c>
      <c r="C463" t="s">
        <v>1350</v>
      </c>
      <c r="D463" t="s">
        <v>3243</v>
      </c>
      <c r="E463" s="1">
        <v>45718</v>
      </c>
      <c r="F463" t="s">
        <v>56</v>
      </c>
      <c r="G463" t="s">
        <v>54</v>
      </c>
      <c r="H463" t="s">
        <v>55</v>
      </c>
      <c r="I463" t="s">
        <v>2623</v>
      </c>
      <c r="J463" t="s">
        <v>2694</v>
      </c>
      <c r="K463" t="s">
        <v>25</v>
      </c>
      <c r="L463">
        <v>34</v>
      </c>
      <c r="M463">
        <v>1</v>
      </c>
      <c r="N463">
        <v>10</v>
      </c>
      <c r="O463" t="s">
        <v>1351</v>
      </c>
      <c r="P463" t="s">
        <v>33</v>
      </c>
      <c r="Q463" t="s">
        <v>31</v>
      </c>
      <c r="R463" t="s">
        <v>71</v>
      </c>
      <c r="S463" t="s">
        <v>57</v>
      </c>
      <c r="T463">
        <v>1</v>
      </c>
      <c r="U463" s="5">
        <v>154.31</v>
      </c>
      <c r="V463" s="5">
        <v>75.88</v>
      </c>
      <c r="W463">
        <v>4</v>
      </c>
      <c r="X463" t="s">
        <v>34</v>
      </c>
      <c r="Y463">
        <v>2025</v>
      </c>
      <c r="Z463" t="str">
        <f>TEXT(Table1[[#This Row],[Order Date]],"MMM")</f>
        <v>Feb</v>
      </c>
      <c r="AA463" s="5">
        <f>Table1[[#This Row],[Unit Price]]*Table1[[#This Row],[Quantity]]*(1-Table1[[#This Row],[Discount %]]/100)</f>
        <v>138.87900000000002</v>
      </c>
      <c r="AB463" s="5">
        <f>Table1[[#This Row],[Sales]]-Table1[[#This Row],[Cost]]</f>
        <v>62.999000000000024</v>
      </c>
    </row>
    <row r="464" spans="1:28" x14ac:dyDescent="0.3">
      <c r="A464" t="s">
        <v>1352</v>
      </c>
      <c r="B464" s="1">
        <v>45946</v>
      </c>
      <c r="C464" t="s">
        <v>1353</v>
      </c>
      <c r="D464" t="s">
        <v>3244</v>
      </c>
      <c r="E464" s="1">
        <v>45947</v>
      </c>
      <c r="F464" t="s">
        <v>100</v>
      </c>
      <c r="G464" t="s">
        <v>98</v>
      </c>
      <c r="H464" t="s">
        <v>99</v>
      </c>
      <c r="I464" t="s">
        <v>2625</v>
      </c>
      <c r="J464" t="s">
        <v>2705</v>
      </c>
      <c r="K464" t="s">
        <v>25</v>
      </c>
      <c r="L464">
        <v>47</v>
      </c>
      <c r="M464">
        <v>2</v>
      </c>
      <c r="N464">
        <v>30</v>
      </c>
      <c r="O464" t="s">
        <v>706</v>
      </c>
      <c r="P464" t="s">
        <v>44</v>
      </c>
      <c r="Q464" t="s">
        <v>58</v>
      </c>
      <c r="R464" t="s">
        <v>43</v>
      </c>
      <c r="S464" t="s">
        <v>101</v>
      </c>
      <c r="T464">
        <v>3</v>
      </c>
      <c r="U464" s="5">
        <v>232.46</v>
      </c>
      <c r="V464" s="5">
        <v>213.6</v>
      </c>
      <c r="W464">
        <v>1</v>
      </c>
      <c r="X464" t="s">
        <v>94</v>
      </c>
      <c r="Y464">
        <v>2025</v>
      </c>
      <c r="Z464" t="str">
        <f>TEXT(Table1[[#This Row],[Order Date]],"MMM")</f>
        <v>Oct</v>
      </c>
      <c r="AA464" s="5">
        <f>Table1[[#This Row],[Unit Price]]*Table1[[#This Row],[Quantity]]*(1-Table1[[#This Row],[Discount %]]/100)</f>
        <v>325.44400000000002</v>
      </c>
      <c r="AB464" s="5">
        <f>Table1[[#This Row],[Sales]]-Table1[[#This Row],[Cost]]</f>
        <v>111.84400000000002</v>
      </c>
    </row>
    <row r="465" spans="1:28" x14ac:dyDescent="0.3">
      <c r="A465" t="s">
        <v>1354</v>
      </c>
      <c r="B465" s="1">
        <v>45614</v>
      </c>
      <c r="C465" t="s">
        <v>1355</v>
      </c>
      <c r="D465" t="s">
        <v>3245</v>
      </c>
      <c r="E465" s="1">
        <v>45615</v>
      </c>
      <c r="F465" t="s">
        <v>56</v>
      </c>
      <c r="G465" t="s">
        <v>54</v>
      </c>
      <c r="H465" t="s">
        <v>55</v>
      </c>
      <c r="I465" t="s">
        <v>2621</v>
      </c>
      <c r="J465" t="s">
        <v>2663</v>
      </c>
      <c r="K465" t="s">
        <v>25</v>
      </c>
      <c r="L465">
        <v>39</v>
      </c>
      <c r="M465">
        <v>2</v>
      </c>
      <c r="N465">
        <v>10</v>
      </c>
      <c r="O465" t="s">
        <v>1356</v>
      </c>
      <c r="P465" t="s">
        <v>33</v>
      </c>
      <c r="Q465" t="s">
        <v>70</v>
      </c>
      <c r="R465" t="s">
        <v>43</v>
      </c>
      <c r="S465" t="s">
        <v>57</v>
      </c>
      <c r="T465">
        <v>4</v>
      </c>
      <c r="U465" s="5">
        <v>839.88</v>
      </c>
      <c r="V465" s="5">
        <v>1026.07</v>
      </c>
      <c r="W465">
        <v>1</v>
      </c>
      <c r="X465" t="s">
        <v>94</v>
      </c>
      <c r="Y465">
        <v>2024</v>
      </c>
      <c r="Z465" t="str">
        <f>TEXT(Table1[[#This Row],[Order Date]],"MMM")</f>
        <v>Nov</v>
      </c>
      <c r="AA465" s="5">
        <f>Table1[[#This Row],[Unit Price]]*Table1[[#This Row],[Quantity]]*(1-Table1[[#This Row],[Discount %]]/100)</f>
        <v>1511.7840000000001</v>
      </c>
      <c r="AB465" s="5">
        <f>Table1[[#This Row],[Sales]]-Table1[[#This Row],[Cost]]</f>
        <v>485.71400000000017</v>
      </c>
    </row>
    <row r="466" spans="1:28" x14ac:dyDescent="0.3">
      <c r="A466" t="s">
        <v>1357</v>
      </c>
      <c r="B466" s="1">
        <v>45531</v>
      </c>
      <c r="C466" t="s">
        <v>1358</v>
      </c>
      <c r="D466" t="s">
        <v>3246</v>
      </c>
      <c r="E466" s="1">
        <v>45533</v>
      </c>
      <c r="F466" t="s">
        <v>100</v>
      </c>
      <c r="G466" t="s">
        <v>98</v>
      </c>
      <c r="H466" t="s">
        <v>99</v>
      </c>
      <c r="I466" t="s">
        <v>2671</v>
      </c>
      <c r="J466" t="s">
        <v>2706</v>
      </c>
      <c r="K466" t="s">
        <v>52</v>
      </c>
      <c r="L466">
        <v>36</v>
      </c>
      <c r="M466">
        <v>2</v>
      </c>
      <c r="N466">
        <v>30</v>
      </c>
      <c r="O466" t="s">
        <v>1359</v>
      </c>
      <c r="P466" t="s">
        <v>75</v>
      </c>
      <c r="Q466" t="s">
        <v>58</v>
      </c>
      <c r="R466" t="s">
        <v>43</v>
      </c>
      <c r="S466" t="s">
        <v>101</v>
      </c>
      <c r="T466">
        <v>4</v>
      </c>
      <c r="U466" s="5">
        <v>216.48</v>
      </c>
      <c r="V466" s="5">
        <v>184.21</v>
      </c>
      <c r="W466">
        <v>2</v>
      </c>
      <c r="X466" t="s">
        <v>45</v>
      </c>
      <c r="Y466">
        <v>2024</v>
      </c>
      <c r="Z466" t="str">
        <f>TEXT(Table1[[#This Row],[Order Date]],"MMM")</f>
        <v>Aug</v>
      </c>
      <c r="AA466" s="5">
        <f>Table1[[#This Row],[Unit Price]]*Table1[[#This Row],[Quantity]]*(1-Table1[[#This Row],[Discount %]]/100)</f>
        <v>303.07199999999995</v>
      </c>
      <c r="AB466" s="5">
        <f>Table1[[#This Row],[Sales]]-Table1[[#This Row],[Cost]]</f>
        <v>118.86199999999994</v>
      </c>
    </row>
    <row r="467" spans="1:28" x14ac:dyDescent="0.3">
      <c r="A467" t="s">
        <v>1360</v>
      </c>
      <c r="B467" s="1">
        <v>45635</v>
      </c>
      <c r="C467" t="s">
        <v>1361</v>
      </c>
      <c r="D467" t="s">
        <v>3247</v>
      </c>
      <c r="E467" s="1">
        <v>45640</v>
      </c>
      <c r="F467" t="s">
        <v>122</v>
      </c>
      <c r="G467" t="s">
        <v>120</v>
      </c>
      <c r="H467" t="s">
        <v>121</v>
      </c>
      <c r="I467" t="s">
        <v>2664</v>
      </c>
      <c r="J467" t="s">
        <v>2704</v>
      </c>
      <c r="K467" t="s">
        <v>25</v>
      </c>
      <c r="L467">
        <v>30</v>
      </c>
      <c r="M467">
        <v>5</v>
      </c>
      <c r="N467">
        <v>25</v>
      </c>
      <c r="O467" t="s">
        <v>1362</v>
      </c>
      <c r="P467" t="s">
        <v>75</v>
      </c>
      <c r="Q467" t="s">
        <v>31</v>
      </c>
      <c r="R467" t="s">
        <v>62</v>
      </c>
      <c r="S467" t="s">
        <v>123</v>
      </c>
      <c r="T467">
        <v>4</v>
      </c>
      <c r="U467" s="5">
        <v>471.63</v>
      </c>
      <c r="V467" s="5">
        <v>894.85</v>
      </c>
      <c r="W467">
        <v>5</v>
      </c>
      <c r="X467" t="s">
        <v>94</v>
      </c>
      <c r="Y467">
        <v>2024</v>
      </c>
      <c r="Z467" t="str">
        <f>TEXT(Table1[[#This Row],[Order Date]],"MMM")</f>
        <v>Dec</v>
      </c>
      <c r="AA467" s="5">
        <f>Table1[[#This Row],[Unit Price]]*Table1[[#This Row],[Quantity]]*(1-Table1[[#This Row],[Discount %]]/100)</f>
        <v>1768.6125000000002</v>
      </c>
      <c r="AB467" s="5">
        <f>Table1[[#This Row],[Sales]]-Table1[[#This Row],[Cost]]</f>
        <v>873.76250000000016</v>
      </c>
    </row>
    <row r="468" spans="1:28" x14ac:dyDescent="0.3">
      <c r="A468" t="s">
        <v>1363</v>
      </c>
      <c r="B468" s="1">
        <v>45936</v>
      </c>
      <c r="C468" t="s">
        <v>1364</v>
      </c>
      <c r="D468" t="s">
        <v>3248</v>
      </c>
      <c r="E468" s="1">
        <v>45940</v>
      </c>
      <c r="F468" t="s">
        <v>68</v>
      </c>
      <c r="G468" t="s">
        <v>66</v>
      </c>
      <c r="H468" t="s">
        <v>67</v>
      </c>
      <c r="I468" t="s">
        <v>2664</v>
      </c>
      <c r="J468" t="s">
        <v>2678</v>
      </c>
      <c r="K468" t="s">
        <v>52</v>
      </c>
      <c r="L468">
        <v>59</v>
      </c>
      <c r="M468">
        <v>4</v>
      </c>
      <c r="N468">
        <v>20</v>
      </c>
      <c r="O468" t="s">
        <v>874</v>
      </c>
      <c r="P468" t="s">
        <v>75</v>
      </c>
      <c r="Q468" t="s">
        <v>58</v>
      </c>
      <c r="R468" t="s">
        <v>32</v>
      </c>
      <c r="S468" t="s">
        <v>69</v>
      </c>
      <c r="T468">
        <v>1</v>
      </c>
      <c r="U468" s="5">
        <v>416.28</v>
      </c>
      <c r="V468" s="5">
        <v>858.68</v>
      </c>
      <c r="W468">
        <v>4</v>
      </c>
      <c r="X468" t="s">
        <v>94</v>
      </c>
      <c r="Y468">
        <v>2025</v>
      </c>
      <c r="Z468" t="str">
        <f>TEXT(Table1[[#This Row],[Order Date]],"MMM")</f>
        <v>Oct</v>
      </c>
      <c r="AA468" s="5">
        <f>Table1[[#This Row],[Unit Price]]*Table1[[#This Row],[Quantity]]*(1-Table1[[#This Row],[Discount %]]/100)</f>
        <v>1332.096</v>
      </c>
      <c r="AB468" s="5">
        <f>Table1[[#This Row],[Sales]]-Table1[[#This Row],[Cost]]</f>
        <v>473.41600000000005</v>
      </c>
    </row>
    <row r="469" spans="1:28" x14ac:dyDescent="0.3">
      <c r="A469" t="s">
        <v>1365</v>
      </c>
      <c r="B469" s="1">
        <v>45932</v>
      </c>
      <c r="C469" t="s">
        <v>1366</v>
      </c>
      <c r="D469" t="s">
        <v>3249</v>
      </c>
      <c r="E469" s="1">
        <v>45933</v>
      </c>
      <c r="F469" t="s">
        <v>29</v>
      </c>
      <c r="G469" t="s">
        <v>27</v>
      </c>
      <c r="H469" t="s">
        <v>28</v>
      </c>
      <c r="I469" t="s">
        <v>2633</v>
      </c>
      <c r="J469" t="s">
        <v>2645</v>
      </c>
      <c r="K469" t="s">
        <v>52</v>
      </c>
      <c r="L469">
        <v>20</v>
      </c>
      <c r="M469">
        <v>2</v>
      </c>
      <c r="N469">
        <v>10</v>
      </c>
      <c r="O469" t="s">
        <v>1367</v>
      </c>
      <c r="P469" t="s">
        <v>44</v>
      </c>
      <c r="Q469" t="s">
        <v>70</v>
      </c>
      <c r="R469" t="s">
        <v>71</v>
      </c>
      <c r="S469" t="s">
        <v>30</v>
      </c>
      <c r="T469">
        <v>2</v>
      </c>
      <c r="U469" s="5">
        <v>611.35</v>
      </c>
      <c r="V469" s="5">
        <v>609.32000000000005</v>
      </c>
      <c r="W469">
        <v>1</v>
      </c>
      <c r="X469" t="s">
        <v>94</v>
      </c>
      <c r="Y469">
        <v>2025</v>
      </c>
      <c r="Z469" t="str">
        <f>TEXT(Table1[[#This Row],[Order Date]],"MMM")</f>
        <v>Oct</v>
      </c>
      <c r="AA469" s="5">
        <f>Table1[[#This Row],[Unit Price]]*Table1[[#This Row],[Quantity]]*(1-Table1[[#This Row],[Discount %]]/100)</f>
        <v>1100.43</v>
      </c>
      <c r="AB469" s="5">
        <f>Table1[[#This Row],[Sales]]-Table1[[#This Row],[Cost]]</f>
        <v>491.11</v>
      </c>
    </row>
    <row r="470" spans="1:28" x14ac:dyDescent="0.3">
      <c r="A470" t="s">
        <v>1368</v>
      </c>
      <c r="B470" s="1">
        <v>46087</v>
      </c>
      <c r="C470" t="s">
        <v>1369</v>
      </c>
      <c r="D470" t="s">
        <v>3250</v>
      </c>
      <c r="E470" s="1">
        <v>46094</v>
      </c>
      <c r="F470" t="s">
        <v>29</v>
      </c>
      <c r="G470" t="s">
        <v>27</v>
      </c>
      <c r="H470" t="s">
        <v>28</v>
      </c>
      <c r="I470" t="s">
        <v>2664</v>
      </c>
      <c r="J470" t="s">
        <v>2678</v>
      </c>
      <c r="K470" t="s">
        <v>25</v>
      </c>
      <c r="L470">
        <v>50</v>
      </c>
      <c r="M470">
        <v>2</v>
      </c>
      <c r="N470">
        <v>30</v>
      </c>
      <c r="O470" t="s">
        <v>1370</v>
      </c>
      <c r="P470" t="s">
        <v>33</v>
      </c>
      <c r="Q470" t="s">
        <v>31</v>
      </c>
      <c r="R470" t="s">
        <v>43</v>
      </c>
      <c r="S470" t="s">
        <v>30</v>
      </c>
      <c r="T470">
        <v>2</v>
      </c>
      <c r="U470" s="5">
        <v>568.09</v>
      </c>
      <c r="V470" s="5">
        <v>632.89</v>
      </c>
      <c r="W470">
        <v>7</v>
      </c>
      <c r="X470" t="s">
        <v>34</v>
      </c>
      <c r="Y470">
        <v>2026</v>
      </c>
      <c r="Z470" t="str">
        <f>TEXT(Table1[[#This Row],[Order Date]],"MMM")</f>
        <v>Mar</v>
      </c>
      <c r="AA470" s="5">
        <f>Table1[[#This Row],[Unit Price]]*Table1[[#This Row],[Quantity]]*(1-Table1[[#This Row],[Discount %]]/100)</f>
        <v>795.32600000000002</v>
      </c>
      <c r="AB470" s="5">
        <f>Table1[[#This Row],[Sales]]-Table1[[#This Row],[Cost]]</f>
        <v>162.43600000000004</v>
      </c>
    </row>
    <row r="471" spans="1:28" x14ac:dyDescent="0.3">
      <c r="A471" t="s">
        <v>1371</v>
      </c>
      <c r="B471" s="1">
        <v>45322</v>
      </c>
      <c r="C471" t="s">
        <v>304</v>
      </c>
      <c r="D471" t="s">
        <v>3251</v>
      </c>
      <c r="E471" s="1">
        <v>45325</v>
      </c>
      <c r="F471" t="s">
        <v>122</v>
      </c>
      <c r="G471" t="s">
        <v>120</v>
      </c>
      <c r="H471" t="s">
        <v>121</v>
      </c>
      <c r="I471" t="s">
        <v>2664</v>
      </c>
      <c r="J471" t="s">
        <v>2665</v>
      </c>
      <c r="K471" t="s">
        <v>52</v>
      </c>
      <c r="L471">
        <v>41</v>
      </c>
      <c r="M471">
        <v>1</v>
      </c>
      <c r="N471">
        <v>10</v>
      </c>
      <c r="O471" t="s">
        <v>1372</v>
      </c>
      <c r="P471" t="s">
        <v>33</v>
      </c>
      <c r="Q471" t="s">
        <v>42</v>
      </c>
      <c r="R471" t="s">
        <v>32</v>
      </c>
      <c r="S471" t="s">
        <v>123</v>
      </c>
      <c r="T471">
        <v>5</v>
      </c>
      <c r="U471" s="5">
        <v>53.53</v>
      </c>
      <c r="V471" s="5">
        <v>35.299999999999997</v>
      </c>
      <c r="W471">
        <v>3</v>
      </c>
      <c r="X471" t="s">
        <v>34</v>
      </c>
      <c r="Y471">
        <v>2024</v>
      </c>
      <c r="Z471" t="str">
        <f>TEXT(Table1[[#This Row],[Order Date]],"MMM")</f>
        <v>Jan</v>
      </c>
      <c r="AA471" s="5">
        <f>Table1[[#This Row],[Unit Price]]*Table1[[#This Row],[Quantity]]*(1-Table1[[#This Row],[Discount %]]/100)</f>
        <v>48.177</v>
      </c>
      <c r="AB471" s="5">
        <f>Table1[[#This Row],[Sales]]-Table1[[#This Row],[Cost]]</f>
        <v>12.877000000000002</v>
      </c>
    </row>
    <row r="472" spans="1:28" x14ac:dyDescent="0.3">
      <c r="A472" t="s">
        <v>1373</v>
      </c>
      <c r="B472" s="1">
        <v>45712</v>
      </c>
      <c r="C472" t="s">
        <v>1374</v>
      </c>
      <c r="D472" t="s">
        <v>3252</v>
      </c>
      <c r="E472" s="1">
        <v>45716</v>
      </c>
      <c r="F472" t="s">
        <v>29</v>
      </c>
      <c r="G472" t="s">
        <v>27</v>
      </c>
      <c r="H472" t="s">
        <v>28</v>
      </c>
      <c r="I472" t="s">
        <v>2627</v>
      </c>
      <c r="J472" t="s">
        <v>2690</v>
      </c>
      <c r="K472" t="s">
        <v>52</v>
      </c>
      <c r="L472">
        <v>18</v>
      </c>
      <c r="M472">
        <v>4</v>
      </c>
      <c r="N472">
        <v>30</v>
      </c>
      <c r="O472" t="s">
        <v>1375</v>
      </c>
      <c r="P472" t="s">
        <v>33</v>
      </c>
      <c r="Q472" t="s">
        <v>31</v>
      </c>
      <c r="R472" t="s">
        <v>32</v>
      </c>
      <c r="S472" t="s">
        <v>30</v>
      </c>
      <c r="T472">
        <v>3</v>
      </c>
      <c r="U472" s="5">
        <v>150.30000000000001</v>
      </c>
      <c r="V472" s="5">
        <v>235.44</v>
      </c>
      <c r="W472">
        <v>4</v>
      </c>
      <c r="X472" t="s">
        <v>34</v>
      </c>
      <c r="Y472">
        <v>2025</v>
      </c>
      <c r="Z472" t="str">
        <f>TEXT(Table1[[#This Row],[Order Date]],"MMM")</f>
        <v>Feb</v>
      </c>
      <c r="AA472" s="5">
        <f>Table1[[#This Row],[Unit Price]]*Table1[[#This Row],[Quantity]]*(1-Table1[[#This Row],[Discount %]]/100)</f>
        <v>420.84000000000003</v>
      </c>
      <c r="AB472" s="5">
        <f>Table1[[#This Row],[Sales]]-Table1[[#This Row],[Cost]]</f>
        <v>185.40000000000003</v>
      </c>
    </row>
    <row r="473" spans="1:28" x14ac:dyDescent="0.3">
      <c r="A473" t="s">
        <v>1376</v>
      </c>
      <c r="B473" s="1">
        <v>46083</v>
      </c>
      <c r="C473" t="s">
        <v>1377</v>
      </c>
      <c r="D473" t="s">
        <v>3253</v>
      </c>
      <c r="E473" s="1">
        <v>46086</v>
      </c>
      <c r="F473" t="s">
        <v>122</v>
      </c>
      <c r="G473" t="s">
        <v>120</v>
      </c>
      <c r="H473" t="s">
        <v>121</v>
      </c>
      <c r="I473" t="s">
        <v>2627</v>
      </c>
      <c r="J473" t="s">
        <v>2707</v>
      </c>
      <c r="K473" t="s">
        <v>52</v>
      </c>
      <c r="L473">
        <v>32</v>
      </c>
      <c r="M473">
        <v>5</v>
      </c>
      <c r="N473">
        <v>5</v>
      </c>
      <c r="O473" t="s">
        <v>341</v>
      </c>
      <c r="P473" t="s">
        <v>33</v>
      </c>
      <c r="Q473" t="s">
        <v>70</v>
      </c>
      <c r="R473" t="s">
        <v>71</v>
      </c>
      <c r="S473" t="s">
        <v>123</v>
      </c>
      <c r="T473">
        <v>4</v>
      </c>
      <c r="U473" s="5">
        <v>921.41</v>
      </c>
      <c r="V473" s="5">
        <v>3028.64</v>
      </c>
      <c r="W473">
        <v>3</v>
      </c>
      <c r="X473" t="s">
        <v>34</v>
      </c>
      <c r="Y473">
        <v>2026</v>
      </c>
      <c r="Z473" t="str">
        <f>TEXT(Table1[[#This Row],[Order Date]],"MMM")</f>
        <v>Mar</v>
      </c>
      <c r="AA473" s="5">
        <f>Table1[[#This Row],[Unit Price]]*Table1[[#This Row],[Quantity]]*(1-Table1[[#This Row],[Discount %]]/100)</f>
        <v>4376.6975000000002</v>
      </c>
      <c r="AB473" s="5">
        <f>Table1[[#This Row],[Sales]]-Table1[[#This Row],[Cost]]</f>
        <v>1348.0575000000003</v>
      </c>
    </row>
    <row r="474" spans="1:28" x14ac:dyDescent="0.3">
      <c r="A474" t="s">
        <v>1378</v>
      </c>
      <c r="B474" s="1">
        <v>45785</v>
      </c>
      <c r="C474" t="s">
        <v>1379</v>
      </c>
      <c r="D474" t="s">
        <v>3254</v>
      </c>
      <c r="E474" s="1">
        <v>45791</v>
      </c>
      <c r="F474" t="s">
        <v>29</v>
      </c>
      <c r="G474" t="s">
        <v>27</v>
      </c>
      <c r="H474" t="s">
        <v>28</v>
      </c>
      <c r="I474" t="s">
        <v>2621</v>
      </c>
      <c r="J474" t="s">
        <v>2663</v>
      </c>
      <c r="K474" t="s">
        <v>52</v>
      </c>
      <c r="L474">
        <v>52</v>
      </c>
      <c r="M474">
        <v>4</v>
      </c>
      <c r="N474">
        <v>5</v>
      </c>
      <c r="O474" t="s">
        <v>1380</v>
      </c>
      <c r="P474" t="s">
        <v>75</v>
      </c>
      <c r="Q474" t="s">
        <v>117</v>
      </c>
      <c r="R474" t="s">
        <v>62</v>
      </c>
      <c r="S474" t="s">
        <v>30</v>
      </c>
      <c r="T474">
        <v>5</v>
      </c>
      <c r="U474" s="5">
        <v>220.74</v>
      </c>
      <c r="V474" s="5">
        <v>641.22</v>
      </c>
      <c r="W474">
        <v>6</v>
      </c>
      <c r="X474" t="s">
        <v>49</v>
      </c>
      <c r="Y474">
        <v>2025</v>
      </c>
      <c r="Z474" t="str">
        <f>TEXT(Table1[[#This Row],[Order Date]],"MMM")</f>
        <v>May</v>
      </c>
      <c r="AA474" s="5">
        <f>Table1[[#This Row],[Unit Price]]*Table1[[#This Row],[Quantity]]*(1-Table1[[#This Row],[Discount %]]/100)</f>
        <v>838.81200000000001</v>
      </c>
      <c r="AB474" s="5">
        <f>Table1[[#This Row],[Sales]]-Table1[[#This Row],[Cost]]</f>
        <v>197.59199999999998</v>
      </c>
    </row>
    <row r="475" spans="1:28" x14ac:dyDescent="0.3">
      <c r="A475" t="s">
        <v>1381</v>
      </c>
      <c r="B475" s="1">
        <v>46101</v>
      </c>
      <c r="C475" t="s">
        <v>1382</v>
      </c>
      <c r="D475" t="s">
        <v>3255</v>
      </c>
      <c r="E475" s="1">
        <v>46108</v>
      </c>
      <c r="F475" t="s">
        <v>68</v>
      </c>
      <c r="G475" t="s">
        <v>66</v>
      </c>
      <c r="H475" t="s">
        <v>67</v>
      </c>
      <c r="I475" t="s">
        <v>2637</v>
      </c>
      <c r="J475" t="s">
        <v>2638</v>
      </c>
      <c r="K475" t="s">
        <v>52</v>
      </c>
      <c r="L475">
        <v>23</v>
      </c>
      <c r="M475">
        <v>3</v>
      </c>
      <c r="N475">
        <v>0</v>
      </c>
      <c r="O475" t="s">
        <v>1383</v>
      </c>
      <c r="P475" t="s">
        <v>44</v>
      </c>
      <c r="Q475" t="s">
        <v>31</v>
      </c>
      <c r="R475" t="s">
        <v>43</v>
      </c>
      <c r="S475" t="s">
        <v>69</v>
      </c>
      <c r="T475">
        <v>3</v>
      </c>
      <c r="U475" s="5">
        <v>429.71</v>
      </c>
      <c r="V475" s="5">
        <v>813.19</v>
      </c>
      <c r="W475">
        <v>7</v>
      </c>
      <c r="X475" t="s">
        <v>34</v>
      </c>
      <c r="Y475">
        <v>2026</v>
      </c>
      <c r="Z475" t="str">
        <f>TEXT(Table1[[#This Row],[Order Date]],"MMM")</f>
        <v>Mar</v>
      </c>
      <c r="AA475" s="5">
        <f>Table1[[#This Row],[Unit Price]]*Table1[[#This Row],[Quantity]]*(1-Table1[[#This Row],[Discount %]]/100)</f>
        <v>1289.1299999999999</v>
      </c>
      <c r="AB475" s="5">
        <f>Table1[[#This Row],[Sales]]-Table1[[#This Row],[Cost]]</f>
        <v>475.93999999999983</v>
      </c>
    </row>
    <row r="476" spans="1:28" x14ac:dyDescent="0.3">
      <c r="A476" t="s">
        <v>1384</v>
      </c>
      <c r="B476" s="1">
        <v>45400</v>
      </c>
      <c r="C476" t="s">
        <v>1385</v>
      </c>
      <c r="D476" t="s">
        <v>3256</v>
      </c>
      <c r="E476" s="1">
        <v>45407</v>
      </c>
      <c r="F476" t="s">
        <v>140</v>
      </c>
      <c r="G476" t="s">
        <v>38</v>
      </c>
      <c r="H476" t="s">
        <v>139</v>
      </c>
      <c r="I476" t="s">
        <v>2623</v>
      </c>
      <c r="J476" t="s">
        <v>2713</v>
      </c>
      <c r="K476" t="s">
        <v>25</v>
      </c>
      <c r="L476">
        <v>53</v>
      </c>
      <c r="M476">
        <v>1</v>
      </c>
      <c r="N476">
        <v>0</v>
      </c>
      <c r="O476" t="s">
        <v>1386</v>
      </c>
      <c r="P476" t="s">
        <v>44</v>
      </c>
      <c r="Q476" t="s">
        <v>42</v>
      </c>
      <c r="R476" t="s">
        <v>32</v>
      </c>
      <c r="S476" t="s">
        <v>141</v>
      </c>
      <c r="T476">
        <v>5</v>
      </c>
      <c r="U476" s="5">
        <v>92.78</v>
      </c>
      <c r="V476" s="5">
        <v>70.489999999999995</v>
      </c>
      <c r="W476">
        <v>7</v>
      </c>
      <c r="X476" t="s">
        <v>49</v>
      </c>
      <c r="Y476">
        <v>2024</v>
      </c>
      <c r="Z476" t="str">
        <f>TEXT(Table1[[#This Row],[Order Date]],"MMM")</f>
        <v>Apr</v>
      </c>
      <c r="AA476" s="5">
        <f>Table1[[#This Row],[Unit Price]]*Table1[[#This Row],[Quantity]]*(1-Table1[[#This Row],[Discount %]]/100)</f>
        <v>92.78</v>
      </c>
      <c r="AB476" s="5">
        <f>Table1[[#This Row],[Sales]]-Table1[[#This Row],[Cost]]</f>
        <v>22.290000000000006</v>
      </c>
    </row>
    <row r="477" spans="1:28" x14ac:dyDescent="0.3">
      <c r="A477" t="s">
        <v>1387</v>
      </c>
      <c r="B477" s="1">
        <v>45303</v>
      </c>
      <c r="C477" t="s">
        <v>1388</v>
      </c>
      <c r="D477" t="s">
        <v>3257</v>
      </c>
      <c r="E477" s="1">
        <v>45306</v>
      </c>
      <c r="F477" t="s">
        <v>140</v>
      </c>
      <c r="G477" t="s">
        <v>38</v>
      </c>
      <c r="H477" t="s">
        <v>139</v>
      </c>
      <c r="I477" t="s">
        <v>2627</v>
      </c>
      <c r="J477" t="s">
        <v>2670</v>
      </c>
      <c r="K477" t="s">
        <v>25</v>
      </c>
      <c r="L477">
        <v>20</v>
      </c>
      <c r="M477">
        <v>4</v>
      </c>
      <c r="N477">
        <v>20</v>
      </c>
      <c r="O477" t="s">
        <v>1389</v>
      </c>
      <c r="P477" t="s">
        <v>33</v>
      </c>
      <c r="Q477" t="s">
        <v>70</v>
      </c>
      <c r="R477" t="s">
        <v>32</v>
      </c>
      <c r="S477" t="s">
        <v>141</v>
      </c>
      <c r="T477">
        <v>3</v>
      </c>
      <c r="U477" s="5">
        <v>968.05</v>
      </c>
      <c r="V477" s="5">
        <v>1584.24</v>
      </c>
      <c r="W477">
        <v>3</v>
      </c>
      <c r="X477" t="s">
        <v>34</v>
      </c>
      <c r="Y477">
        <v>2024</v>
      </c>
      <c r="Z477" t="str">
        <f>TEXT(Table1[[#This Row],[Order Date]],"MMM")</f>
        <v>Jan</v>
      </c>
      <c r="AA477" s="5">
        <f>Table1[[#This Row],[Unit Price]]*Table1[[#This Row],[Quantity]]*(1-Table1[[#This Row],[Discount %]]/100)</f>
        <v>3097.76</v>
      </c>
      <c r="AB477" s="5">
        <f>Table1[[#This Row],[Sales]]-Table1[[#This Row],[Cost]]</f>
        <v>1513.5200000000002</v>
      </c>
    </row>
    <row r="478" spans="1:28" x14ac:dyDescent="0.3">
      <c r="A478" t="s">
        <v>1390</v>
      </c>
      <c r="B478" s="1">
        <v>45326</v>
      </c>
      <c r="C478" t="s">
        <v>1391</v>
      </c>
      <c r="D478" t="s">
        <v>3258</v>
      </c>
      <c r="E478" s="1">
        <v>45327</v>
      </c>
      <c r="F478" t="s">
        <v>40</v>
      </c>
      <c r="G478" t="s">
        <v>38</v>
      </c>
      <c r="H478" t="s">
        <v>39</v>
      </c>
      <c r="I478" t="s">
        <v>2657</v>
      </c>
      <c r="J478" t="s">
        <v>2696</v>
      </c>
      <c r="K478" t="s">
        <v>25</v>
      </c>
      <c r="L478">
        <v>54</v>
      </c>
      <c r="M478">
        <v>5</v>
      </c>
      <c r="N478">
        <v>10</v>
      </c>
      <c r="O478" t="s">
        <v>493</v>
      </c>
      <c r="P478" t="s">
        <v>33</v>
      </c>
      <c r="Q478" t="s">
        <v>31</v>
      </c>
      <c r="R478" t="s">
        <v>43</v>
      </c>
      <c r="S478" t="s">
        <v>41</v>
      </c>
      <c r="T478">
        <v>4</v>
      </c>
      <c r="U478" s="5">
        <v>621.69000000000005</v>
      </c>
      <c r="V478" s="5">
        <v>2181.0500000000002</v>
      </c>
      <c r="W478">
        <v>1</v>
      </c>
      <c r="X478" t="s">
        <v>34</v>
      </c>
      <c r="Y478">
        <v>2024</v>
      </c>
      <c r="Z478" t="str">
        <f>TEXT(Table1[[#This Row],[Order Date]],"MMM")</f>
        <v>Feb</v>
      </c>
      <c r="AA478" s="5">
        <f>Table1[[#This Row],[Unit Price]]*Table1[[#This Row],[Quantity]]*(1-Table1[[#This Row],[Discount %]]/100)</f>
        <v>2797.6050000000005</v>
      </c>
      <c r="AB478" s="5">
        <f>Table1[[#This Row],[Sales]]-Table1[[#This Row],[Cost]]</f>
        <v>616.55500000000029</v>
      </c>
    </row>
    <row r="479" spans="1:28" x14ac:dyDescent="0.3">
      <c r="A479" t="s">
        <v>1392</v>
      </c>
      <c r="B479" s="1">
        <v>45489</v>
      </c>
      <c r="C479" t="s">
        <v>1393</v>
      </c>
      <c r="D479" t="s">
        <v>3259</v>
      </c>
      <c r="E479" s="1">
        <v>45490</v>
      </c>
      <c r="F479" t="s">
        <v>128</v>
      </c>
      <c r="G479" t="s">
        <v>98</v>
      </c>
      <c r="H479" t="s">
        <v>127</v>
      </c>
      <c r="I479" t="s">
        <v>2631</v>
      </c>
      <c r="J479" t="s">
        <v>2673</v>
      </c>
      <c r="K479" t="s">
        <v>25</v>
      </c>
      <c r="L479">
        <v>29</v>
      </c>
      <c r="M479">
        <v>1</v>
      </c>
      <c r="N479">
        <v>30</v>
      </c>
      <c r="O479" t="s">
        <v>1394</v>
      </c>
      <c r="P479" t="s">
        <v>44</v>
      </c>
      <c r="Q479" t="s">
        <v>70</v>
      </c>
      <c r="R479" t="s">
        <v>71</v>
      </c>
      <c r="S479" t="s">
        <v>129</v>
      </c>
      <c r="T479">
        <v>4</v>
      </c>
      <c r="U479" s="5">
        <v>162.72</v>
      </c>
      <c r="V479" s="5">
        <v>81.349999999999994</v>
      </c>
      <c r="W479">
        <v>1</v>
      </c>
      <c r="X479" t="s">
        <v>45</v>
      </c>
      <c r="Y479">
        <v>2024</v>
      </c>
      <c r="Z479" t="str">
        <f>TEXT(Table1[[#This Row],[Order Date]],"MMM")</f>
        <v>Jul</v>
      </c>
      <c r="AA479" s="5">
        <f>Table1[[#This Row],[Unit Price]]*Table1[[#This Row],[Quantity]]*(1-Table1[[#This Row],[Discount %]]/100)</f>
        <v>113.904</v>
      </c>
      <c r="AB479" s="5">
        <f>Table1[[#This Row],[Sales]]-Table1[[#This Row],[Cost]]</f>
        <v>32.554000000000002</v>
      </c>
    </row>
    <row r="480" spans="1:28" x14ac:dyDescent="0.3">
      <c r="A480" t="s">
        <v>1395</v>
      </c>
      <c r="B480" s="1">
        <v>46046</v>
      </c>
      <c r="C480" t="s">
        <v>1396</v>
      </c>
      <c r="D480" t="s">
        <v>3260</v>
      </c>
      <c r="E480" s="1">
        <v>46050</v>
      </c>
      <c r="F480" t="s">
        <v>29</v>
      </c>
      <c r="G480" t="s">
        <v>27</v>
      </c>
      <c r="H480" t="s">
        <v>28</v>
      </c>
      <c r="I480" t="s">
        <v>2668</v>
      </c>
      <c r="J480" t="s">
        <v>2669</v>
      </c>
      <c r="K480" t="s">
        <v>52</v>
      </c>
      <c r="L480">
        <v>37</v>
      </c>
      <c r="M480">
        <v>4</v>
      </c>
      <c r="N480">
        <v>25</v>
      </c>
      <c r="O480" t="s">
        <v>1172</v>
      </c>
      <c r="P480" t="s">
        <v>44</v>
      </c>
      <c r="Q480" t="s">
        <v>31</v>
      </c>
      <c r="R480" t="s">
        <v>32</v>
      </c>
      <c r="S480" t="s">
        <v>30</v>
      </c>
      <c r="T480">
        <v>4</v>
      </c>
      <c r="U480" s="5">
        <v>309.27</v>
      </c>
      <c r="V480" s="5">
        <v>546.85</v>
      </c>
      <c r="W480">
        <v>4</v>
      </c>
      <c r="X480" t="s">
        <v>34</v>
      </c>
      <c r="Y480">
        <v>2026</v>
      </c>
      <c r="Z480" t="str">
        <f>TEXT(Table1[[#This Row],[Order Date]],"MMM")</f>
        <v>Jan</v>
      </c>
      <c r="AA480" s="5">
        <f>Table1[[#This Row],[Unit Price]]*Table1[[#This Row],[Quantity]]*(1-Table1[[#This Row],[Discount %]]/100)</f>
        <v>927.81</v>
      </c>
      <c r="AB480" s="5">
        <f>Table1[[#This Row],[Sales]]-Table1[[#This Row],[Cost]]</f>
        <v>380.95999999999992</v>
      </c>
    </row>
    <row r="481" spans="1:28" x14ac:dyDescent="0.3">
      <c r="A481" t="s">
        <v>1397</v>
      </c>
      <c r="B481" s="1">
        <v>45495</v>
      </c>
      <c r="C481" t="s">
        <v>901</v>
      </c>
      <c r="D481" t="s">
        <v>3261</v>
      </c>
      <c r="E481" s="1">
        <v>45496</v>
      </c>
      <c r="F481" t="s">
        <v>29</v>
      </c>
      <c r="G481" t="s">
        <v>27</v>
      </c>
      <c r="H481" t="s">
        <v>28</v>
      </c>
      <c r="I481" t="s">
        <v>2621</v>
      </c>
      <c r="J481" t="s">
        <v>2647</v>
      </c>
      <c r="K481" t="s">
        <v>25</v>
      </c>
      <c r="L481">
        <v>62</v>
      </c>
      <c r="M481">
        <v>1</v>
      </c>
      <c r="N481">
        <v>0</v>
      </c>
      <c r="O481" t="s">
        <v>327</v>
      </c>
      <c r="P481" t="s">
        <v>33</v>
      </c>
      <c r="Q481" t="s">
        <v>70</v>
      </c>
      <c r="R481" t="s">
        <v>32</v>
      </c>
      <c r="S481" t="s">
        <v>30</v>
      </c>
      <c r="T481">
        <v>2</v>
      </c>
      <c r="U481" s="5">
        <v>607</v>
      </c>
      <c r="V481" s="5">
        <v>351.27</v>
      </c>
      <c r="W481">
        <v>1</v>
      </c>
      <c r="X481" t="s">
        <v>45</v>
      </c>
      <c r="Y481">
        <v>2024</v>
      </c>
      <c r="Z481" t="str">
        <f>TEXT(Table1[[#This Row],[Order Date]],"MMM")</f>
        <v>Jul</v>
      </c>
      <c r="AA481" s="5">
        <f>Table1[[#This Row],[Unit Price]]*Table1[[#This Row],[Quantity]]*(1-Table1[[#This Row],[Discount %]]/100)</f>
        <v>607</v>
      </c>
      <c r="AB481" s="5">
        <f>Table1[[#This Row],[Sales]]-Table1[[#This Row],[Cost]]</f>
        <v>255.73000000000002</v>
      </c>
    </row>
    <row r="482" spans="1:28" x14ac:dyDescent="0.3">
      <c r="A482" t="s">
        <v>1398</v>
      </c>
      <c r="B482" s="1">
        <v>46150</v>
      </c>
      <c r="C482" t="s">
        <v>1399</v>
      </c>
      <c r="D482" t="s">
        <v>3262</v>
      </c>
      <c r="E482" s="1">
        <v>46152</v>
      </c>
      <c r="F482" t="s">
        <v>128</v>
      </c>
      <c r="G482" t="s">
        <v>98</v>
      </c>
      <c r="H482" t="s">
        <v>127</v>
      </c>
      <c r="I482" t="s">
        <v>2661</v>
      </c>
      <c r="J482" t="s">
        <v>2689</v>
      </c>
      <c r="K482" t="s">
        <v>52</v>
      </c>
      <c r="L482">
        <v>58</v>
      </c>
      <c r="M482">
        <v>4</v>
      </c>
      <c r="N482">
        <v>25</v>
      </c>
      <c r="O482" t="s">
        <v>1400</v>
      </c>
      <c r="P482" t="s">
        <v>75</v>
      </c>
      <c r="Q482" t="s">
        <v>31</v>
      </c>
      <c r="R482" t="s">
        <v>71</v>
      </c>
      <c r="S482" t="s">
        <v>129</v>
      </c>
      <c r="T482">
        <v>5</v>
      </c>
      <c r="U482" s="5">
        <v>860.74</v>
      </c>
      <c r="V482" s="5">
        <v>1756.62</v>
      </c>
      <c r="W482">
        <v>2</v>
      </c>
      <c r="X482" t="s">
        <v>49</v>
      </c>
      <c r="Y482">
        <v>2026</v>
      </c>
      <c r="Z482" t="str">
        <f>TEXT(Table1[[#This Row],[Order Date]],"MMM")</f>
        <v>May</v>
      </c>
      <c r="AA482" s="5">
        <f>Table1[[#This Row],[Unit Price]]*Table1[[#This Row],[Quantity]]*(1-Table1[[#This Row],[Discount %]]/100)</f>
        <v>2582.2200000000003</v>
      </c>
      <c r="AB482" s="5">
        <f>Table1[[#This Row],[Sales]]-Table1[[#This Row],[Cost]]</f>
        <v>825.60000000000036</v>
      </c>
    </row>
    <row r="483" spans="1:28" x14ac:dyDescent="0.3">
      <c r="A483" t="s">
        <v>1401</v>
      </c>
      <c r="B483" s="1">
        <v>46076</v>
      </c>
      <c r="C483" t="s">
        <v>1402</v>
      </c>
      <c r="D483" t="s">
        <v>3263</v>
      </c>
      <c r="E483" s="1">
        <v>46083</v>
      </c>
      <c r="F483" t="s">
        <v>122</v>
      </c>
      <c r="G483" t="s">
        <v>120</v>
      </c>
      <c r="H483" t="s">
        <v>121</v>
      </c>
      <c r="I483" t="s">
        <v>2621</v>
      </c>
      <c r="J483" t="s">
        <v>2622</v>
      </c>
      <c r="K483" t="s">
        <v>25</v>
      </c>
      <c r="L483">
        <v>42</v>
      </c>
      <c r="M483">
        <v>4</v>
      </c>
      <c r="N483">
        <v>5</v>
      </c>
      <c r="O483" t="s">
        <v>1403</v>
      </c>
      <c r="P483" t="s">
        <v>33</v>
      </c>
      <c r="Q483" t="s">
        <v>31</v>
      </c>
      <c r="R483" t="s">
        <v>62</v>
      </c>
      <c r="S483" t="s">
        <v>123</v>
      </c>
      <c r="T483">
        <v>2</v>
      </c>
      <c r="U483" s="5">
        <v>207.8</v>
      </c>
      <c r="V483" s="5">
        <v>665.51</v>
      </c>
      <c r="W483">
        <v>7</v>
      </c>
      <c r="X483" t="s">
        <v>34</v>
      </c>
      <c r="Y483">
        <v>2026</v>
      </c>
      <c r="Z483" t="str">
        <f>TEXT(Table1[[#This Row],[Order Date]],"MMM")</f>
        <v>Feb</v>
      </c>
      <c r="AA483" s="5">
        <f>Table1[[#This Row],[Unit Price]]*Table1[[#This Row],[Quantity]]*(1-Table1[[#This Row],[Discount %]]/100)</f>
        <v>789.64</v>
      </c>
      <c r="AB483" s="5">
        <f>Table1[[#This Row],[Sales]]-Table1[[#This Row],[Cost]]</f>
        <v>124.13</v>
      </c>
    </row>
    <row r="484" spans="1:28" x14ac:dyDescent="0.3">
      <c r="A484" t="s">
        <v>1404</v>
      </c>
      <c r="B484" s="1">
        <v>45895</v>
      </c>
      <c r="C484" t="s">
        <v>1405</v>
      </c>
      <c r="D484" t="s">
        <v>3264</v>
      </c>
      <c r="E484" s="1">
        <v>45902</v>
      </c>
      <c r="F484" t="s">
        <v>29</v>
      </c>
      <c r="G484" t="s">
        <v>27</v>
      </c>
      <c r="H484" t="s">
        <v>28</v>
      </c>
      <c r="I484" t="s">
        <v>2625</v>
      </c>
      <c r="J484" t="s">
        <v>2693</v>
      </c>
      <c r="K484" t="s">
        <v>52</v>
      </c>
      <c r="L484">
        <v>29</v>
      </c>
      <c r="M484">
        <v>5</v>
      </c>
      <c r="N484">
        <v>5</v>
      </c>
      <c r="O484" t="s">
        <v>1406</v>
      </c>
      <c r="P484" t="s">
        <v>75</v>
      </c>
      <c r="Q484" t="s">
        <v>117</v>
      </c>
      <c r="R484" t="s">
        <v>71</v>
      </c>
      <c r="S484" t="s">
        <v>30</v>
      </c>
      <c r="T484">
        <v>3</v>
      </c>
      <c r="U484" s="5">
        <v>339.74</v>
      </c>
      <c r="V484" s="5">
        <v>1105.33</v>
      </c>
      <c r="W484">
        <v>7</v>
      </c>
      <c r="X484" t="s">
        <v>45</v>
      </c>
      <c r="Y484">
        <v>2025</v>
      </c>
      <c r="Z484" t="str">
        <f>TEXT(Table1[[#This Row],[Order Date]],"MMM")</f>
        <v>Aug</v>
      </c>
      <c r="AA484" s="5">
        <f>Table1[[#This Row],[Unit Price]]*Table1[[#This Row],[Quantity]]*(1-Table1[[#This Row],[Discount %]]/100)</f>
        <v>1613.7649999999999</v>
      </c>
      <c r="AB484" s="5">
        <f>Table1[[#This Row],[Sales]]-Table1[[#This Row],[Cost]]</f>
        <v>508.43499999999995</v>
      </c>
    </row>
    <row r="485" spans="1:28" x14ac:dyDescent="0.3">
      <c r="A485" t="s">
        <v>1407</v>
      </c>
      <c r="B485" s="1">
        <v>45879</v>
      </c>
      <c r="C485" t="s">
        <v>1408</v>
      </c>
      <c r="D485" t="s">
        <v>3265</v>
      </c>
      <c r="E485" s="1">
        <v>45885</v>
      </c>
      <c r="F485" t="s">
        <v>140</v>
      </c>
      <c r="G485" t="s">
        <v>38</v>
      </c>
      <c r="H485" t="s">
        <v>139</v>
      </c>
      <c r="I485" t="s">
        <v>2659</v>
      </c>
      <c r="J485" t="s">
        <v>2690</v>
      </c>
      <c r="K485" t="s">
        <v>25</v>
      </c>
      <c r="L485">
        <v>29</v>
      </c>
      <c r="M485">
        <v>4</v>
      </c>
      <c r="N485">
        <v>15</v>
      </c>
      <c r="O485" t="s">
        <v>832</v>
      </c>
      <c r="P485" t="s">
        <v>33</v>
      </c>
      <c r="Q485" t="s">
        <v>58</v>
      </c>
      <c r="R485" t="s">
        <v>32</v>
      </c>
      <c r="S485" t="s">
        <v>141</v>
      </c>
      <c r="T485">
        <v>5</v>
      </c>
      <c r="U485" s="5">
        <v>966.41</v>
      </c>
      <c r="V485" s="5">
        <v>2294.17</v>
      </c>
      <c r="W485">
        <v>6</v>
      </c>
      <c r="X485" t="s">
        <v>45</v>
      </c>
      <c r="Y485">
        <v>2025</v>
      </c>
      <c r="Z485" t="str">
        <f>TEXT(Table1[[#This Row],[Order Date]],"MMM")</f>
        <v>Aug</v>
      </c>
      <c r="AA485" s="5">
        <f>Table1[[#This Row],[Unit Price]]*Table1[[#This Row],[Quantity]]*(1-Table1[[#This Row],[Discount %]]/100)</f>
        <v>3285.7939999999999</v>
      </c>
      <c r="AB485" s="5">
        <f>Table1[[#This Row],[Sales]]-Table1[[#This Row],[Cost]]</f>
        <v>991.6239999999998</v>
      </c>
    </row>
    <row r="486" spans="1:28" x14ac:dyDescent="0.3">
      <c r="A486" t="s">
        <v>1409</v>
      </c>
      <c r="B486" s="1">
        <v>45751</v>
      </c>
      <c r="C486" t="s">
        <v>1410</v>
      </c>
      <c r="D486" t="s">
        <v>3266</v>
      </c>
      <c r="E486" s="1">
        <v>45757</v>
      </c>
      <c r="F486" t="s">
        <v>40</v>
      </c>
      <c r="G486" t="s">
        <v>38</v>
      </c>
      <c r="H486" t="s">
        <v>39</v>
      </c>
      <c r="I486" t="s">
        <v>2623</v>
      </c>
      <c r="J486" t="s">
        <v>2694</v>
      </c>
      <c r="K486" t="s">
        <v>52</v>
      </c>
      <c r="L486">
        <v>34</v>
      </c>
      <c r="M486">
        <v>4</v>
      </c>
      <c r="N486">
        <v>0</v>
      </c>
      <c r="O486" t="s">
        <v>1411</v>
      </c>
      <c r="P486" t="s">
        <v>44</v>
      </c>
      <c r="Q486" t="s">
        <v>70</v>
      </c>
      <c r="R486" t="s">
        <v>43</v>
      </c>
      <c r="S486" t="s">
        <v>41</v>
      </c>
      <c r="T486">
        <v>4</v>
      </c>
      <c r="U486" s="5">
        <v>586.23</v>
      </c>
      <c r="V486" s="5">
        <v>1726.49</v>
      </c>
      <c r="W486">
        <v>6</v>
      </c>
      <c r="X486" t="s">
        <v>49</v>
      </c>
      <c r="Y486">
        <v>2025</v>
      </c>
      <c r="Z486" t="str">
        <f>TEXT(Table1[[#This Row],[Order Date]],"MMM")</f>
        <v>Apr</v>
      </c>
      <c r="AA486" s="5">
        <f>Table1[[#This Row],[Unit Price]]*Table1[[#This Row],[Quantity]]*(1-Table1[[#This Row],[Discount %]]/100)</f>
        <v>2344.92</v>
      </c>
      <c r="AB486" s="5">
        <f>Table1[[#This Row],[Sales]]-Table1[[#This Row],[Cost]]</f>
        <v>618.43000000000006</v>
      </c>
    </row>
    <row r="487" spans="1:28" x14ac:dyDescent="0.3">
      <c r="A487" t="s">
        <v>1412</v>
      </c>
      <c r="B487" s="1">
        <v>45534</v>
      </c>
      <c r="C487" t="s">
        <v>1413</v>
      </c>
      <c r="D487" t="s">
        <v>3267</v>
      </c>
      <c r="E487" s="1">
        <v>45536</v>
      </c>
      <c r="F487" t="s">
        <v>40</v>
      </c>
      <c r="G487" t="s">
        <v>38</v>
      </c>
      <c r="H487" t="s">
        <v>39</v>
      </c>
      <c r="I487" t="s">
        <v>2629</v>
      </c>
      <c r="J487" t="s">
        <v>2674</v>
      </c>
      <c r="K487" t="s">
        <v>25</v>
      </c>
      <c r="L487">
        <v>44</v>
      </c>
      <c r="M487">
        <v>1</v>
      </c>
      <c r="N487">
        <v>5</v>
      </c>
      <c r="O487" t="s">
        <v>631</v>
      </c>
      <c r="P487" t="s">
        <v>75</v>
      </c>
      <c r="Q487" t="s">
        <v>42</v>
      </c>
      <c r="R487" t="s">
        <v>62</v>
      </c>
      <c r="S487" t="s">
        <v>41</v>
      </c>
      <c r="T487">
        <v>2</v>
      </c>
      <c r="U487" s="5">
        <v>560.63</v>
      </c>
      <c r="V487" s="5">
        <v>381.51</v>
      </c>
      <c r="W487">
        <v>2</v>
      </c>
      <c r="X487" t="s">
        <v>45</v>
      </c>
      <c r="Y487">
        <v>2024</v>
      </c>
      <c r="Z487" t="str">
        <f>TEXT(Table1[[#This Row],[Order Date]],"MMM")</f>
        <v>Aug</v>
      </c>
      <c r="AA487" s="5">
        <f>Table1[[#This Row],[Unit Price]]*Table1[[#This Row],[Quantity]]*(1-Table1[[#This Row],[Discount %]]/100)</f>
        <v>532.59849999999994</v>
      </c>
      <c r="AB487" s="5">
        <f>Table1[[#This Row],[Sales]]-Table1[[#This Row],[Cost]]</f>
        <v>151.08849999999995</v>
      </c>
    </row>
    <row r="488" spans="1:28" x14ac:dyDescent="0.3">
      <c r="A488" t="s">
        <v>1414</v>
      </c>
      <c r="B488" s="1">
        <v>45929</v>
      </c>
      <c r="C488" t="s">
        <v>1415</v>
      </c>
      <c r="D488" t="s">
        <v>3268</v>
      </c>
      <c r="E488" s="1">
        <v>45932</v>
      </c>
      <c r="F488" t="s">
        <v>100</v>
      </c>
      <c r="G488" t="s">
        <v>98</v>
      </c>
      <c r="H488" t="s">
        <v>99</v>
      </c>
      <c r="I488" t="s">
        <v>2671</v>
      </c>
      <c r="J488" t="s">
        <v>2706</v>
      </c>
      <c r="K488" t="s">
        <v>52</v>
      </c>
      <c r="L488">
        <v>50</v>
      </c>
      <c r="M488">
        <v>2</v>
      </c>
      <c r="N488">
        <v>25</v>
      </c>
      <c r="O488" t="s">
        <v>1228</v>
      </c>
      <c r="P488" t="s">
        <v>75</v>
      </c>
      <c r="Q488" t="s">
        <v>31</v>
      </c>
      <c r="R488" t="s">
        <v>32</v>
      </c>
      <c r="S488" t="s">
        <v>101</v>
      </c>
      <c r="T488">
        <v>5</v>
      </c>
      <c r="U488" s="5">
        <v>203.06</v>
      </c>
      <c r="V488" s="5">
        <v>246.64</v>
      </c>
      <c r="W488">
        <v>3</v>
      </c>
      <c r="X488" t="s">
        <v>45</v>
      </c>
      <c r="Y488">
        <v>2025</v>
      </c>
      <c r="Z488" t="str">
        <f>TEXT(Table1[[#This Row],[Order Date]],"MMM")</f>
        <v>Sep</v>
      </c>
      <c r="AA488" s="5">
        <f>Table1[[#This Row],[Unit Price]]*Table1[[#This Row],[Quantity]]*(1-Table1[[#This Row],[Discount %]]/100)</f>
        <v>304.59000000000003</v>
      </c>
      <c r="AB488" s="5">
        <f>Table1[[#This Row],[Sales]]-Table1[[#This Row],[Cost]]</f>
        <v>57.950000000000045</v>
      </c>
    </row>
    <row r="489" spans="1:28" x14ac:dyDescent="0.3">
      <c r="A489" t="s">
        <v>1416</v>
      </c>
      <c r="B489" s="1">
        <v>45977</v>
      </c>
      <c r="C489" t="s">
        <v>1417</v>
      </c>
      <c r="D489" t="s">
        <v>3269</v>
      </c>
      <c r="E489" s="1">
        <v>45982</v>
      </c>
      <c r="F489" t="s">
        <v>122</v>
      </c>
      <c r="G489" t="s">
        <v>120</v>
      </c>
      <c r="H489" t="s">
        <v>121</v>
      </c>
      <c r="I489" t="s">
        <v>2675</v>
      </c>
      <c r="J489" t="s">
        <v>2676</v>
      </c>
      <c r="K489" t="s">
        <v>25</v>
      </c>
      <c r="L489">
        <v>29</v>
      </c>
      <c r="M489">
        <v>5</v>
      </c>
      <c r="N489">
        <v>30</v>
      </c>
      <c r="O489" t="s">
        <v>1336</v>
      </c>
      <c r="P489" t="s">
        <v>75</v>
      </c>
      <c r="Q489" t="s">
        <v>58</v>
      </c>
      <c r="R489" t="s">
        <v>43</v>
      </c>
      <c r="S489" t="s">
        <v>123</v>
      </c>
      <c r="T489">
        <v>4</v>
      </c>
      <c r="U489" s="5">
        <v>141.03</v>
      </c>
      <c r="V489" s="5">
        <v>397.47</v>
      </c>
      <c r="W489">
        <v>5</v>
      </c>
      <c r="X489" t="s">
        <v>94</v>
      </c>
      <c r="Y489">
        <v>2025</v>
      </c>
      <c r="Z489" t="str">
        <f>TEXT(Table1[[#This Row],[Order Date]],"MMM")</f>
        <v>Nov</v>
      </c>
      <c r="AA489" s="5">
        <f>Table1[[#This Row],[Unit Price]]*Table1[[#This Row],[Quantity]]*(1-Table1[[#This Row],[Discount %]]/100)</f>
        <v>493.60499999999996</v>
      </c>
      <c r="AB489" s="5">
        <f>Table1[[#This Row],[Sales]]-Table1[[#This Row],[Cost]]</f>
        <v>96.134999999999934</v>
      </c>
    </row>
    <row r="490" spans="1:28" x14ac:dyDescent="0.3">
      <c r="A490" t="s">
        <v>1418</v>
      </c>
      <c r="B490" s="1">
        <v>46030</v>
      </c>
      <c r="C490" t="s">
        <v>1419</v>
      </c>
      <c r="D490" t="s">
        <v>3270</v>
      </c>
      <c r="E490" s="1">
        <v>46034</v>
      </c>
      <c r="F490" t="s">
        <v>115</v>
      </c>
      <c r="G490" t="s">
        <v>66</v>
      </c>
      <c r="H490" t="s">
        <v>114</v>
      </c>
      <c r="I490" t="s">
        <v>2628</v>
      </c>
      <c r="J490" t="s">
        <v>2642</v>
      </c>
      <c r="K490" t="s">
        <v>25</v>
      </c>
      <c r="L490">
        <v>37</v>
      </c>
      <c r="M490">
        <v>3</v>
      </c>
      <c r="N490">
        <v>20</v>
      </c>
      <c r="O490" t="s">
        <v>1420</v>
      </c>
      <c r="P490" t="s">
        <v>33</v>
      </c>
      <c r="Q490" t="s">
        <v>70</v>
      </c>
      <c r="R490" t="s">
        <v>43</v>
      </c>
      <c r="S490" t="s">
        <v>116</v>
      </c>
      <c r="T490">
        <v>5</v>
      </c>
      <c r="U490" s="5">
        <v>270.47000000000003</v>
      </c>
      <c r="V490" s="5">
        <v>434.98</v>
      </c>
      <c r="W490">
        <v>4</v>
      </c>
      <c r="X490" t="s">
        <v>34</v>
      </c>
      <c r="Y490">
        <v>2026</v>
      </c>
      <c r="Z490" t="str">
        <f>TEXT(Table1[[#This Row],[Order Date]],"MMM")</f>
        <v>Jan</v>
      </c>
      <c r="AA490" s="5">
        <f>Table1[[#This Row],[Unit Price]]*Table1[[#This Row],[Quantity]]*(1-Table1[[#This Row],[Discount %]]/100)</f>
        <v>649.12800000000016</v>
      </c>
      <c r="AB490" s="5">
        <f>Table1[[#This Row],[Sales]]-Table1[[#This Row],[Cost]]</f>
        <v>214.14800000000014</v>
      </c>
    </row>
    <row r="491" spans="1:28" x14ac:dyDescent="0.3">
      <c r="A491" t="s">
        <v>1421</v>
      </c>
      <c r="B491" s="1">
        <v>45743</v>
      </c>
      <c r="C491" t="s">
        <v>1422</v>
      </c>
      <c r="D491" t="s">
        <v>3271</v>
      </c>
      <c r="E491" s="1">
        <v>45747</v>
      </c>
      <c r="F491" t="s">
        <v>100</v>
      </c>
      <c r="G491" t="s">
        <v>98</v>
      </c>
      <c r="H491" t="s">
        <v>99</v>
      </c>
      <c r="I491" t="s">
        <v>2621</v>
      </c>
      <c r="J491" t="s">
        <v>2622</v>
      </c>
      <c r="K491" t="s">
        <v>52</v>
      </c>
      <c r="L491">
        <v>57</v>
      </c>
      <c r="M491">
        <v>2</v>
      </c>
      <c r="N491">
        <v>25</v>
      </c>
      <c r="O491" t="s">
        <v>586</v>
      </c>
      <c r="P491" t="s">
        <v>75</v>
      </c>
      <c r="Q491" t="s">
        <v>31</v>
      </c>
      <c r="R491" t="s">
        <v>71</v>
      </c>
      <c r="S491" t="s">
        <v>101</v>
      </c>
      <c r="T491">
        <v>4</v>
      </c>
      <c r="U491" s="5">
        <v>328.1</v>
      </c>
      <c r="V491" s="5">
        <v>350.74</v>
      </c>
      <c r="W491">
        <v>4</v>
      </c>
      <c r="X491" t="s">
        <v>34</v>
      </c>
      <c r="Y491">
        <v>2025</v>
      </c>
      <c r="Z491" t="str">
        <f>TEXT(Table1[[#This Row],[Order Date]],"MMM")</f>
        <v>Mar</v>
      </c>
      <c r="AA491" s="5">
        <f>Table1[[#This Row],[Unit Price]]*Table1[[#This Row],[Quantity]]*(1-Table1[[#This Row],[Discount %]]/100)</f>
        <v>492.15000000000003</v>
      </c>
      <c r="AB491" s="5">
        <f>Table1[[#This Row],[Sales]]-Table1[[#This Row],[Cost]]</f>
        <v>141.41000000000003</v>
      </c>
    </row>
    <row r="492" spans="1:28" x14ac:dyDescent="0.3">
      <c r="A492" t="s">
        <v>1423</v>
      </c>
      <c r="B492" s="1">
        <v>45959</v>
      </c>
      <c r="C492" t="s">
        <v>1424</v>
      </c>
      <c r="D492" t="s">
        <v>3272</v>
      </c>
      <c r="E492" s="1">
        <v>45960</v>
      </c>
      <c r="F492" t="s">
        <v>56</v>
      </c>
      <c r="G492" t="s">
        <v>54</v>
      </c>
      <c r="H492" t="s">
        <v>55</v>
      </c>
      <c r="I492" t="s">
        <v>2675</v>
      </c>
      <c r="J492" t="s">
        <v>2703</v>
      </c>
      <c r="K492" t="s">
        <v>52</v>
      </c>
      <c r="L492">
        <v>41</v>
      </c>
      <c r="M492">
        <v>2</v>
      </c>
      <c r="N492">
        <v>30</v>
      </c>
      <c r="O492" t="s">
        <v>214</v>
      </c>
      <c r="P492" t="s">
        <v>44</v>
      </c>
      <c r="Q492" t="s">
        <v>31</v>
      </c>
      <c r="R492" t="s">
        <v>62</v>
      </c>
      <c r="S492" t="s">
        <v>57</v>
      </c>
      <c r="T492">
        <v>2</v>
      </c>
      <c r="U492" s="5">
        <v>319.18</v>
      </c>
      <c r="V492" s="5">
        <v>344.56</v>
      </c>
      <c r="W492">
        <v>1</v>
      </c>
      <c r="X492" t="s">
        <v>94</v>
      </c>
      <c r="Y492">
        <v>2025</v>
      </c>
      <c r="Z492" t="str">
        <f>TEXT(Table1[[#This Row],[Order Date]],"MMM")</f>
        <v>Oct</v>
      </c>
      <c r="AA492" s="5">
        <f>Table1[[#This Row],[Unit Price]]*Table1[[#This Row],[Quantity]]*(1-Table1[[#This Row],[Discount %]]/100)</f>
        <v>446.85199999999998</v>
      </c>
      <c r="AB492" s="5">
        <f>Table1[[#This Row],[Sales]]-Table1[[#This Row],[Cost]]</f>
        <v>102.29199999999997</v>
      </c>
    </row>
    <row r="493" spans="1:28" x14ac:dyDescent="0.3">
      <c r="A493" t="s">
        <v>1425</v>
      </c>
      <c r="B493" s="1">
        <v>45304</v>
      </c>
      <c r="C493" t="s">
        <v>1426</v>
      </c>
      <c r="D493" t="s">
        <v>3273</v>
      </c>
      <c r="E493" s="1">
        <v>45307</v>
      </c>
      <c r="F493" t="s">
        <v>140</v>
      </c>
      <c r="G493" t="s">
        <v>38</v>
      </c>
      <c r="H493" t="s">
        <v>139</v>
      </c>
      <c r="I493" t="s">
        <v>2675</v>
      </c>
      <c r="J493" t="s">
        <v>2703</v>
      </c>
      <c r="K493" t="s">
        <v>25</v>
      </c>
      <c r="L493">
        <v>63</v>
      </c>
      <c r="M493">
        <v>5</v>
      </c>
      <c r="N493">
        <v>30</v>
      </c>
      <c r="O493" t="s">
        <v>1082</v>
      </c>
      <c r="P493" t="s">
        <v>75</v>
      </c>
      <c r="Q493" t="s">
        <v>117</v>
      </c>
      <c r="R493" t="s">
        <v>43</v>
      </c>
      <c r="S493" t="s">
        <v>141</v>
      </c>
      <c r="T493">
        <v>2</v>
      </c>
      <c r="U493" s="5">
        <v>393.04</v>
      </c>
      <c r="V493" s="5">
        <v>1113.8399999999999</v>
      </c>
      <c r="W493">
        <v>3</v>
      </c>
      <c r="X493" t="s">
        <v>34</v>
      </c>
      <c r="Y493">
        <v>2024</v>
      </c>
      <c r="Z493" t="str">
        <f>TEXT(Table1[[#This Row],[Order Date]],"MMM")</f>
        <v>Jan</v>
      </c>
      <c r="AA493" s="5">
        <f>Table1[[#This Row],[Unit Price]]*Table1[[#This Row],[Quantity]]*(1-Table1[[#This Row],[Discount %]]/100)</f>
        <v>1375.6399999999999</v>
      </c>
      <c r="AB493" s="5">
        <f>Table1[[#This Row],[Sales]]-Table1[[#This Row],[Cost]]</f>
        <v>261.79999999999995</v>
      </c>
    </row>
    <row r="494" spans="1:28" x14ac:dyDescent="0.3">
      <c r="A494" t="s">
        <v>1427</v>
      </c>
      <c r="B494" s="1">
        <v>45656</v>
      </c>
      <c r="C494" t="s">
        <v>1428</v>
      </c>
      <c r="D494" t="s">
        <v>3274</v>
      </c>
      <c r="E494" s="1">
        <v>45659</v>
      </c>
      <c r="F494" t="s">
        <v>140</v>
      </c>
      <c r="G494" t="s">
        <v>38</v>
      </c>
      <c r="H494" t="s">
        <v>139</v>
      </c>
      <c r="I494" t="s">
        <v>2668</v>
      </c>
      <c r="J494" t="s">
        <v>2669</v>
      </c>
      <c r="K494" t="s">
        <v>52</v>
      </c>
      <c r="L494">
        <v>53</v>
      </c>
      <c r="M494">
        <v>1</v>
      </c>
      <c r="N494">
        <v>20</v>
      </c>
      <c r="O494" t="s">
        <v>1429</v>
      </c>
      <c r="P494" t="s">
        <v>44</v>
      </c>
      <c r="Q494" t="s">
        <v>31</v>
      </c>
      <c r="R494" t="s">
        <v>71</v>
      </c>
      <c r="S494" t="s">
        <v>141</v>
      </c>
      <c r="T494">
        <v>2</v>
      </c>
      <c r="U494" s="5">
        <v>196.37</v>
      </c>
      <c r="V494" s="5">
        <v>92.1</v>
      </c>
      <c r="W494">
        <v>3</v>
      </c>
      <c r="X494" t="s">
        <v>94</v>
      </c>
      <c r="Y494">
        <v>2024</v>
      </c>
      <c r="Z494" t="str">
        <f>TEXT(Table1[[#This Row],[Order Date]],"MMM")</f>
        <v>Dec</v>
      </c>
      <c r="AA494" s="5">
        <f>Table1[[#This Row],[Unit Price]]*Table1[[#This Row],[Quantity]]*(1-Table1[[#This Row],[Discount %]]/100)</f>
        <v>157.096</v>
      </c>
      <c r="AB494" s="5">
        <f>Table1[[#This Row],[Sales]]-Table1[[#This Row],[Cost]]</f>
        <v>64.996000000000009</v>
      </c>
    </row>
    <row r="495" spans="1:28" x14ac:dyDescent="0.3">
      <c r="A495" t="s">
        <v>1430</v>
      </c>
      <c r="B495" s="1">
        <v>45688</v>
      </c>
      <c r="C495" t="s">
        <v>1431</v>
      </c>
      <c r="D495" t="s">
        <v>3275</v>
      </c>
      <c r="E495" s="1">
        <v>45689</v>
      </c>
      <c r="F495" t="s">
        <v>56</v>
      </c>
      <c r="G495" t="s">
        <v>54</v>
      </c>
      <c r="H495" t="s">
        <v>55</v>
      </c>
      <c r="I495" t="s">
        <v>2623</v>
      </c>
      <c r="J495" t="s">
        <v>2713</v>
      </c>
      <c r="K495" t="s">
        <v>25</v>
      </c>
      <c r="L495">
        <v>33</v>
      </c>
      <c r="M495">
        <v>3</v>
      </c>
      <c r="N495">
        <v>0</v>
      </c>
      <c r="O495" t="s">
        <v>1432</v>
      </c>
      <c r="P495" t="s">
        <v>44</v>
      </c>
      <c r="Q495" t="s">
        <v>42</v>
      </c>
      <c r="R495" t="s">
        <v>32</v>
      </c>
      <c r="S495" t="s">
        <v>57</v>
      </c>
      <c r="T495">
        <v>1</v>
      </c>
      <c r="U495" s="5">
        <v>828.09</v>
      </c>
      <c r="V495" s="5">
        <v>1301.97</v>
      </c>
      <c r="W495">
        <v>1</v>
      </c>
      <c r="X495" t="s">
        <v>34</v>
      </c>
      <c r="Y495">
        <v>2025</v>
      </c>
      <c r="Z495" t="str">
        <f>TEXT(Table1[[#This Row],[Order Date]],"MMM")</f>
        <v>Jan</v>
      </c>
      <c r="AA495" s="5">
        <f>Table1[[#This Row],[Unit Price]]*Table1[[#This Row],[Quantity]]*(1-Table1[[#This Row],[Discount %]]/100)</f>
        <v>2484.27</v>
      </c>
      <c r="AB495" s="5">
        <f>Table1[[#This Row],[Sales]]-Table1[[#This Row],[Cost]]</f>
        <v>1182.3</v>
      </c>
    </row>
    <row r="496" spans="1:28" x14ac:dyDescent="0.3">
      <c r="A496" t="s">
        <v>1433</v>
      </c>
      <c r="B496" s="1">
        <v>45699</v>
      </c>
      <c r="C496" t="s">
        <v>1434</v>
      </c>
      <c r="D496" t="s">
        <v>3276</v>
      </c>
      <c r="E496" s="1">
        <v>45702</v>
      </c>
      <c r="F496" t="s">
        <v>56</v>
      </c>
      <c r="G496" t="s">
        <v>54</v>
      </c>
      <c r="H496" t="s">
        <v>55</v>
      </c>
      <c r="I496" t="s">
        <v>2621</v>
      </c>
      <c r="J496" t="s">
        <v>2647</v>
      </c>
      <c r="K496" t="s">
        <v>25</v>
      </c>
      <c r="L496">
        <v>21</v>
      </c>
      <c r="M496">
        <v>4</v>
      </c>
      <c r="N496">
        <v>5</v>
      </c>
      <c r="O496" t="s">
        <v>1435</v>
      </c>
      <c r="P496" t="s">
        <v>33</v>
      </c>
      <c r="Q496" t="s">
        <v>70</v>
      </c>
      <c r="R496" t="s">
        <v>43</v>
      </c>
      <c r="S496" t="s">
        <v>57</v>
      </c>
      <c r="T496">
        <v>1</v>
      </c>
      <c r="U496" s="5">
        <v>727.06</v>
      </c>
      <c r="V496" s="5">
        <v>1394.98</v>
      </c>
      <c r="W496">
        <v>3</v>
      </c>
      <c r="X496" t="s">
        <v>34</v>
      </c>
      <c r="Y496">
        <v>2025</v>
      </c>
      <c r="Z496" t="str">
        <f>TEXT(Table1[[#This Row],[Order Date]],"MMM")</f>
        <v>Feb</v>
      </c>
      <c r="AA496" s="5">
        <f>Table1[[#This Row],[Unit Price]]*Table1[[#This Row],[Quantity]]*(1-Table1[[#This Row],[Discount %]]/100)</f>
        <v>2762.8279999999995</v>
      </c>
      <c r="AB496" s="5">
        <f>Table1[[#This Row],[Sales]]-Table1[[#This Row],[Cost]]</f>
        <v>1367.8479999999995</v>
      </c>
    </row>
    <row r="497" spans="1:28" x14ac:dyDescent="0.3">
      <c r="A497" t="s">
        <v>1436</v>
      </c>
      <c r="B497" s="1">
        <v>45626</v>
      </c>
      <c r="C497" t="s">
        <v>1437</v>
      </c>
      <c r="D497" t="s">
        <v>3277</v>
      </c>
      <c r="E497" s="1">
        <v>45627</v>
      </c>
      <c r="F497" t="s">
        <v>29</v>
      </c>
      <c r="G497" t="s">
        <v>27</v>
      </c>
      <c r="H497" t="s">
        <v>28</v>
      </c>
      <c r="I497" t="s">
        <v>2629</v>
      </c>
      <c r="J497" t="s">
        <v>2632</v>
      </c>
      <c r="K497" t="s">
        <v>25</v>
      </c>
      <c r="L497">
        <v>44</v>
      </c>
      <c r="M497">
        <v>4</v>
      </c>
      <c r="N497">
        <v>20</v>
      </c>
      <c r="O497" t="s">
        <v>1438</v>
      </c>
      <c r="P497" t="s">
        <v>44</v>
      </c>
      <c r="Q497" t="s">
        <v>70</v>
      </c>
      <c r="R497" t="s">
        <v>62</v>
      </c>
      <c r="S497" t="s">
        <v>30</v>
      </c>
      <c r="T497">
        <v>2</v>
      </c>
      <c r="U497" s="5">
        <v>168.36</v>
      </c>
      <c r="V497" s="5">
        <v>441.27</v>
      </c>
      <c r="W497">
        <v>1</v>
      </c>
      <c r="X497" t="s">
        <v>94</v>
      </c>
      <c r="Y497">
        <v>2024</v>
      </c>
      <c r="Z497" t="str">
        <f>TEXT(Table1[[#This Row],[Order Date]],"MMM")</f>
        <v>Nov</v>
      </c>
      <c r="AA497" s="5">
        <f>Table1[[#This Row],[Unit Price]]*Table1[[#This Row],[Quantity]]*(1-Table1[[#This Row],[Discount %]]/100)</f>
        <v>538.75200000000007</v>
      </c>
      <c r="AB497" s="5">
        <f>Table1[[#This Row],[Sales]]-Table1[[#This Row],[Cost]]</f>
        <v>97.482000000000085</v>
      </c>
    </row>
    <row r="498" spans="1:28" x14ac:dyDescent="0.3">
      <c r="A498" t="s">
        <v>1439</v>
      </c>
      <c r="B498" s="1">
        <v>45632</v>
      </c>
      <c r="C498" t="s">
        <v>1440</v>
      </c>
      <c r="D498" t="s">
        <v>3278</v>
      </c>
      <c r="E498" s="1">
        <v>45636</v>
      </c>
      <c r="F498" t="s">
        <v>100</v>
      </c>
      <c r="G498" t="s">
        <v>98</v>
      </c>
      <c r="H498" t="s">
        <v>99</v>
      </c>
      <c r="I498" t="s">
        <v>2628</v>
      </c>
      <c r="J498" t="s">
        <v>2711</v>
      </c>
      <c r="K498" t="s">
        <v>25</v>
      </c>
      <c r="L498">
        <v>28</v>
      </c>
      <c r="M498">
        <v>4</v>
      </c>
      <c r="N498">
        <v>25</v>
      </c>
      <c r="O498" t="s">
        <v>1344</v>
      </c>
      <c r="P498" t="s">
        <v>44</v>
      </c>
      <c r="Q498" t="s">
        <v>31</v>
      </c>
      <c r="R498" t="s">
        <v>71</v>
      </c>
      <c r="S498" t="s">
        <v>101</v>
      </c>
      <c r="T498">
        <v>2</v>
      </c>
      <c r="U498" s="5">
        <v>727.65</v>
      </c>
      <c r="V498" s="5">
        <v>1197.48</v>
      </c>
      <c r="W498">
        <v>4</v>
      </c>
      <c r="X498" t="s">
        <v>94</v>
      </c>
      <c r="Y498">
        <v>2024</v>
      </c>
      <c r="Z498" t="str">
        <f>TEXT(Table1[[#This Row],[Order Date]],"MMM")</f>
        <v>Dec</v>
      </c>
      <c r="AA498" s="5">
        <f>Table1[[#This Row],[Unit Price]]*Table1[[#This Row],[Quantity]]*(1-Table1[[#This Row],[Discount %]]/100)</f>
        <v>2182.9499999999998</v>
      </c>
      <c r="AB498" s="5">
        <f>Table1[[#This Row],[Sales]]-Table1[[#This Row],[Cost]]</f>
        <v>985.4699999999998</v>
      </c>
    </row>
    <row r="499" spans="1:28" x14ac:dyDescent="0.3">
      <c r="A499" t="s">
        <v>1441</v>
      </c>
      <c r="B499" s="1">
        <v>45776</v>
      </c>
      <c r="C499" t="s">
        <v>1442</v>
      </c>
      <c r="D499" t="s">
        <v>3279</v>
      </c>
      <c r="E499" s="1">
        <v>45778</v>
      </c>
      <c r="F499" t="s">
        <v>122</v>
      </c>
      <c r="G499" t="s">
        <v>120</v>
      </c>
      <c r="H499" t="s">
        <v>121</v>
      </c>
      <c r="I499" t="s">
        <v>2627</v>
      </c>
      <c r="J499" t="s">
        <v>2690</v>
      </c>
      <c r="K499" t="s">
        <v>25</v>
      </c>
      <c r="L499">
        <v>45</v>
      </c>
      <c r="M499">
        <v>1</v>
      </c>
      <c r="N499">
        <v>0</v>
      </c>
      <c r="O499" t="s">
        <v>1443</v>
      </c>
      <c r="P499" t="s">
        <v>33</v>
      </c>
      <c r="Q499" t="s">
        <v>31</v>
      </c>
      <c r="R499" t="s">
        <v>43</v>
      </c>
      <c r="S499" t="s">
        <v>123</v>
      </c>
      <c r="T499">
        <v>2</v>
      </c>
      <c r="U499" s="5">
        <v>769.65</v>
      </c>
      <c r="V499" s="5">
        <v>525.49</v>
      </c>
      <c r="W499">
        <v>2</v>
      </c>
      <c r="X499" t="s">
        <v>49</v>
      </c>
      <c r="Y499">
        <v>2025</v>
      </c>
      <c r="Z499" t="str">
        <f>TEXT(Table1[[#This Row],[Order Date]],"MMM")</f>
        <v>Apr</v>
      </c>
      <c r="AA499" s="5">
        <f>Table1[[#This Row],[Unit Price]]*Table1[[#This Row],[Quantity]]*(1-Table1[[#This Row],[Discount %]]/100)</f>
        <v>769.65</v>
      </c>
      <c r="AB499" s="5">
        <f>Table1[[#This Row],[Sales]]-Table1[[#This Row],[Cost]]</f>
        <v>244.15999999999997</v>
      </c>
    </row>
    <row r="500" spans="1:28" x14ac:dyDescent="0.3">
      <c r="A500" t="s">
        <v>1444</v>
      </c>
      <c r="B500" s="1">
        <v>45596</v>
      </c>
      <c r="C500" t="s">
        <v>1445</v>
      </c>
      <c r="D500" t="s">
        <v>3280</v>
      </c>
      <c r="E500" s="1">
        <v>45603</v>
      </c>
      <c r="F500" t="s">
        <v>140</v>
      </c>
      <c r="G500" t="s">
        <v>38</v>
      </c>
      <c r="H500" t="s">
        <v>139</v>
      </c>
      <c r="I500" t="s">
        <v>2648</v>
      </c>
      <c r="J500" t="s">
        <v>2684</v>
      </c>
      <c r="K500" t="s">
        <v>25</v>
      </c>
      <c r="L500">
        <v>50</v>
      </c>
      <c r="M500">
        <v>4</v>
      </c>
      <c r="N500">
        <v>20</v>
      </c>
      <c r="O500" t="s">
        <v>1446</v>
      </c>
      <c r="P500" t="s">
        <v>75</v>
      </c>
      <c r="Q500" t="s">
        <v>31</v>
      </c>
      <c r="R500" t="s">
        <v>71</v>
      </c>
      <c r="S500" t="s">
        <v>141</v>
      </c>
      <c r="T500">
        <v>2</v>
      </c>
      <c r="U500" s="5">
        <v>431.74</v>
      </c>
      <c r="V500" s="5">
        <v>1172.01</v>
      </c>
      <c r="W500">
        <v>7</v>
      </c>
      <c r="X500" t="s">
        <v>94</v>
      </c>
      <c r="Y500">
        <v>2024</v>
      </c>
      <c r="Z500" t="str">
        <f>TEXT(Table1[[#This Row],[Order Date]],"MMM")</f>
        <v>Oct</v>
      </c>
      <c r="AA500" s="5">
        <f>Table1[[#This Row],[Unit Price]]*Table1[[#This Row],[Quantity]]*(1-Table1[[#This Row],[Discount %]]/100)</f>
        <v>1381.5680000000002</v>
      </c>
      <c r="AB500" s="5">
        <f>Table1[[#This Row],[Sales]]-Table1[[#This Row],[Cost]]</f>
        <v>209.55800000000022</v>
      </c>
    </row>
    <row r="501" spans="1:28" x14ac:dyDescent="0.3">
      <c r="A501" t="s">
        <v>1447</v>
      </c>
      <c r="B501" s="1">
        <v>45503</v>
      </c>
      <c r="C501" t="s">
        <v>1448</v>
      </c>
      <c r="D501" t="s">
        <v>3281</v>
      </c>
      <c r="E501" s="1">
        <v>45505</v>
      </c>
      <c r="F501" t="s">
        <v>128</v>
      </c>
      <c r="G501" t="s">
        <v>98</v>
      </c>
      <c r="H501" t="s">
        <v>127</v>
      </c>
      <c r="I501" t="s">
        <v>2637</v>
      </c>
      <c r="J501" t="s">
        <v>2638</v>
      </c>
      <c r="K501" t="s">
        <v>25</v>
      </c>
      <c r="L501">
        <v>24</v>
      </c>
      <c r="M501">
        <v>2</v>
      </c>
      <c r="N501">
        <v>5</v>
      </c>
      <c r="O501" t="s">
        <v>1449</v>
      </c>
      <c r="P501" t="s">
        <v>44</v>
      </c>
      <c r="Q501" t="s">
        <v>70</v>
      </c>
      <c r="R501" t="s">
        <v>43</v>
      </c>
      <c r="S501" t="s">
        <v>129</v>
      </c>
      <c r="T501">
        <v>3</v>
      </c>
      <c r="U501" s="5">
        <v>958.4</v>
      </c>
      <c r="V501" s="5">
        <v>1506.9</v>
      </c>
      <c r="W501">
        <v>2</v>
      </c>
      <c r="X501" t="s">
        <v>45</v>
      </c>
      <c r="Y501">
        <v>2024</v>
      </c>
      <c r="Z501" t="str">
        <f>TEXT(Table1[[#This Row],[Order Date]],"MMM")</f>
        <v>Jul</v>
      </c>
      <c r="AA501" s="5">
        <f>Table1[[#This Row],[Unit Price]]*Table1[[#This Row],[Quantity]]*(1-Table1[[#This Row],[Discount %]]/100)</f>
        <v>1820.9599999999998</v>
      </c>
      <c r="AB501" s="5">
        <f>Table1[[#This Row],[Sales]]-Table1[[#This Row],[Cost]]</f>
        <v>314.05999999999972</v>
      </c>
    </row>
    <row r="502" spans="1:28" x14ac:dyDescent="0.3">
      <c r="A502" t="s">
        <v>1450</v>
      </c>
      <c r="B502" s="1">
        <v>45681</v>
      </c>
      <c r="C502" t="s">
        <v>909</v>
      </c>
      <c r="D502" t="s">
        <v>3282</v>
      </c>
      <c r="E502" s="1">
        <v>45683</v>
      </c>
      <c r="F502" t="s">
        <v>56</v>
      </c>
      <c r="G502" t="s">
        <v>54</v>
      </c>
      <c r="H502" t="s">
        <v>55</v>
      </c>
      <c r="I502" t="s">
        <v>2629</v>
      </c>
      <c r="J502" t="s">
        <v>2632</v>
      </c>
      <c r="K502" t="s">
        <v>52</v>
      </c>
      <c r="L502">
        <v>37</v>
      </c>
      <c r="M502">
        <v>5</v>
      </c>
      <c r="N502">
        <v>10</v>
      </c>
      <c r="O502" t="s">
        <v>1090</v>
      </c>
      <c r="P502" t="s">
        <v>44</v>
      </c>
      <c r="Q502" t="s">
        <v>117</v>
      </c>
      <c r="R502" t="s">
        <v>71</v>
      </c>
      <c r="S502" t="s">
        <v>57</v>
      </c>
      <c r="T502">
        <v>2</v>
      </c>
      <c r="U502" s="5">
        <v>503.62</v>
      </c>
      <c r="V502" s="5">
        <v>1689.59</v>
      </c>
      <c r="W502">
        <v>2</v>
      </c>
      <c r="X502" t="s">
        <v>34</v>
      </c>
      <c r="Y502">
        <v>2025</v>
      </c>
      <c r="Z502" t="str">
        <f>TEXT(Table1[[#This Row],[Order Date]],"MMM")</f>
        <v>Jan</v>
      </c>
      <c r="AA502" s="5">
        <f>Table1[[#This Row],[Unit Price]]*Table1[[#This Row],[Quantity]]*(1-Table1[[#This Row],[Discount %]]/100)</f>
        <v>2266.29</v>
      </c>
      <c r="AB502" s="5">
        <f>Table1[[#This Row],[Sales]]-Table1[[#This Row],[Cost]]</f>
        <v>576.70000000000005</v>
      </c>
    </row>
    <row r="503" spans="1:28" x14ac:dyDescent="0.3">
      <c r="A503" t="s">
        <v>1451</v>
      </c>
      <c r="B503" s="1">
        <v>45672</v>
      </c>
      <c r="C503" t="s">
        <v>1012</v>
      </c>
      <c r="D503" t="s">
        <v>3283</v>
      </c>
      <c r="E503" s="1">
        <v>45677</v>
      </c>
      <c r="F503" t="s">
        <v>122</v>
      </c>
      <c r="G503" t="s">
        <v>120</v>
      </c>
      <c r="H503" t="s">
        <v>121</v>
      </c>
      <c r="I503" t="s">
        <v>2659</v>
      </c>
      <c r="J503" t="s">
        <v>2666</v>
      </c>
      <c r="K503" t="s">
        <v>25</v>
      </c>
      <c r="L503">
        <v>52</v>
      </c>
      <c r="M503">
        <v>5</v>
      </c>
      <c r="N503">
        <v>0</v>
      </c>
      <c r="O503" t="s">
        <v>1122</v>
      </c>
      <c r="P503" t="s">
        <v>33</v>
      </c>
      <c r="Q503" t="s">
        <v>31</v>
      </c>
      <c r="R503" t="s">
        <v>32</v>
      </c>
      <c r="S503" t="s">
        <v>123</v>
      </c>
      <c r="T503">
        <v>1</v>
      </c>
      <c r="U503" s="5">
        <v>289.77999999999997</v>
      </c>
      <c r="V503" s="5">
        <v>1056.52</v>
      </c>
      <c r="W503">
        <v>5</v>
      </c>
      <c r="X503" t="s">
        <v>34</v>
      </c>
      <c r="Y503">
        <v>2025</v>
      </c>
      <c r="Z503" t="str">
        <f>TEXT(Table1[[#This Row],[Order Date]],"MMM")</f>
        <v>Jan</v>
      </c>
      <c r="AA503" s="5">
        <f>Table1[[#This Row],[Unit Price]]*Table1[[#This Row],[Quantity]]*(1-Table1[[#This Row],[Discount %]]/100)</f>
        <v>1448.8999999999999</v>
      </c>
      <c r="AB503" s="5">
        <f>Table1[[#This Row],[Sales]]-Table1[[#This Row],[Cost]]</f>
        <v>392.37999999999988</v>
      </c>
    </row>
    <row r="504" spans="1:28" x14ac:dyDescent="0.3">
      <c r="A504" t="s">
        <v>1452</v>
      </c>
      <c r="B504" s="1">
        <v>45670</v>
      </c>
      <c r="C504" t="s">
        <v>1453</v>
      </c>
      <c r="D504" t="s">
        <v>3284</v>
      </c>
      <c r="E504" s="1">
        <v>45672</v>
      </c>
      <c r="F504" t="s">
        <v>56</v>
      </c>
      <c r="G504" t="s">
        <v>54</v>
      </c>
      <c r="H504" t="s">
        <v>55</v>
      </c>
      <c r="I504" t="s">
        <v>2621</v>
      </c>
      <c r="J504" t="s">
        <v>2699</v>
      </c>
      <c r="K504" t="s">
        <v>52</v>
      </c>
      <c r="L504">
        <v>27</v>
      </c>
      <c r="M504">
        <v>1</v>
      </c>
      <c r="N504">
        <v>0</v>
      </c>
      <c r="O504" t="s">
        <v>1454</v>
      </c>
      <c r="P504" t="s">
        <v>33</v>
      </c>
      <c r="Q504" t="s">
        <v>58</v>
      </c>
      <c r="R504" t="s">
        <v>71</v>
      </c>
      <c r="S504" t="s">
        <v>57</v>
      </c>
      <c r="T504">
        <v>2</v>
      </c>
      <c r="U504" s="5">
        <v>115.08</v>
      </c>
      <c r="V504" s="5">
        <v>85.62</v>
      </c>
      <c r="W504">
        <v>2</v>
      </c>
      <c r="X504" t="s">
        <v>34</v>
      </c>
      <c r="Y504">
        <v>2025</v>
      </c>
      <c r="Z504" t="str">
        <f>TEXT(Table1[[#This Row],[Order Date]],"MMM")</f>
        <v>Jan</v>
      </c>
      <c r="AA504" s="5">
        <f>Table1[[#This Row],[Unit Price]]*Table1[[#This Row],[Quantity]]*(1-Table1[[#This Row],[Discount %]]/100)</f>
        <v>115.08</v>
      </c>
      <c r="AB504" s="5">
        <f>Table1[[#This Row],[Sales]]-Table1[[#This Row],[Cost]]</f>
        <v>29.459999999999994</v>
      </c>
    </row>
    <row r="505" spans="1:28" x14ac:dyDescent="0.3">
      <c r="A505" t="s">
        <v>1455</v>
      </c>
      <c r="B505" s="1">
        <v>45302</v>
      </c>
      <c r="C505" t="s">
        <v>1456</v>
      </c>
      <c r="D505" t="s">
        <v>3285</v>
      </c>
      <c r="E505" s="1">
        <v>45305</v>
      </c>
      <c r="F505" t="s">
        <v>115</v>
      </c>
      <c r="G505" t="s">
        <v>66</v>
      </c>
      <c r="H505" t="s">
        <v>114</v>
      </c>
      <c r="I505" t="s">
        <v>2671</v>
      </c>
      <c r="J505" t="s">
        <v>2672</v>
      </c>
      <c r="K505" t="s">
        <v>25</v>
      </c>
      <c r="L505">
        <v>58</v>
      </c>
      <c r="M505">
        <v>3</v>
      </c>
      <c r="N505">
        <v>25</v>
      </c>
      <c r="O505" t="s">
        <v>1457</v>
      </c>
      <c r="P505" t="s">
        <v>33</v>
      </c>
      <c r="Q505" t="s">
        <v>31</v>
      </c>
      <c r="R505" t="s">
        <v>71</v>
      </c>
      <c r="S505" t="s">
        <v>116</v>
      </c>
      <c r="T505">
        <v>5</v>
      </c>
      <c r="U505" s="5">
        <v>505.22</v>
      </c>
      <c r="V505" s="5">
        <v>951.44</v>
      </c>
      <c r="W505">
        <v>3</v>
      </c>
      <c r="X505" t="s">
        <v>34</v>
      </c>
      <c r="Y505">
        <v>2024</v>
      </c>
      <c r="Z505" t="str">
        <f>TEXT(Table1[[#This Row],[Order Date]],"MMM")</f>
        <v>Jan</v>
      </c>
      <c r="AA505" s="5">
        <f>Table1[[#This Row],[Unit Price]]*Table1[[#This Row],[Quantity]]*(1-Table1[[#This Row],[Discount %]]/100)</f>
        <v>1136.7450000000001</v>
      </c>
      <c r="AB505" s="5">
        <f>Table1[[#This Row],[Sales]]-Table1[[#This Row],[Cost]]</f>
        <v>185.30500000000006</v>
      </c>
    </row>
    <row r="506" spans="1:28" x14ac:dyDescent="0.3">
      <c r="A506" t="s">
        <v>1458</v>
      </c>
      <c r="B506" s="1">
        <v>45838</v>
      </c>
      <c r="C506" t="s">
        <v>1459</v>
      </c>
      <c r="D506" t="s">
        <v>3286</v>
      </c>
      <c r="E506" s="1">
        <v>45840</v>
      </c>
      <c r="F506" t="s">
        <v>68</v>
      </c>
      <c r="G506" t="s">
        <v>66</v>
      </c>
      <c r="H506" t="s">
        <v>67</v>
      </c>
      <c r="I506" t="s">
        <v>2628</v>
      </c>
      <c r="J506" t="s">
        <v>2642</v>
      </c>
      <c r="K506" t="s">
        <v>25</v>
      </c>
      <c r="L506">
        <v>27</v>
      </c>
      <c r="M506">
        <v>4</v>
      </c>
      <c r="N506">
        <v>30</v>
      </c>
      <c r="O506" t="s">
        <v>1460</v>
      </c>
      <c r="P506" t="s">
        <v>75</v>
      </c>
      <c r="Q506" t="s">
        <v>117</v>
      </c>
      <c r="R506" t="s">
        <v>43</v>
      </c>
      <c r="S506" t="s">
        <v>69</v>
      </c>
      <c r="T506">
        <v>3</v>
      </c>
      <c r="U506" s="5">
        <v>332.58</v>
      </c>
      <c r="V506" s="5">
        <v>692.57</v>
      </c>
      <c r="W506">
        <v>2</v>
      </c>
      <c r="X506" t="s">
        <v>49</v>
      </c>
      <c r="Y506">
        <v>2025</v>
      </c>
      <c r="Z506" t="str">
        <f>TEXT(Table1[[#This Row],[Order Date]],"MMM")</f>
        <v>Jun</v>
      </c>
      <c r="AA506" s="5">
        <f>Table1[[#This Row],[Unit Price]]*Table1[[#This Row],[Quantity]]*(1-Table1[[#This Row],[Discount %]]/100)</f>
        <v>931.22399999999993</v>
      </c>
      <c r="AB506" s="5">
        <f>Table1[[#This Row],[Sales]]-Table1[[#This Row],[Cost]]</f>
        <v>238.65399999999988</v>
      </c>
    </row>
    <row r="507" spans="1:28" x14ac:dyDescent="0.3">
      <c r="A507" t="s">
        <v>1461</v>
      </c>
      <c r="B507" s="1">
        <v>45626</v>
      </c>
      <c r="C507" t="s">
        <v>1462</v>
      </c>
      <c r="D507" t="s">
        <v>3287</v>
      </c>
      <c r="E507" s="1">
        <v>45629</v>
      </c>
      <c r="F507" t="s">
        <v>140</v>
      </c>
      <c r="G507" t="s">
        <v>38</v>
      </c>
      <c r="H507" t="s">
        <v>139</v>
      </c>
      <c r="I507" t="s">
        <v>2659</v>
      </c>
      <c r="J507" t="s">
        <v>2690</v>
      </c>
      <c r="K507" t="s">
        <v>25</v>
      </c>
      <c r="L507">
        <v>64</v>
      </c>
      <c r="M507">
        <v>5</v>
      </c>
      <c r="N507">
        <v>15</v>
      </c>
      <c r="O507" t="s">
        <v>1463</v>
      </c>
      <c r="P507" t="s">
        <v>33</v>
      </c>
      <c r="Q507" t="s">
        <v>70</v>
      </c>
      <c r="R507" t="s">
        <v>32</v>
      </c>
      <c r="S507" t="s">
        <v>141</v>
      </c>
      <c r="T507">
        <v>3</v>
      </c>
      <c r="U507" s="5">
        <v>768.66</v>
      </c>
      <c r="V507" s="5">
        <v>2393.79</v>
      </c>
      <c r="W507">
        <v>3</v>
      </c>
      <c r="X507" t="s">
        <v>94</v>
      </c>
      <c r="Y507">
        <v>2024</v>
      </c>
      <c r="Z507" t="str">
        <f>TEXT(Table1[[#This Row],[Order Date]],"MMM")</f>
        <v>Nov</v>
      </c>
      <c r="AA507" s="5">
        <f>Table1[[#This Row],[Unit Price]]*Table1[[#This Row],[Quantity]]*(1-Table1[[#This Row],[Discount %]]/100)</f>
        <v>3266.8049999999998</v>
      </c>
      <c r="AB507" s="5">
        <f>Table1[[#This Row],[Sales]]-Table1[[#This Row],[Cost]]</f>
        <v>873.01499999999987</v>
      </c>
    </row>
    <row r="508" spans="1:28" x14ac:dyDescent="0.3">
      <c r="A508" t="s">
        <v>1464</v>
      </c>
      <c r="B508" s="1">
        <v>45890</v>
      </c>
      <c r="C508" t="s">
        <v>1179</v>
      </c>
      <c r="D508" t="s">
        <v>3288</v>
      </c>
      <c r="E508" s="1">
        <v>45895</v>
      </c>
      <c r="F508" t="s">
        <v>122</v>
      </c>
      <c r="G508" t="s">
        <v>120</v>
      </c>
      <c r="H508" t="s">
        <v>121</v>
      </c>
      <c r="I508" t="s">
        <v>2623</v>
      </c>
      <c r="J508" t="s">
        <v>2624</v>
      </c>
      <c r="K508" t="s">
        <v>52</v>
      </c>
      <c r="L508">
        <v>26</v>
      </c>
      <c r="M508">
        <v>4</v>
      </c>
      <c r="N508">
        <v>15</v>
      </c>
      <c r="O508" t="s">
        <v>1149</v>
      </c>
      <c r="P508" t="s">
        <v>75</v>
      </c>
      <c r="Q508" t="s">
        <v>58</v>
      </c>
      <c r="R508" t="s">
        <v>71</v>
      </c>
      <c r="S508" t="s">
        <v>123</v>
      </c>
      <c r="T508">
        <v>5</v>
      </c>
      <c r="U508" s="5">
        <v>427.53</v>
      </c>
      <c r="V508" s="5">
        <v>791.58</v>
      </c>
      <c r="W508">
        <v>5</v>
      </c>
      <c r="X508" t="s">
        <v>45</v>
      </c>
      <c r="Y508">
        <v>2025</v>
      </c>
      <c r="Z508" t="str">
        <f>TEXT(Table1[[#This Row],[Order Date]],"MMM")</f>
        <v>Aug</v>
      </c>
      <c r="AA508" s="5">
        <f>Table1[[#This Row],[Unit Price]]*Table1[[#This Row],[Quantity]]*(1-Table1[[#This Row],[Discount %]]/100)</f>
        <v>1453.6019999999999</v>
      </c>
      <c r="AB508" s="5">
        <f>Table1[[#This Row],[Sales]]-Table1[[#This Row],[Cost]]</f>
        <v>662.02199999999982</v>
      </c>
    </row>
    <row r="509" spans="1:28" x14ac:dyDescent="0.3">
      <c r="A509" t="s">
        <v>1465</v>
      </c>
      <c r="B509" s="1">
        <v>45730</v>
      </c>
      <c r="C509" t="s">
        <v>1466</v>
      </c>
      <c r="D509" t="s">
        <v>3289</v>
      </c>
      <c r="E509" s="1">
        <v>45734</v>
      </c>
      <c r="F509" t="s">
        <v>115</v>
      </c>
      <c r="G509" t="s">
        <v>66</v>
      </c>
      <c r="H509" t="s">
        <v>114</v>
      </c>
      <c r="I509" t="s">
        <v>2627</v>
      </c>
      <c r="J509" t="s">
        <v>2707</v>
      </c>
      <c r="K509" t="s">
        <v>52</v>
      </c>
      <c r="L509">
        <v>20</v>
      </c>
      <c r="M509">
        <v>2</v>
      </c>
      <c r="N509">
        <v>20</v>
      </c>
      <c r="O509" t="s">
        <v>646</v>
      </c>
      <c r="P509" t="s">
        <v>44</v>
      </c>
      <c r="Q509" t="s">
        <v>70</v>
      </c>
      <c r="R509" t="s">
        <v>32</v>
      </c>
      <c r="S509" t="s">
        <v>116</v>
      </c>
      <c r="T509">
        <v>4</v>
      </c>
      <c r="U509" s="5">
        <v>416.15</v>
      </c>
      <c r="V509" s="5">
        <v>435.88</v>
      </c>
      <c r="W509">
        <v>4</v>
      </c>
      <c r="X509" t="s">
        <v>34</v>
      </c>
      <c r="Y509">
        <v>2025</v>
      </c>
      <c r="Z509" t="str">
        <f>TEXT(Table1[[#This Row],[Order Date]],"MMM")</f>
        <v>Mar</v>
      </c>
      <c r="AA509" s="5">
        <f>Table1[[#This Row],[Unit Price]]*Table1[[#This Row],[Quantity]]*(1-Table1[[#This Row],[Discount %]]/100)</f>
        <v>665.84</v>
      </c>
      <c r="AB509" s="5">
        <f>Table1[[#This Row],[Sales]]-Table1[[#This Row],[Cost]]</f>
        <v>229.96000000000004</v>
      </c>
    </row>
    <row r="510" spans="1:28" x14ac:dyDescent="0.3">
      <c r="A510" t="s">
        <v>1467</v>
      </c>
      <c r="B510" s="1">
        <v>45775</v>
      </c>
      <c r="C510" t="s">
        <v>1468</v>
      </c>
      <c r="D510" t="s">
        <v>3290</v>
      </c>
      <c r="E510" s="1">
        <v>45780</v>
      </c>
      <c r="F510" t="s">
        <v>115</v>
      </c>
      <c r="G510" t="s">
        <v>66</v>
      </c>
      <c r="H510" t="s">
        <v>114</v>
      </c>
      <c r="I510" t="s">
        <v>2659</v>
      </c>
      <c r="J510" t="s">
        <v>2660</v>
      </c>
      <c r="K510" t="s">
        <v>52</v>
      </c>
      <c r="L510">
        <v>36</v>
      </c>
      <c r="M510">
        <v>1</v>
      </c>
      <c r="N510">
        <v>20</v>
      </c>
      <c r="O510" t="s">
        <v>1469</v>
      </c>
      <c r="P510" t="s">
        <v>44</v>
      </c>
      <c r="Q510" t="s">
        <v>70</v>
      </c>
      <c r="R510" t="s">
        <v>71</v>
      </c>
      <c r="S510" t="s">
        <v>116</v>
      </c>
      <c r="T510">
        <v>4</v>
      </c>
      <c r="U510" s="5">
        <v>584.29999999999995</v>
      </c>
      <c r="V510" s="5">
        <v>352.26</v>
      </c>
      <c r="W510">
        <v>5</v>
      </c>
      <c r="X510" t="s">
        <v>49</v>
      </c>
      <c r="Y510">
        <v>2025</v>
      </c>
      <c r="Z510" t="str">
        <f>TEXT(Table1[[#This Row],[Order Date]],"MMM")</f>
        <v>Apr</v>
      </c>
      <c r="AA510" s="5">
        <f>Table1[[#This Row],[Unit Price]]*Table1[[#This Row],[Quantity]]*(1-Table1[[#This Row],[Discount %]]/100)</f>
        <v>467.44</v>
      </c>
      <c r="AB510" s="5">
        <f>Table1[[#This Row],[Sales]]-Table1[[#This Row],[Cost]]</f>
        <v>115.18</v>
      </c>
    </row>
    <row r="511" spans="1:28" x14ac:dyDescent="0.3">
      <c r="A511" t="s">
        <v>1470</v>
      </c>
      <c r="B511" s="1">
        <v>45824</v>
      </c>
      <c r="C511" t="s">
        <v>1471</v>
      </c>
      <c r="D511" t="s">
        <v>3291</v>
      </c>
      <c r="E511" s="1">
        <v>45825</v>
      </c>
      <c r="F511" t="s">
        <v>29</v>
      </c>
      <c r="G511" t="s">
        <v>27</v>
      </c>
      <c r="H511" t="s">
        <v>28</v>
      </c>
      <c r="I511" t="s">
        <v>2629</v>
      </c>
      <c r="J511" t="s">
        <v>2674</v>
      </c>
      <c r="K511" t="s">
        <v>25</v>
      </c>
      <c r="L511">
        <v>56</v>
      </c>
      <c r="M511">
        <v>2</v>
      </c>
      <c r="N511">
        <v>5</v>
      </c>
      <c r="O511" t="s">
        <v>1472</v>
      </c>
      <c r="P511" t="s">
        <v>33</v>
      </c>
      <c r="Q511" t="s">
        <v>70</v>
      </c>
      <c r="R511" t="s">
        <v>62</v>
      </c>
      <c r="S511" t="s">
        <v>30</v>
      </c>
      <c r="T511">
        <v>2</v>
      </c>
      <c r="U511" s="5">
        <v>951.36</v>
      </c>
      <c r="V511" s="5">
        <v>1301.43</v>
      </c>
      <c r="W511">
        <v>1</v>
      </c>
      <c r="X511" t="s">
        <v>49</v>
      </c>
      <c r="Y511">
        <v>2025</v>
      </c>
      <c r="Z511" t="str">
        <f>TEXT(Table1[[#This Row],[Order Date]],"MMM")</f>
        <v>Jun</v>
      </c>
      <c r="AA511" s="5">
        <f>Table1[[#This Row],[Unit Price]]*Table1[[#This Row],[Quantity]]*(1-Table1[[#This Row],[Discount %]]/100)</f>
        <v>1807.5839999999998</v>
      </c>
      <c r="AB511" s="5">
        <f>Table1[[#This Row],[Sales]]-Table1[[#This Row],[Cost]]</f>
        <v>506.15399999999977</v>
      </c>
    </row>
    <row r="512" spans="1:28" x14ac:dyDescent="0.3">
      <c r="A512" t="s">
        <v>1473</v>
      </c>
      <c r="B512" s="1">
        <v>45631</v>
      </c>
      <c r="C512" t="s">
        <v>1474</v>
      </c>
      <c r="D512" t="s">
        <v>3292</v>
      </c>
      <c r="E512" s="1">
        <v>45634</v>
      </c>
      <c r="F512" t="s">
        <v>122</v>
      </c>
      <c r="G512" t="s">
        <v>120</v>
      </c>
      <c r="H512" t="s">
        <v>121</v>
      </c>
      <c r="I512" t="s">
        <v>2625</v>
      </c>
      <c r="J512" t="s">
        <v>2685</v>
      </c>
      <c r="K512" t="s">
        <v>25</v>
      </c>
      <c r="L512">
        <v>46</v>
      </c>
      <c r="M512">
        <v>4</v>
      </c>
      <c r="N512">
        <v>30</v>
      </c>
      <c r="O512" t="s">
        <v>1339</v>
      </c>
      <c r="P512" t="s">
        <v>44</v>
      </c>
      <c r="Q512" t="s">
        <v>31</v>
      </c>
      <c r="R512" t="s">
        <v>32</v>
      </c>
      <c r="S512" t="s">
        <v>123</v>
      </c>
      <c r="T512">
        <v>1</v>
      </c>
      <c r="U512" s="5">
        <v>359.68</v>
      </c>
      <c r="V512" s="5">
        <v>588.22</v>
      </c>
      <c r="W512">
        <v>3</v>
      </c>
      <c r="X512" t="s">
        <v>94</v>
      </c>
      <c r="Y512">
        <v>2024</v>
      </c>
      <c r="Z512" t="str">
        <f>TEXT(Table1[[#This Row],[Order Date]],"MMM")</f>
        <v>Dec</v>
      </c>
      <c r="AA512" s="5">
        <f>Table1[[#This Row],[Unit Price]]*Table1[[#This Row],[Quantity]]*(1-Table1[[#This Row],[Discount %]]/100)</f>
        <v>1007.1039999999999</v>
      </c>
      <c r="AB512" s="5">
        <f>Table1[[#This Row],[Sales]]-Table1[[#This Row],[Cost]]</f>
        <v>418.8839999999999</v>
      </c>
    </row>
    <row r="513" spans="1:28" x14ac:dyDescent="0.3">
      <c r="A513" t="s">
        <v>1475</v>
      </c>
      <c r="B513" s="1">
        <v>45939</v>
      </c>
      <c r="C513" t="s">
        <v>1476</v>
      </c>
      <c r="D513" t="s">
        <v>3293</v>
      </c>
      <c r="E513" s="1">
        <v>45940</v>
      </c>
      <c r="F513" t="s">
        <v>29</v>
      </c>
      <c r="G513" t="s">
        <v>27</v>
      </c>
      <c r="H513" t="s">
        <v>28</v>
      </c>
      <c r="I513" t="s">
        <v>2621</v>
      </c>
      <c r="J513" t="s">
        <v>2699</v>
      </c>
      <c r="K513" t="s">
        <v>52</v>
      </c>
      <c r="L513">
        <v>39</v>
      </c>
      <c r="M513">
        <v>1</v>
      </c>
      <c r="N513">
        <v>5</v>
      </c>
      <c r="O513" t="s">
        <v>1477</v>
      </c>
      <c r="P513" t="s">
        <v>75</v>
      </c>
      <c r="Q513" t="s">
        <v>31</v>
      </c>
      <c r="R513" t="s">
        <v>43</v>
      </c>
      <c r="S513" t="s">
        <v>30</v>
      </c>
      <c r="T513">
        <v>5</v>
      </c>
      <c r="U513" s="5">
        <v>174.73</v>
      </c>
      <c r="V513" s="5">
        <v>87.9</v>
      </c>
      <c r="W513">
        <v>1</v>
      </c>
      <c r="X513" t="s">
        <v>94</v>
      </c>
      <c r="Y513">
        <v>2025</v>
      </c>
      <c r="Z513" t="str">
        <f>TEXT(Table1[[#This Row],[Order Date]],"MMM")</f>
        <v>Oct</v>
      </c>
      <c r="AA513" s="5">
        <f>Table1[[#This Row],[Unit Price]]*Table1[[#This Row],[Quantity]]*(1-Table1[[#This Row],[Discount %]]/100)</f>
        <v>165.99349999999998</v>
      </c>
      <c r="AB513" s="5">
        <f>Table1[[#This Row],[Sales]]-Table1[[#This Row],[Cost]]</f>
        <v>78.093499999999977</v>
      </c>
    </row>
    <row r="514" spans="1:28" x14ac:dyDescent="0.3">
      <c r="A514" t="s">
        <v>1478</v>
      </c>
      <c r="B514" s="1">
        <v>45750</v>
      </c>
      <c r="C514" t="s">
        <v>1479</v>
      </c>
      <c r="D514" t="s">
        <v>3294</v>
      </c>
      <c r="E514" s="1">
        <v>45752</v>
      </c>
      <c r="F514" t="s">
        <v>140</v>
      </c>
      <c r="G514" t="s">
        <v>38</v>
      </c>
      <c r="H514" t="s">
        <v>139</v>
      </c>
      <c r="I514" t="s">
        <v>2625</v>
      </c>
      <c r="J514" t="s">
        <v>2693</v>
      </c>
      <c r="K514" t="s">
        <v>52</v>
      </c>
      <c r="L514">
        <v>61</v>
      </c>
      <c r="M514">
        <v>2</v>
      </c>
      <c r="N514">
        <v>25</v>
      </c>
      <c r="O514" t="s">
        <v>1339</v>
      </c>
      <c r="P514" t="s">
        <v>33</v>
      </c>
      <c r="Q514" t="s">
        <v>42</v>
      </c>
      <c r="R514" t="s">
        <v>62</v>
      </c>
      <c r="S514" t="s">
        <v>141</v>
      </c>
      <c r="T514">
        <v>1</v>
      </c>
      <c r="U514" s="5">
        <v>355.25</v>
      </c>
      <c r="V514" s="5">
        <v>340.32</v>
      </c>
      <c r="W514">
        <v>2</v>
      </c>
      <c r="X514" t="s">
        <v>49</v>
      </c>
      <c r="Y514">
        <v>2025</v>
      </c>
      <c r="Z514" t="str">
        <f>TEXT(Table1[[#This Row],[Order Date]],"MMM")</f>
        <v>Apr</v>
      </c>
      <c r="AA514" s="5">
        <f>Table1[[#This Row],[Unit Price]]*Table1[[#This Row],[Quantity]]*(1-Table1[[#This Row],[Discount %]]/100)</f>
        <v>532.875</v>
      </c>
      <c r="AB514" s="5">
        <f>Table1[[#This Row],[Sales]]-Table1[[#This Row],[Cost]]</f>
        <v>192.55500000000001</v>
      </c>
    </row>
    <row r="515" spans="1:28" x14ac:dyDescent="0.3">
      <c r="A515" t="s">
        <v>1480</v>
      </c>
      <c r="B515" s="1">
        <v>45785</v>
      </c>
      <c r="C515" t="s">
        <v>1481</v>
      </c>
      <c r="D515" t="s">
        <v>3295</v>
      </c>
      <c r="E515" s="1">
        <v>45789</v>
      </c>
      <c r="F515" t="s">
        <v>128</v>
      </c>
      <c r="G515" t="s">
        <v>98</v>
      </c>
      <c r="H515" t="s">
        <v>127</v>
      </c>
      <c r="I515" t="s">
        <v>2621</v>
      </c>
      <c r="J515" t="s">
        <v>2699</v>
      </c>
      <c r="K515" t="s">
        <v>52</v>
      </c>
      <c r="L515">
        <v>57</v>
      </c>
      <c r="M515">
        <v>3</v>
      </c>
      <c r="N515">
        <v>20</v>
      </c>
      <c r="O515" t="s">
        <v>1482</v>
      </c>
      <c r="P515" t="s">
        <v>33</v>
      </c>
      <c r="Q515" t="s">
        <v>70</v>
      </c>
      <c r="R515" t="s">
        <v>71</v>
      </c>
      <c r="S515" t="s">
        <v>129</v>
      </c>
      <c r="T515">
        <v>2</v>
      </c>
      <c r="U515" s="5">
        <v>12.89</v>
      </c>
      <c r="V515" s="5">
        <v>17.420000000000002</v>
      </c>
      <c r="W515">
        <v>4</v>
      </c>
      <c r="X515" t="s">
        <v>49</v>
      </c>
      <c r="Y515">
        <v>2025</v>
      </c>
      <c r="Z515" t="str">
        <f>TEXT(Table1[[#This Row],[Order Date]],"MMM")</f>
        <v>May</v>
      </c>
      <c r="AA515" s="5">
        <f>Table1[[#This Row],[Unit Price]]*Table1[[#This Row],[Quantity]]*(1-Table1[[#This Row],[Discount %]]/100)</f>
        <v>30.936000000000003</v>
      </c>
      <c r="AB515" s="5">
        <f>Table1[[#This Row],[Sales]]-Table1[[#This Row],[Cost]]</f>
        <v>13.516000000000002</v>
      </c>
    </row>
    <row r="516" spans="1:28" x14ac:dyDescent="0.3">
      <c r="A516" t="s">
        <v>1483</v>
      </c>
      <c r="B516" s="1">
        <v>46147</v>
      </c>
      <c r="C516" t="s">
        <v>1484</v>
      </c>
      <c r="D516" t="s">
        <v>3296</v>
      </c>
      <c r="E516" s="1">
        <v>46152</v>
      </c>
      <c r="F516" t="s">
        <v>56</v>
      </c>
      <c r="G516" t="s">
        <v>54</v>
      </c>
      <c r="H516" t="s">
        <v>55</v>
      </c>
      <c r="I516" t="s">
        <v>2630</v>
      </c>
      <c r="J516" t="s">
        <v>2646</v>
      </c>
      <c r="K516" t="s">
        <v>25</v>
      </c>
      <c r="L516">
        <v>34</v>
      </c>
      <c r="M516">
        <v>1</v>
      </c>
      <c r="N516">
        <v>0</v>
      </c>
      <c r="O516" t="s">
        <v>1485</v>
      </c>
      <c r="P516" t="s">
        <v>75</v>
      </c>
      <c r="Q516" t="s">
        <v>58</v>
      </c>
      <c r="R516" t="s">
        <v>32</v>
      </c>
      <c r="S516" t="s">
        <v>57</v>
      </c>
      <c r="T516">
        <v>4</v>
      </c>
      <c r="U516" s="5">
        <v>526.9</v>
      </c>
      <c r="V516" s="5">
        <v>330.28</v>
      </c>
      <c r="W516">
        <v>5</v>
      </c>
      <c r="X516" t="s">
        <v>49</v>
      </c>
      <c r="Y516">
        <v>2026</v>
      </c>
      <c r="Z516" t="str">
        <f>TEXT(Table1[[#This Row],[Order Date]],"MMM")</f>
        <v>May</v>
      </c>
      <c r="AA516" s="5">
        <f>Table1[[#This Row],[Unit Price]]*Table1[[#This Row],[Quantity]]*(1-Table1[[#This Row],[Discount %]]/100)</f>
        <v>526.9</v>
      </c>
      <c r="AB516" s="5">
        <f>Table1[[#This Row],[Sales]]-Table1[[#This Row],[Cost]]</f>
        <v>196.62</v>
      </c>
    </row>
    <row r="517" spans="1:28" x14ac:dyDescent="0.3">
      <c r="A517" t="s">
        <v>1486</v>
      </c>
      <c r="B517" s="1">
        <v>45316</v>
      </c>
      <c r="C517" t="s">
        <v>1487</v>
      </c>
      <c r="D517" t="s">
        <v>3297</v>
      </c>
      <c r="E517" s="1">
        <v>45320</v>
      </c>
      <c r="F517" t="s">
        <v>56</v>
      </c>
      <c r="G517" t="s">
        <v>54</v>
      </c>
      <c r="H517" t="s">
        <v>55</v>
      </c>
      <c r="I517" t="s">
        <v>2643</v>
      </c>
      <c r="J517" t="s">
        <v>2717</v>
      </c>
      <c r="K517" t="s">
        <v>25</v>
      </c>
      <c r="L517">
        <v>19</v>
      </c>
      <c r="M517">
        <v>1</v>
      </c>
      <c r="N517">
        <v>15</v>
      </c>
      <c r="O517" t="s">
        <v>1463</v>
      </c>
      <c r="P517" t="s">
        <v>44</v>
      </c>
      <c r="Q517" t="s">
        <v>58</v>
      </c>
      <c r="R517" t="s">
        <v>43</v>
      </c>
      <c r="S517" t="s">
        <v>57</v>
      </c>
      <c r="T517">
        <v>1</v>
      </c>
      <c r="U517" s="5">
        <v>87.34</v>
      </c>
      <c r="V517" s="5">
        <v>55.45</v>
      </c>
      <c r="W517">
        <v>4</v>
      </c>
      <c r="X517" t="s">
        <v>34</v>
      </c>
      <c r="Y517">
        <v>2024</v>
      </c>
      <c r="Z517" t="str">
        <f>TEXT(Table1[[#This Row],[Order Date]],"MMM")</f>
        <v>Jan</v>
      </c>
      <c r="AA517" s="5">
        <f>Table1[[#This Row],[Unit Price]]*Table1[[#This Row],[Quantity]]*(1-Table1[[#This Row],[Discount %]]/100)</f>
        <v>74.239000000000004</v>
      </c>
      <c r="AB517" s="5">
        <f>Table1[[#This Row],[Sales]]-Table1[[#This Row],[Cost]]</f>
        <v>18.789000000000001</v>
      </c>
    </row>
    <row r="518" spans="1:28" x14ac:dyDescent="0.3">
      <c r="A518" t="s">
        <v>1488</v>
      </c>
      <c r="B518" s="1">
        <v>46094</v>
      </c>
      <c r="C518" t="s">
        <v>1489</v>
      </c>
      <c r="D518" t="s">
        <v>3298</v>
      </c>
      <c r="E518" s="1">
        <v>46099</v>
      </c>
      <c r="F518" t="s">
        <v>122</v>
      </c>
      <c r="G518" t="s">
        <v>120</v>
      </c>
      <c r="H518" t="s">
        <v>121</v>
      </c>
      <c r="I518" t="s">
        <v>2627</v>
      </c>
      <c r="J518" t="s">
        <v>2690</v>
      </c>
      <c r="K518" t="s">
        <v>25</v>
      </c>
      <c r="L518">
        <v>21</v>
      </c>
      <c r="M518">
        <v>1</v>
      </c>
      <c r="N518">
        <v>0</v>
      </c>
      <c r="O518" t="s">
        <v>700</v>
      </c>
      <c r="P518" t="s">
        <v>33</v>
      </c>
      <c r="Q518" t="s">
        <v>42</v>
      </c>
      <c r="R518" t="s">
        <v>62</v>
      </c>
      <c r="S518" t="s">
        <v>123</v>
      </c>
      <c r="T518">
        <v>3</v>
      </c>
      <c r="U518" s="5">
        <v>784.39</v>
      </c>
      <c r="V518" s="5">
        <v>593.15</v>
      </c>
      <c r="W518">
        <v>5</v>
      </c>
      <c r="X518" t="s">
        <v>34</v>
      </c>
      <c r="Y518">
        <v>2026</v>
      </c>
      <c r="Z518" t="str">
        <f>TEXT(Table1[[#This Row],[Order Date]],"MMM")</f>
        <v>Mar</v>
      </c>
      <c r="AA518" s="5">
        <f>Table1[[#This Row],[Unit Price]]*Table1[[#This Row],[Quantity]]*(1-Table1[[#This Row],[Discount %]]/100)</f>
        <v>784.39</v>
      </c>
      <c r="AB518" s="5">
        <f>Table1[[#This Row],[Sales]]-Table1[[#This Row],[Cost]]</f>
        <v>191.24</v>
      </c>
    </row>
    <row r="519" spans="1:28" x14ac:dyDescent="0.3">
      <c r="A519" t="s">
        <v>1490</v>
      </c>
      <c r="B519" s="1">
        <v>45856</v>
      </c>
      <c r="C519" t="s">
        <v>1491</v>
      </c>
      <c r="D519" t="s">
        <v>3299</v>
      </c>
      <c r="E519" s="1">
        <v>45863</v>
      </c>
      <c r="F519" t="s">
        <v>140</v>
      </c>
      <c r="G519" t="s">
        <v>38</v>
      </c>
      <c r="H519" t="s">
        <v>139</v>
      </c>
      <c r="I519" t="s">
        <v>2631</v>
      </c>
      <c r="J519" t="s">
        <v>2673</v>
      </c>
      <c r="K519" t="s">
        <v>52</v>
      </c>
      <c r="L519">
        <v>19</v>
      </c>
      <c r="M519">
        <v>1</v>
      </c>
      <c r="N519">
        <v>25</v>
      </c>
      <c r="O519" t="s">
        <v>709</v>
      </c>
      <c r="P519" t="s">
        <v>75</v>
      </c>
      <c r="Q519" t="s">
        <v>42</v>
      </c>
      <c r="R519" t="s">
        <v>32</v>
      </c>
      <c r="S519" t="s">
        <v>141</v>
      </c>
      <c r="T519">
        <v>5</v>
      </c>
      <c r="U519" s="5">
        <v>99.51</v>
      </c>
      <c r="V519" s="5">
        <v>61.08</v>
      </c>
      <c r="W519">
        <v>7</v>
      </c>
      <c r="X519" t="s">
        <v>45</v>
      </c>
      <c r="Y519">
        <v>2025</v>
      </c>
      <c r="Z519" t="str">
        <f>TEXT(Table1[[#This Row],[Order Date]],"MMM")</f>
        <v>Jul</v>
      </c>
      <c r="AA519" s="5">
        <f>Table1[[#This Row],[Unit Price]]*Table1[[#This Row],[Quantity]]*(1-Table1[[#This Row],[Discount %]]/100)</f>
        <v>74.632500000000007</v>
      </c>
      <c r="AB519" s="5">
        <f>Table1[[#This Row],[Sales]]-Table1[[#This Row],[Cost]]</f>
        <v>13.552500000000009</v>
      </c>
    </row>
    <row r="520" spans="1:28" x14ac:dyDescent="0.3">
      <c r="A520" t="s">
        <v>1492</v>
      </c>
      <c r="B520" s="1">
        <v>45863</v>
      </c>
      <c r="C520" t="s">
        <v>1493</v>
      </c>
      <c r="D520" t="s">
        <v>3300</v>
      </c>
      <c r="E520" s="1">
        <v>45864</v>
      </c>
      <c r="F520" t="s">
        <v>40</v>
      </c>
      <c r="G520" t="s">
        <v>38</v>
      </c>
      <c r="H520" t="s">
        <v>39</v>
      </c>
      <c r="I520" t="s">
        <v>2630</v>
      </c>
      <c r="J520" t="s">
        <v>2710</v>
      </c>
      <c r="K520" t="s">
        <v>52</v>
      </c>
      <c r="L520">
        <v>50</v>
      </c>
      <c r="M520">
        <v>3</v>
      </c>
      <c r="N520">
        <v>10</v>
      </c>
      <c r="O520" t="s">
        <v>1494</v>
      </c>
      <c r="P520" t="s">
        <v>33</v>
      </c>
      <c r="Q520" t="s">
        <v>117</v>
      </c>
      <c r="R520" t="s">
        <v>43</v>
      </c>
      <c r="S520" t="s">
        <v>41</v>
      </c>
      <c r="T520">
        <v>4</v>
      </c>
      <c r="U520" s="5">
        <v>853.18</v>
      </c>
      <c r="V520" s="5">
        <v>1637.44</v>
      </c>
      <c r="W520">
        <v>1</v>
      </c>
      <c r="X520" t="s">
        <v>45</v>
      </c>
      <c r="Y520">
        <v>2025</v>
      </c>
      <c r="Z520" t="str">
        <f>TEXT(Table1[[#This Row],[Order Date]],"MMM")</f>
        <v>Jul</v>
      </c>
      <c r="AA520" s="5">
        <f>Table1[[#This Row],[Unit Price]]*Table1[[#This Row],[Quantity]]*(1-Table1[[#This Row],[Discount %]]/100)</f>
        <v>2303.5860000000002</v>
      </c>
      <c r="AB520" s="5">
        <f>Table1[[#This Row],[Sales]]-Table1[[#This Row],[Cost]]</f>
        <v>666.14600000000019</v>
      </c>
    </row>
    <row r="521" spans="1:28" x14ac:dyDescent="0.3">
      <c r="A521" t="s">
        <v>1495</v>
      </c>
      <c r="B521" s="1">
        <v>45911</v>
      </c>
      <c r="C521" t="s">
        <v>1496</v>
      </c>
      <c r="D521" t="s">
        <v>3301</v>
      </c>
      <c r="E521" s="1">
        <v>45913</v>
      </c>
      <c r="F521" t="s">
        <v>100</v>
      </c>
      <c r="G521" t="s">
        <v>98</v>
      </c>
      <c r="H521" t="s">
        <v>99</v>
      </c>
      <c r="I521" t="s">
        <v>2619</v>
      </c>
      <c r="J521" t="s">
        <v>2697</v>
      </c>
      <c r="K521" t="s">
        <v>52</v>
      </c>
      <c r="L521">
        <v>50</v>
      </c>
      <c r="M521">
        <v>4</v>
      </c>
      <c r="N521">
        <v>5</v>
      </c>
      <c r="O521" t="s">
        <v>1497</v>
      </c>
      <c r="P521" t="s">
        <v>33</v>
      </c>
      <c r="Q521" t="s">
        <v>31</v>
      </c>
      <c r="R521" t="s">
        <v>32</v>
      </c>
      <c r="S521" t="s">
        <v>101</v>
      </c>
      <c r="T521">
        <v>2</v>
      </c>
      <c r="U521" s="5">
        <v>990.67</v>
      </c>
      <c r="V521" s="5">
        <v>2956.29</v>
      </c>
      <c r="W521">
        <v>2</v>
      </c>
      <c r="X521" t="s">
        <v>45</v>
      </c>
      <c r="Y521">
        <v>2025</v>
      </c>
      <c r="Z521" t="str">
        <f>TEXT(Table1[[#This Row],[Order Date]],"MMM")</f>
        <v>Sep</v>
      </c>
      <c r="AA521" s="5">
        <f>Table1[[#This Row],[Unit Price]]*Table1[[#This Row],[Quantity]]*(1-Table1[[#This Row],[Discount %]]/100)</f>
        <v>3764.5459999999998</v>
      </c>
      <c r="AB521" s="5">
        <f>Table1[[#This Row],[Sales]]-Table1[[#This Row],[Cost]]</f>
        <v>808.25599999999986</v>
      </c>
    </row>
    <row r="522" spans="1:28" x14ac:dyDescent="0.3">
      <c r="A522" t="s">
        <v>1498</v>
      </c>
      <c r="B522" s="1">
        <v>45612</v>
      </c>
      <c r="C522" t="s">
        <v>1499</v>
      </c>
      <c r="D522" t="s">
        <v>3302</v>
      </c>
      <c r="E522" s="1">
        <v>45613</v>
      </c>
      <c r="F522" t="s">
        <v>56</v>
      </c>
      <c r="G522" t="s">
        <v>54</v>
      </c>
      <c r="H522" t="s">
        <v>55</v>
      </c>
      <c r="I522" t="s">
        <v>2643</v>
      </c>
      <c r="J522" t="s">
        <v>2644</v>
      </c>
      <c r="K522" t="s">
        <v>52</v>
      </c>
      <c r="L522">
        <v>25</v>
      </c>
      <c r="M522">
        <v>4</v>
      </c>
      <c r="N522">
        <v>15</v>
      </c>
      <c r="O522" t="s">
        <v>1500</v>
      </c>
      <c r="P522" t="s">
        <v>75</v>
      </c>
      <c r="Q522" t="s">
        <v>58</v>
      </c>
      <c r="R522" t="s">
        <v>71</v>
      </c>
      <c r="S522" t="s">
        <v>57</v>
      </c>
      <c r="T522">
        <v>1</v>
      </c>
      <c r="U522" s="5">
        <v>905.8</v>
      </c>
      <c r="V522" s="5">
        <v>2572.0500000000002</v>
      </c>
      <c r="W522">
        <v>1</v>
      </c>
      <c r="X522" t="s">
        <v>94</v>
      </c>
      <c r="Y522">
        <v>2024</v>
      </c>
      <c r="Z522" t="str">
        <f>TEXT(Table1[[#This Row],[Order Date]],"MMM")</f>
        <v>Nov</v>
      </c>
      <c r="AA522" s="5">
        <f>Table1[[#This Row],[Unit Price]]*Table1[[#This Row],[Quantity]]*(1-Table1[[#This Row],[Discount %]]/100)</f>
        <v>3079.72</v>
      </c>
      <c r="AB522" s="5">
        <f>Table1[[#This Row],[Sales]]-Table1[[#This Row],[Cost]]</f>
        <v>507.66999999999962</v>
      </c>
    </row>
    <row r="523" spans="1:28" x14ac:dyDescent="0.3">
      <c r="A523" t="s">
        <v>1501</v>
      </c>
      <c r="B523" s="1">
        <v>45304</v>
      </c>
      <c r="C523" t="s">
        <v>1502</v>
      </c>
      <c r="D523" t="s">
        <v>3303</v>
      </c>
      <c r="E523" s="1">
        <v>45309</v>
      </c>
      <c r="F523" t="s">
        <v>56</v>
      </c>
      <c r="G523" t="s">
        <v>54</v>
      </c>
      <c r="H523" t="s">
        <v>55</v>
      </c>
      <c r="I523" t="s">
        <v>2643</v>
      </c>
      <c r="J523" t="s">
        <v>2644</v>
      </c>
      <c r="K523" t="s">
        <v>52</v>
      </c>
      <c r="L523">
        <v>56</v>
      </c>
      <c r="M523">
        <v>1</v>
      </c>
      <c r="N523">
        <v>30</v>
      </c>
      <c r="O523" t="s">
        <v>1201</v>
      </c>
      <c r="P523" t="s">
        <v>33</v>
      </c>
      <c r="Q523" t="s">
        <v>117</v>
      </c>
      <c r="R523" t="s">
        <v>32</v>
      </c>
      <c r="S523" t="s">
        <v>57</v>
      </c>
      <c r="T523">
        <v>1</v>
      </c>
      <c r="U523" s="5">
        <v>409.55</v>
      </c>
      <c r="V523" s="5">
        <v>181.04</v>
      </c>
      <c r="W523">
        <v>5</v>
      </c>
      <c r="X523" t="s">
        <v>34</v>
      </c>
      <c r="Y523">
        <v>2024</v>
      </c>
      <c r="Z523" t="str">
        <f>TEXT(Table1[[#This Row],[Order Date]],"MMM")</f>
        <v>Jan</v>
      </c>
      <c r="AA523" s="5">
        <f>Table1[[#This Row],[Unit Price]]*Table1[[#This Row],[Quantity]]*(1-Table1[[#This Row],[Discount %]]/100)</f>
        <v>286.685</v>
      </c>
      <c r="AB523" s="5">
        <f>Table1[[#This Row],[Sales]]-Table1[[#This Row],[Cost]]</f>
        <v>105.64500000000001</v>
      </c>
    </row>
    <row r="524" spans="1:28" x14ac:dyDescent="0.3">
      <c r="A524" t="s">
        <v>1503</v>
      </c>
      <c r="B524" s="1">
        <v>45434</v>
      </c>
      <c r="C524" t="s">
        <v>1504</v>
      </c>
      <c r="D524" t="s">
        <v>3304</v>
      </c>
      <c r="E524" s="1">
        <v>45439</v>
      </c>
      <c r="F524" t="s">
        <v>29</v>
      </c>
      <c r="G524" t="s">
        <v>27</v>
      </c>
      <c r="H524" t="s">
        <v>28</v>
      </c>
      <c r="I524" t="s">
        <v>2619</v>
      </c>
      <c r="J524" t="s">
        <v>2687</v>
      </c>
      <c r="K524" t="s">
        <v>25</v>
      </c>
      <c r="L524">
        <v>31</v>
      </c>
      <c r="M524">
        <v>1</v>
      </c>
      <c r="N524">
        <v>15</v>
      </c>
      <c r="O524" t="s">
        <v>1505</v>
      </c>
      <c r="P524" t="s">
        <v>44</v>
      </c>
      <c r="Q524" t="s">
        <v>42</v>
      </c>
      <c r="R524" t="s">
        <v>43</v>
      </c>
      <c r="S524" t="s">
        <v>30</v>
      </c>
      <c r="T524">
        <v>5</v>
      </c>
      <c r="U524" s="5">
        <v>762.36</v>
      </c>
      <c r="V524" s="5">
        <v>447.35</v>
      </c>
      <c r="W524">
        <v>5</v>
      </c>
      <c r="X524" t="s">
        <v>49</v>
      </c>
      <c r="Y524">
        <v>2024</v>
      </c>
      <c r="Z524" t="str">
        <f>TEXT(Table1[[#This Row],[Order Date]],"MMM")</f>
        <v>May</v>
      </c>
      <c r="AA524" s="5">
        <f>Table1[[#This Row],[Unit Price]]*Table1[[#This Row],[Quantity]]*(1-Table1[[#This Row],[Discount %]]/100)</f>
        <v>648.00599999999997</v>
      </c>
      <c r="AB524" s="5">
        <f>Table1[[#This Row],[Sales]]-Table1[[#This Row],[Cost]]</f>
        <v>200.65599999999995</v>
      </c>
    </row>
    <row r="525" spans="1:28" x14ac:dyDescent="0.3">
      <c r="A525" t="s">
        <v>1506</v>
      </c>
      <c r="B525" s="1">
        <v>45816</v>
      </c>
      <c r="C525" t="s">
        <v>1507</v>
      </c>
      <c r="D525" t="s">
        <v>3305</v>
      </c>
      <c r="E525" s="1">
        <v>45817</v>
      </c>
      <c r="F525" t="s">
        <v>56</v>
      </c>
      <c r="G525" t="s">
        <v>54</v>
      </c>
      <c r="H525" t="s">
        <v>55</v>
      </c>
      <c r="I525" t="s">
        <v>2630</v>
      </c>
      <c r="J525" t="s">
        <v>2640</v>
      </c>
      <c r="K525" t="s">
        <v>25</v>
      </c>
      <c r="L525">
        <v>27</v>
      </c>
      <c r="M525">
        <v>4</v>
      </c>
      <c r="N525">
        <v>0</v>
      </c>
      <c r="O525" t="s">
        <v>1508</v>
      </c>
      <c r="P525" t="s">
        <v>44</v>
      </c>
      <c r="Q525" t="s">
        <v>70</v>
      </c>
      <c r="R525" t="s">
        <v>71</v>
      </c>
      <c r="S525" t="s">
        <v>57</v>
      </c>
      <c r="T525">
        <v>5</v>
      </c>
      <c r="U525" s="5">
        <v>410.57</v>
      </c>
      <c r="V525" s="5">
        <v>1307.8800000000001</v>
      </c>
      <c r="W525">
        <v>1</v>
      </c>
      <c r="X525" t="s">
        <v>49</v>
      </c>
      <c r="Y525">
        <v>2025</v>
      </c>
      <c r="Z525" t="str">
        <f>TEXT(Table1[[#This Row],[Order Date]],"MMM")</f>
        <v>Jun</v>
      </c>
      <c r="AA525" s="5">
        <f>Table1[[#This Row],[Unit Price]]*Table1[[#This Row],[Quantity]]*(1-Table1[[#This Row],[Discount %]]/100)</f>
        <v>1642.28</v>
      </c>
      <c r="AB525" s="5">
        <f>Table1[[#This Row],[Sales]]-Table1[[#This Row],[Cost]]</f>
        <v>334.39999999999986</v>
      </c>
    </row>
    <row r="526" spans="1:28" x14ac:dyDescent="0.3">
      <c r="A526" t="s">
        <v>1509</v>
      </c>
      <c r="B526" s="1">
        <v>45660</v>
      </c>
      <c r="C526" t="s">
        <v>1510</v>
      </c>
      <c r="D526" t="s">
        <v>3306</v>
      </c>
      <c r="E526" s="1">
        <v>45667</v>
      </c>
      <c r="F526" t="s">
        <v>40</v>
      </c>
      <c r="G526" t="s">
        <v>38</v>
      </c>
      <c r="H526" t="s">
        <v>39</v>
      </c>
      <c r="I526" t="s">
        <v>2675</v>
      </c>
      <c r="J526" t="s">
        <v>2703</v>
      </c>
      <c r="K526" t="s">
        <v>52</v>
      </c>
      <c r="L526">
        <v>40</v>
      </c>
      <c r="M526">
        <v>1</v>
      </c>
      <c r="N526">
        <v>30</v>
      </c>
      <c r="O526" t="s">
        <v>1511</v>
      </c>
      <c r="P526" t="s">
        <v>33</v>
      </c>
      <c r="Q526" t="s">
        <v>42</v>
      </c>
      <c r="R526" t="s">
        <v>62</v>
      </c>
      <c r="S526" t="s">
        <v>41</v>
      </c>
      <c r="T526">
        <v>5</v>
      </c>
      <c r="U526" s="5">
        <v>727.1</v>
      </c>
      <c r="V526" s="5">
        <v>296.72000000000003</v>
      </c>
      <c r="W526">
        <v>7</v>
      </c>
      <c r="X526" t="s">
        <v>34</v>
      </c>
      <c r="Y526">
        <v>2025</v>
      </c>
      <c r="Z526" t="str">
        <f>TEXT(Table1[[#This Row],[Order Date]],"MMM")</f>
        <v>Jan</v>
      </c>
      <c r="AA526" s="5">
        <f>Table1[[#This Row],[Unit Price]]*Table1[[#This Row],[Quantity]]*(1-Table1[[#This Row],[Discount %]]/100)</f>
        <v>508.96999999999997</v>
      </c>
      <c r="AB526" s="5">
        <f>Table1[[#This Row],[Sales]]-Table1[[#This Row],[Cost]]</f>
        <v>212.24999999999994</v>
      </c>
    </row>
    <row r="527" spans="1:28" x14ac:dyDescent="0.3">
      <c r="A527" t="s">
        <v>1512</v>
      </c>
      <c r="B527" s="1">
        <v>45785</v>
      </c>
      <c r="C527" t="s">
        <v>1513</v>
      </c>
      <c r="D527" t="s">
        <v>3307</v>
      </c>
      <c r="E527" s="1">
        <v>45791</v>
      </c>
      <c r="F527" t="s">
        <v>122</v>
      </c>
      <c r="G527" t="s">
        <v>120</v>
      </c>
      <c r="H527" t="s">
        <v>121</v>
      </c>
      <c r="I527" t="s">
        <v>2619</v>
      </c>
      <c r="J527" t="s">
        <v>2687</v>
      </c>
      <c r="K527" t="s">
        <v>52</v>
      </c>
      <c r="L527">
        <v>29</v>
      </c>
      <c r="M527">
        <v>4</v>
      </c>
      <c r="N527">
        <v>5</v>
      </c>
      <c r="O527" t="s">
        <v>1514</v>
      </c>
      <c r="P527" t="s">
        <v>44</v>
      </c>
      <c r="Q527" t="s">
        <v>42</v>
      </c>
      <c r="R527" t="s">
        <v>32</v>
      </c>
      <c r="S527" t="s">
        <v>123</v>
      </c>
      <c r="T527">
        <v>5</v>
      </c>
      <c r="U527" s="5">
        <v>74.59</v>
      </c>
      <c r="V527" s="5">
        <v>234.12</v>
      </c>
      <c r="W527">
        <v>6</v>
      </c>
      <c r="X527" t="s">
        <v>49</v>
      </c>
      <c r="Y527">
        <v>2025</v>
      </c>
      <c r="Z527" t="str">
        <f>TEXT(Table1[[#This Row],[Order Date]],"MMM")</f>
        <v>May</v>
      </c>
      <c r="AA527" s="5">
        <f>Table1[[#This Row],[Unit Price]]*Table1[[#This Row],[Quantity]]*(1-Table1[[#This Row],[Discount %]]/100)</f>
        <v>283.44200000000001</v>
      </c>
      <c r="AB527" s="5">
        <f>Table1[[#This Row],[Sales]]-Table1[[#This Row],[Cost]]</f>
        <v>49.322000000000003</v>
      </c>
    </row>
    <row r="528" spans="1:28" x14ac:dyDescent="0.3">
      <c r="A528" t="s">
        <v>1515</v>
      </c>
      <c r="B528" s="1">
        <v>46151</v>
      </c>
      <c r="C528" t="s">
        <v>1516</v>
      </c>
      <c r="D528" t="s">
        <v>3308</v>
      </c>
      <c r="E528" s="1">
        <v>46155</v>
      </c>
      <c r="F528" t="s">
        <v>56</v>
      </c>
      <c r="G528" t="s">
        <v>54</v>
      </c>
      <c r="H528" t="s">
        <v>55</v>
      </c>
      <c r="I528" t="s">
        <v>2627</v>
      </c>
      <c r="J528" t="s">
        <v>2690</v>
      </c>
      <c r="K528" t="s">
        <v>25</v>
      </c>
      <c r="L528">
        <v>57</v>
      </c>
      <c r="M528">
        <v>3</v>
      </c>
      <c r="N528">
        <v>0</v>
      </c>
      <c r="O528" t="s">
        <v>829</v>
      </c>
      <c r="P528" t="s">
        <v>75</v>
      </c>
      <c r="Q528" t="s">
        <v>42</v>
      </c>
      <c r="R528" t="s">
        <v>43</v>
      </c>
      <c r="S528" t="s">
        <v>57</v>
      </c>
      <c r="T528">
        <v>5</v>
      </c>
      <c r="U528" s="5">
        <v>41.12</v>
      </c>
      <c r="V528" s="5">
        <v>78.47</v>
      </c>
      <c r="W528">
        <v>4</v>
      </c>
      <c r="X528" t="s">
        <v>49</v>
      </c>
      <c r="Y528">
        <v>2026</v>
      </c>
      <c r="Z528" t="str">
        <f>TEXT(Table1[[#This Row],[Order Date]],"MMM")</f>
        <v>May</v>
      </c>
      <c r="AA528" s="5">
        <f>Table1[[#This Row],[Unit Price]]*Table1[[#This Row],[Quantity]]*(1-Table1[[#This Row],[Discount %]]/100)</f>
        <v>123.35999999999999</v>
      </c>
      <c r="AB528" s="5">
        <f>Table1[[#This Row],[Sales]]-Table1[[#This Row],[Cost]]</f>
        <v>44.889999999999986</v>
      </c>
    </row>
    <row r="529" spans="1:28" x14ac:dyDescent="0.3">
      <c r="A529" t="s">
        <v>1517</v>
      </c>
      <c r="B529" s="1">
        <v>45771</v>
      </c>
      <c r="C529" t="s">
        <v>1518</v>
      </c>
      <c r="D529" t="s">
        <v>3309</v>
      </c>
      <c r="E529" s="1">
        <v>45774</v>
      </c>
      <c r="F529" t="s">
        <v>29</v>
      </c>
      <c r="G529" t="s">
        <v>27</v>
      </c>
      <c r="H529" t="s">
        <v>28</v>
      </c>
      <c r="I529" t="s">
        <v>2625</v>
      </c>
      <c r="J529" t="s">
        <v>2685</v>
      </c>
      <c r="K529" t="s">
        <v>52</v>
      </c>
      <c r="L529">
        <v>57</v>
      </c>
      <c r="M529">
        <v>2</v>
      </c>
      <c r="N529">
        <v>10</v>
      </c>
      <c r="O529" t="s">
        <v>1519</v>
      </c>
      <c r="P529" t="s">
        <v>44</v>
      </c>
      <c r="Q529" t="s">
        <v>117</v>
      </c>
      <c r="R529" t="s">
        <v>71</v>
      </c>
      <c r="S529" t="s">
        <v>30</v>
      </c>
      <c r="T529">
        <v>4</v>
      </c>
      <c r="U529" s="5">
        <v>986.06</v>
      </c>
      <c r="V529" s="5">
        <v>1288.8</v>
      </c>
      <c r="W529">
        <v>3</v>
      </c>
      <c r="X529" t="s">
        <v>49</v>
      </c>
      <c r="Y529">
        <v>2025</v>
      </c>
      <c r="Z529" t="str">
        <f>TEXT(Table1[[#This Row],[Order Date]],"MMM")</f>
        <v>Apr</v>
      </c>
      <c r="AA529" s="5">
        <f>Table1[[#This Row],[Unit Price]]*Table1[[#This Row],[Quantity]]*(1-Table1[[#This Row],[Discount %]]/100)</f>
        <v>1774.9079999999999</v>
      </c>
      <c r="AB529" s="5">
        <f>Table1[[#This Row],[Sales]]-Table1[[#This Row],[Cost]]</f>
        <v>486.10799999999995</v>
      </c>
    </row>
    <row r="530" spans="1:28" x14ac:dyDescent="0.3">
      <c r="A530" t="s">
        <v>1520</v>
      </c>
      <c r="B530" s="1">
        <v>45828</v>
      </c>
      <c r="C530" t="s">
        <v>1521</v>
      </c>
      <c r="D530" t="s">
        <v>3310</v>
      </c>
      <c r="E530" s="1">
        <v>45834</v>
      </c>
      <c r="F530" t="s">
        <v>100</v>
      </c>
      <c r="G530" t="s">
        <v>98</v>
      </c>
      <c r="H530" t="s">
        <v>99</v>
      </c>
      <c r="I530" t="s">
        <v>2618</v>
      </c>
      <c r="J530" t="s">
        <v>2618</v>
      </c>
      <c r="K530" t="s">
        <v>52</v>
      </c>
      <c r="L530">
        <v>23</v>
      </c>
      <c r="M530">
        <v>3</v>
      </c>
      <c r="N530">
        <v>30</v>
      </c>
      <c r="O530" t="s">
        <v>1522</v>
      </c>
      <c r="P530" t="s">
        <v>33</v>
      </c>
      <c r="Q530" t="s">
        <v>58</v>
      </c>
      <c r="R530" t="s">
        <v>32</v>
      </c>
      <c r="S530" t="s">
        <v>101</v>
      </c>
      <c r="T530">
        <v>1</v>
      </c>
      <c r="U530" s="5">
        <v>602.54999999999995</v>
      </c>
      <c r="V530" s="5">
        <v>915.89</v>
      </c>
      <c r="W530">
        <v>6</v>
      </c>
      <c r="X530" t="s">
        <v>49</v>
      </c>
      <c r="Y530">
        <v>2025</v>
      </c>
      <c r="Z530" t="str">
        <f>TEXT(Table1[[#This Row],[Order Date]],"MMM")</f>
        <v>Jun</v>
      </c>
      <c r="AA530" s="5">
        <f>Table1[[#This Row],[Unit Price]]*Table1[[#This Row],[Quantity]]*(1-Table1[[#This Row],[Discount %]]/100)</f>
        <v>1265.3549999999998</v>
      </c>
      <c r="AB530" s="5">
        <f>Table1[[#This Row],[Sales]]-Table1[[#This Row],[Cost]]</f>
        <v>349.4649999999998</v>
      </c>
    </row>
    <row r="531" spans="1:28" x14ac:dyDescent="0.3">
      <c r="A531" t="s">
        <v>1523</v>
      </c>
      <c r="B531" s="1">
        <v>45529</v>
      </c>
      <c r="C531" t="s">
        <v>1524</v>
      </c>
      <c r="D531" t="s">
        <v>3311</v>
      </c>
      <c r="E531" s="1">
        <v>45532</v>
      </c>
      <c r="F531" t="s">
        <v>122</v>
      </c>
      <c r="G531" t="s">
        <v>120</v>
      </c>
      <c r="H531" t="s">
        <v>121</v>
      </c>
      <c r="I531" t="s">
        <v>2630</v>
      </c>
      <c r="J531" t="s">
        <v>2646</v>
      </c>
      <c r="K531" t="s">
        <v>25</v>
      </c>
      <c r="L531">
        <v>54</v>
      </c>
      <c r="M531">
        <v>5</v>
      </c>
      <c r="N531">
        <v>10</v>
      </c>
      <c r="O531" t="s">
        <v>1525</v>
      </c>
      <c r="P531" t="s">
        <v>33</v>
      </c>
      <c r="Q531" t="s">
        <v>42</v>
      </c>
      <c r="R531" t="s">
        <v>71</v>
      </c>
      <c r="S531" t="s">
        <v>123</v>
      </c>
      <c r="T531">
        <v>3</v>
      </c>
      <c r="U531" s="5">
        <v>353.63</v>
      </c>
      <c r="V531" s="5">
        <v>1040.4100000000001</v>
      </c>
      <c r="W531">
        <v>3</v>
      </c>
      <c r="X531" t="s">
        <v>45</v>
      </c>
      <c r="Y531">
        <v>2024</v>
      </c>
      <c r="Z531" t="str">
        <f>TEXT(Table1[[#This Row],[Order Date]],"MMM")</f>
        <v>Aug</v>
      </c>
      <c r="AA531" s="5">
        <f>Table1[[#This Row],[Unit Price]]*Table1[[#This Row],[Quantity]]*(1-Table1[[#This Row],[Discount %]]/100)</f>
        <v>1591.335</v>
      </c>
      <c r="AB531" s="5">
        <f>Table1[[#This Row],[Sales]]-Table1[[#This Row],[Cost]]</f>
        <v>550.92499999999995</v>
      </c>
    </row>
    <row r="532" spans="1:28" x14ac:dyDescent="0.3">
      <c r="A532" t="s">
        <v>1526</v>
      </c>
      <c r="B532" s="1">
        <v>46042</v>
      </c>
      <c r="C532" t="s">
        <v>1527</v>
      </c>
      <c r="D532" t="s">
        <v>3312</v>
      </c>
      <c r="E532" s="1">
        <v>46047</v>
      </c>
      <c r="F532" t="s">
        <v>68</v>
      </c>
      <c r="G532" t="s">
        <v>66</v>
      </c>
      <c r="H532" t="s">
        <v>67</v>
      </c>
      <c r="I532" t="s">
        <v>2629</v>
      </c>
      <c r="J532" t="s">
        <v>2691</v>
      </c>
      <c r="K532" t="s">
        <v>25</v>
      </c>
      <c r="L532">
        <v>51</v>
      </c>
      <c r="M532">
        <v>3</v>
      </c>
      <c r="N532">
        <v>30</v>
      </c>
      <c r="O532" t="s">
        <v>1528</v>
      </c>
      <c r="P532" t="s">
        <v>44</v>
      </c>
      <c r="Q532" t="s">
        <v>31</v>
      </c>
      <c r="R532" t="s">
        <v>32</v>
      </c>
      <c r="S532" t="s">
        <v>69</v>
      </c>
      <c r="T532">
        <v>2</v>
      </c>
      <c r="U532" s="5">
        <v>710.98</v>
      </c>
      <c r="V532" s="5">
        <v>1221.44</v>
      </c>
      <c r="W532">
        <v>5</v>
      </c>
      <c r="X532" t="s">
        <v>34</v>
      </c>
      <c r="Y532">
        <v>2026</v>
      </c>
      <c r="Z532" t="str">
        <f>TEXT(Table1[[#This Row],[Order Date]],"MMM")</f>
        <v>Jan</v>
      </c>
      <c r="AA532" s="5">
        <f>Table1[[#This Row],[Unit Price]]*Table1[[#This Row],[Quantity]]*(1-Table1[[#This Row],[Discount %]]/100)</f>
        <v>1493.058</v>
      </c>
      <c r="AB532" s="5">
        <f>Table1[[#This Row],[Sales]]-Table1[[#This Row],[Cost]]</f>
        <v>271.61799999999994</v>
      </c>
    </row>
    <row r="533" spans="1:28" x14ac:dyDescent="0.3">
      <c r="A533" t="s">
        <v>1529</v>
      </c>
      <c r="B533" s="1">
        <v>45452</v>
      </c>
      <c r="C533" t="s">
        <v>1530</v>
      </c>
      <c r="D533" t="s">
        <v>3313</v>
      </c>
      <c r="E533" s="1">
        <v>45456</v>
      </c>
      <c r="F533" t="s">
        <v>140</v>
      </c>
      <c r="G533" t="s">
        <v>38</v>
      </c>
      <c r="H533" t="s">
        <v>139</v>
      </c>
      <c r="I533" t="s">
        <v>2655</v>
      </c>
      <c r="J533" t="s">
        <v>2677</v>
      </c>
      <c r="K533" t="s">
        <v>52</v>
      </c>
      <c r="L533">
        <v>29</v>
      </c>
      <c r="M533">
        <v>1</v>
      </c>
      <c r="N533">
        <v>15</v>
      </c>
      <c r="O533" t="s">
        <v>1531</v>
      </c>
      <c r="P533" t="s">
        <v>44</v>
      </c>
      <c r="Q533" t="s">
        <v>70</v>
      </c>
      <c r="R533" t="s">
        <v>62</v>
      </c>
      <c r="S533" t="s">
        <v>141</v>
      </c>
      <c r="T533">
        <v>2</v>
      </c>
      <c r="U533" s="5">
        <v>37.479999999999997</v>
      </c>
      <c r="V533" s="5">
        <v>25.37</v>
      </c>
      <c r="W533">
        <v>4</v>
      </c>
      <c r="X533" t="s">
        <v>49</v>
      </c>
      <c r="Y533">
        <v>2024</v>
      </c>
      <c r="Z533" t="str">
        <f>TEXT(Table1[[#This Row],[Order Date]],"MMM")</f>
        <v>Jun</v>
      </c>
      <c r="AA533" s="5">
        <f>Table1[[#This Row],[Unit Price]]*Table1[[#This Row],[Quantity]]*(1-Table1[[#This Row],[Discount %]]/100)</f>
        <v>31.857999999999997</v>
      </c>
      <c r="AB533" s="5">
        <f>Table1[[#This Row],[Sales]]-Table1[[#This Row],[Cost]]</f>
        <v>6.487999999999996</v>
      </c>
    </row>
    <row r="534" spans="1:28" x14ac:dyDescent="0.3">
      <c r="A534" t="s">
        <v>1532</v>
      </c>
      <c r="B534" s="1">
        <v>45844</v>
      </c>
      <c r="C534" t="s">
        <v>1533</v>
      </c>
      <c r="D534" t="s">
        <v>3314</v>
      </c>
      <c r="E534" s="1">
        <v>45851</v>
      </c>
      <c r="F534" t="s">
        <v>122</v>
      </c>
      <c r="G534" t="s">
        <v>120</v>
      </c>
      <c r="H534" t="s">
        <v>121</v>
      </c>
      <c r="I534" t="s">
        <v>2621</v>
      </c>
      <c r="J534" t="s">
        <v>2622</v>
      </c>
      <c r="K534" t="s">
        <v>52</v>
      </c>
      <c r="L534">
        <v>52</v>
      </c>
      <c r="M534">
        <v>5</v>
      </c>
      <c r="N534">
        <v>0</v>
      </c>
      <c r="O534" t="s">
        <v>371</v>
      </c>
      <c r="P534" t="s">
        <v>75</v>
      </c>
      <c r="Q534" t="s">
        <v>70</v>
      </c>
      <c r="R534" t="s">
        <v>43</v>
      </c>
      <c r="S534" t="s">
        <v>123</v>
      </c>
      <c r="T534">
        <v>3</v>
      </c>
      <c r="U534" s="5">
        <v>665.52</v>
      </c>
      <c r="V534" s="5">
        <v>2143.0300000000002</v>
      </c>
      <c r="W534">
        <v>7</v>
      </c>
      <c r="X534" t="s">
        <v>45</v>
      </c>
      <c r="Y534">
        <v>2025</v>
      </c>
      <c r="Z534" t="str">
        <f>TEXT(Table1[[#This Row],[Order Date]],"MMM")</f>
        <v>Jul</v>
      </c>
      <c r="AA534" s="5">
        <f>Table1[[#This Row],[Unit Price]]*Table1[[#This Row],[Quantity]]*(1-Table1[[#This Row],[Discount %]]/100)</f>
        <v>3327.6</v>
      </c>
      <c r="AB534" s="5">
        <f>Table1[[#This Row],[Sales]]-Table1[[#This Row],[Cost]]</f>
        <v>1184.5699999999997</v>
      </c>
    </row>
    <row r="535" spans="1:28" x14ac:dyDescent="0.3">
      <c r="A535" t="s">
        <v>1534</v>
      </c>
      <c r="B535" s="1">
        <v>45681</v>
      </c>
      <c r="C535" t="s">
        <v>1535</v>
      </c>
      <c r="D535" t="s">
        <v>3315</v>
      </c>
      <c r="E535" s="1">
        <v>45682</v>
      </c>
      <c r="F535" t="s">
        <v>29</v>
      </c>
      <c r="G535" t="s">
        <v>27</v>
      </c>
      <c r="H535" t="s">
        <v>28</v>
      </c>
      <c r="I535" t="s">
        <v>2621</v>
      </c>
      <c r="J535" t="s">
        <v>2647</v>
      </c>
      <c r="K535" t="s">
        <v>52</v>
      </c>
      <c r="L535">
        <v>50</v>
      </c>
      <c r="M535">
        <v>1</v>
      </c>
      <c r="N535">
        <v>30</v>
      </c>
      <c r="O535" t="s">
        <v>1536</v>
      </c>
      <c r="P535" t="s">
        <v>44</v>
      </c>
      <c r="Q535" t="s">
        <v>42</v>
      </c>
      <c r="R535" t="s">
        <v>32</v>
      </c>
      <c r="S535" t="s">
        <v>30</v>
      </c>
      <c r="T535">
        <v>2</v>
      </c>
      <c r="U535" s="5">
        <v>596.78</v>
      </c>
      <c r="V535" s="5">
        <v>284.43</v>
      </c>
      <c r="W535">
        <v>1</v>
      </c>
      <c r="X535" t="s">
        <v>34</v>
      </c>
      <c r="Y535">
        <v>2025</v>
      </c>
      <c r="Z535" t="str">
        <f>TEXT(Table1[[#This Row],[Order Date]],"MMM")</f>
        <v>Jan</v>
      </c>
      <c r="AA535" s="5">
        <f>Table1[[#This Row],[Unit Price]]*Table1[[#This Row],[Quantity]]*(1-Table1[[#This Row],[Discount %]]/100)</f>
        <v>417.74599999999998</v>
      </c>
      <c r="AB535" s="5">
        <f>Table1[[#This Row],[Sales]]-Table1[[#This Row],[Cost]]</f>
        <v>133.31599999999997</v>
      </c>
    </row>
    <row r="536" spans="1:28" x14ac:dyDescent="0.3">
      <c r="A536" t="s">
        <v>1537</v>
      </c>
      <c r="B536" s="1">
        <v>45463</v>
      </c>
      <c r="C536" t="s">
        <v>1538</v>
      </c>
      <c r="D536" t="s">
        <v>3316</v>
      </c>
      <c r="E536" s="1">
        <v>45470</v>
      </c>
      <c r="F536" t="s">
        <v>100</v>
      </c>
      <c r="G536" t="s">
        <v>98</v>
      </c>
      <c r="H536" t="s">
        <v>99</v>
      </c>
      <c r="I536" t="s">
        <v>2623</v>
      </c>
      <c r="J536" t="s">
        <v>2713</v>
      </c>
      <c r="K536" t="s">
        <v>25</v>
      </c>
      <c r="L536">
        <v>58</v>
      </c>
      <c r="M536">
        <v>4</v>
      </c>
      <c r="N536">
        <v>10</v>
      </c>
      <c r="O536" t="s">
        <v>1400</v>
      </c>
      <c r="P536" t="s">
        <v>75</v>
      </c>
      <c r="Q536" t="s">
        <v>70</v>
      </c>
      <c r="R536" t="s">
        <v>32</v>
      </c>
      <c r="S536" t="s">
        <v>101</v>
      </c>
      <c r="T536">
        <v>4</v>
      </c>
      <c r="U536" s="5">
        <v>669.21</v>
      </c>
      <c r="V536" s="5">
        <v>1677.7</v>
      </c>
      <c r="W536">
        <v>7</v>
      </c>
      <c r="X536" t="s">
        <v>49</v>
      </c>
      <c r="Y536">
        <v>2024</v>
      </c>
      <c r="Z536" t="str">
        <f>TEXT(Table1[[#This Row],[Order Date]],"MMM")</f>
        <v>Jun</v>
      </c>
      <c r="AA536" s="5">
        <f>Table1[[#This Row],[Unit Price]]*Table1[[#This Row],[Quantity]]*(1-Table1[[#This Row],[Discount %]]/100)</f>
        <v>2409.1560000000004</v>
      </c>
      <c r="AB536" s="5">
        <f>Table1[[#This Row],[Sales]]-Table1[[#This Row],[Cost]]</f>
        <v>731.45600000000036</v>
      </c>
    </row>
    <row r="537" spans="1:28" x14ac:dyDescent="0.3">
      <c r="A537" t="s">
        <v>1539</v>
      </c>
      <c r="B537" s="1">
        <v>45702</v>
      </c>
      <c r="C537" t="s">
        <v>1540</v>
      </c>
      <c r="D537" t="s">
        <v>3317</v>
      </c>
      <c r="E537" s="1">
        <v>45706</v>
      </c>
      <c r="F537" t="s">
        <v>122</v>
      </c>
      <c r="G537" t="s">
        <v>120</v>
      </c>
      <c r="H537" t="s">
        <v>121</v>
      </c>
      <c r="I537" t="s">
        <v>2621</v>
      </c>
      <c r="J537" t="s">
        <v>2699</v>
      </c>
      <c r="K537" t="s">
        <v>52</v>
      </c>
      <c r="L537">
        <v>32</v>
      </c>
      <c r="M537">
        <v>5</v>
      </c>
      <c r="N537">
        <v>15</v>
      </c>
      <c r="O537" t="s">
        <v>1541</v>
      </c>
      <c r="P537" t="s">
        <v>75</v>
      </c>
      <c r="Q537" t="s">
        <v>58</v>
      </c>
      <c r="R537" t="s">
        <v>43</v>
      </c>
      <c r="S537" t="s">
        <v>123</v>
      </c>
      <c r="T537">
        <v>3</v>
      </c>
      <c r="U537" s="5">
        <v>47.34</v>
      </c>
      <c r="V537" s="5">
        <v>170.4</v>
      </c>
      <c r="W537">
        <v>4</v>
      </c>
      <c r="X537" t="s">
        <v>34</v>
      </c>
      <c r="Y537">
        <v>2025</v>
      </c>
      <c r="Z537" t="str">
        <f>TEXT(Table1[[#This Row],[Order Date]],"MMM")</f>
        <v>Feb</v>
      </c>
      <c r="AA537" s="5">
        <f>Table1[[#This Row],[Unit Price]]*Table1[[#This Row],[Quantity]]*(1-Table1[[#This Row],[Discount %]]/100)</f>
        <v>201.19500000000002</v>
      </c>
      <c r="AB537" s="5">
        <f>Table1[[#This Row],[Sales]]-Table1[[#This Row],[Cost]]</f>
        <v>30.795000000000016</v>
      </c>
    </row>
    <row r="538" spans="1:28" x14ac:dyDescent="0.3">
      <c r="A538" t="s">
        <v>1542</v>
      </c>
      <c r="B538" s="1">
        <v>46051</v>
      </c>
      <c r="C538" t="s">
        <v>1543</v>
      </c>
      <c r="D538" t="s">
        <v>3318</v>
      </c>
      <c r="E538" s="1">
        <v>46052</v>
      </c>
      <c r="F538" t="s">
        <v>100</v>
      </c>
      <c r="G538" t="s">
        <v>98</v>
      </c>
      <c r="H538" t="s">
        <v>99</v>
      </c>
      <c r="I538" t="s">
        <v>2650</v>
      </c>
      <c r="J538" t="s">
        <v>2680</v>
      </c>
      <c r="K538" t="s">
        <v>52</v>
      </c>
      <c r="L538">
        <v>50</v>
      </c>
      <c r="M538">
        <v>1</v>
      </c>
      <c r="N538">
        <v>30</v>
      </c>
      <c r="O538" t="s">
        <v>818</v>
      </c>
      <c r="P538" t="s">
        <v>44</v>
      </c>
      <c r="Q538" t="s">
        <v>31</v>
      </c>
      <c r="R538" t="s">
        <v>43</v>
      </c>
      <c r="S538" t="s">
        <v>101</v>
      </c>
      <c r="T538">
        <v>1</v>
      </c>
      <c r="U538" s="5">
        <v>791.13</v>
      </c>
      <c r="V538" s="5">
        <v>370.49</v>
      </c>
      <c r="W538">
        <v>1</v>
      </c>
      <c r="X538" t="s">
        <v>34</v>
      </c>
      <c r="Y538">
        <v>2026</v>
      </c>
      <c r="Z538" t="str">
        <f>TEXT(Table1[[#This Row],[Order Date]],"MMM")</f>
        <v>Jan</v>
      </c>
      <c r="AA538" s="5">
        <f>Table1[[#This Row],[Unit Price]]*Table1[[#This Row],[Quantity]]*(1-Table1[[#This Row],[Discount %]]/100)</f>
        <v>553.79099999999994</v>
      </c>
      <c r="AB538" s="5">
        <f>Table1[[#This Row],[Sales]]-Table1[[#This Row],[Cost]]</f>
        <v>183.30099999999993</v>
      </c>
    </row>
    <row r="539" spans="1:28" x14ac:dyDescent="0.3">
      <c r="A539" t="s">
        <v>1544</v>
      </c>
      <c r="B539" s="1">
        <v>45599</v>
      </c>
      <c r="C539" t="s">
        <v>1545</v>
      </c>
      <c r="D539" t="s">
        <v>3319</v>
      </c>
      <c r="E539" s="1">
        <v>45606</v>
      </c>
      <c r="F539" t="s">
        <v>29</v>
      </c>
      <c r="G539" t="s">
        <v>27</v>
      </c>
      <c r="H539" t="s">
        <v>28</v>
      </c>
      <c r="I539" t="s">
        <v>2630</v>
      </c>
      <c r="J539" t="s">
        <v>2646</v>
      </c>
      <c r="K539" t="s">
        <v>25</v>
      </c>
      <c r="L539">
        <v>20</v>
      </c>
      <c r="M539">
        <v>4</v>
      </c>
      <c r="N539">
        <v>5</v>
      </c>
      <c r="O539" t="s">
        <v>1546</v>
      </c>
      <c r="P539" t="s">
        <v>44</v>
      </c>
      <c r="Q539" t="s">
        <v>70</v>
      </c>
      <c r="R539" t="s">
        <v>62</v>
      </c>
      <c r="S539" t="s">
        <v>30</v>
      </c>
      <c r="T539">
        <v>3</v>
      </c>
      <c r="U539" s="5">
        <v>423.23</v>
      </c>
      <c r="V539" s="5">
        <v>1311.13</v>
      </c>
      <c r="W539">
        <v>7</v>
      </c>
      <c r="X539" t="s">
        <v>94</v>
      </c>
      <c r="Y539">
        <v>2024</v>
      </c>
      <c r="Z539" t="str">
        <f>TEXT(Table1[[#This Row],[Order Date]],"MMM")</f>
        <v>Nov</v>
      </c>
      <c r="AA539" s="5">
        <f>Table1[[#This Row],[Unit Price]]*Table1[[#This Row],[Quantity]]*(1-Table1[[#This Row],[Discount %]]/100)</f>
        <v>1608.2739999999999</v>
      </c>
      <c r="AB539" s="5">
        <f>Table1[[#This Row],[Sales]]-Table1[[#This Row],[Cost]]</f>
        <v>297.14399999999978</v>
      </c>
    </row>
    <row r="540" spans="1:28" x14ac:dyDescent="0.3">
      <c r="A540" t="s">
        <v>1547</v>
      </c>
      <c r="B540" s="1">
        <v>45532</v>
      </c>
      <c r="C540" t="s">
        <v>1548</v>
      </c>
      <c r="D540" t="s">
        <v>3320</v>
      </c>
      <c r="E540" s="1">
        <v>45538</v>
      </c>
      <c r="F540" t="s">
        <v>40</v>
      </c>
      <c r="G540" t="s">
        <v>38</v>
      </c>
      <c r="H540" t="s">
        <v>39</v>
      </c>
      <c r="I540" t="s">
        <v>2655</v>
      </c>
      <c r="J540" t="s">
        <v>2677</v>
      </c>
      <c r="K540" t="s">
        <v>52</v>
      </c>
      <c r="L540">
        <v>40</v>
      </c>
      <c r="M540">
        <v>3</v>
      </c>
      <c r="N540">
        <v>0</v>
      </c>
      <c r="O540" t="s">
        <v>1549</v>
      </c>
      <c r="P540" t="s">
        <v>75</v>
      </c>
      <c r="Q540" t="s">
        <v>31</v>
      </c>
      <c r="R540" t="s">
        <v>71</v>
      </c>
      <c r="S540" t="s">
        <v>41</v>
      </c>
      <c r="T540">
        <v>1</v>
      </c>
      <c r="U540" s="5">
        <v>177.86</v>
      </c>
      <c r="V540" s="5">
        <v>426.98</v>
      </c>
      <c r="W540">
        <v>6</v>
      </c>
      <c r="X540" t="s">
        <v>45</v>
      </c>
      <c r="Y540">
        <v>2024</v>
      </c>
      <c r="Z540" t="str">
        <f>TEXT(Table1[[#This Row],[Order Date]],"MMM")</f>
        <v>Aug</v>
      </c>
      <c r="AA540" s="5">
        <f>Table1[[#This Row],[Unit Price]]*Table1[[#This Row],[Quantity]]*(1-Table1[[#This Row],[Discount %]]/100)</f>
        <v>533.58000000000004</v>
      </c>
      <c r="AB540" s="5">
        <f>Table1[[#This Row],[Sales]]-Table1[[#This Row],[Cost]]</f>
        <v>106.60000000000002</v>
      </c>
    </row>
    <row r="541" spans="1:28" x14ac:dyDescent="0.3">
      <c r="A541" t="s">
        <v>1550</v>
      </c>
      <c r="B541" s="1">
        <v>45404</v>
      </c>
      <c r="C541" t="s">
        <v>1551</v>
      </c>
      <c r="D541" t="s">
        <v>3321</v>
      </c>
      <c r="E541" s="1">
        <v>45405</v>
      </c>
      <c r="F541" t="s">
        <v>140</v>
      </c>
      <c r="G541" t="s">
        <v>38</v>
      </c>
      <c r="H541" t="s">
        <v>139</v>
      </c>
      <c r="I541" t="s">
        <v>2661</v>
      </c>
      <c r="J541" t="s">
        <v>2689</v>
      </c>
      <c r="K541" t="s">
        <v>52</v>
      </c>
      <c r="L541">
        <v>55</v>
      </c>
      <c r="M541">
        <v>1</v>
      </c>
      <c r="N541">
        <v>0</v>
      </c>
      <c r="O541" t="s">
        <v>1552</v>
      </c>
      <c r="P541" t="s">
        <v>75</v>
      </c>
      <c r="Q541" t="s">
        <v>70</v>
      </c>
      <c r="R541" t="s">
        <v>62</v>
      </c>
      <c r="S541" t="s">
        <v>141</v>
      </c>
      <c r="T541">
        <v>1</v>
      </c>
      <c r="U541" s="5">
        <v>943.04</v>
      </c>
      <c r="V541" s="5">
        <v>738.31</v>
      </c>
      <c r="W541">
        <v>1</v>
      </c>
      <c r="X541" t="s">
        <v>49</v>
      </c>
      <c r="Y541">
        <v>2024</v>
      </c>
      <c r="Z541" t="str">
        <f>TEXT(Table1[[#This Row],[Order Date]],"MMM")</f>
        <v>Apr</v>
      </c>
      <c r="AA541" s="5">
        <f>Table1[[#This Row],[Unit Price]]*Table1[[#This Row],[Quantity]]*(1-Table1[[#This Row],[Discount %]]/100)</f>
        <v>943.04</v>
      </c>
      <c r="AB541" s="5">
        <f>Table1[[#This Row],[Sales]]-Table1[[#This Row],[Cost]]</f>
        <v>204.73000000000002</v>
      </c>
    </row>
    <row r="542" spans="1:28" x14ac:dyDescent="0.3">
      <c r="A542" t="s">
        <v>1553</v>
      </c>
      <c r="B542" s="1">
        <v>45459</v>
      </c>
      <c r="C542" t="s">
        <v>1554</v>
      </c>
      <c r="D542" t="s">
        <v>3322</v>
      </c>
      <c r="E542" s="1">
        <v>45461</v>
      </c>
      <c r="F542" t="s">
        <v>29</v>
      </c>
      <c r="G542" t="s">
        <v>27</v>
      </c>
      <c r="H542" t="s">
        <v>28</v>
      </c>
      <c r="I542" t="s">
        <v>2648</v>
      </c>
      <c r="J542" t="s">
        <v>2649</v>
      </c>
      <c r="K542" t="s">
        <v>25</v>
      </c>
      <c r="L542">
        <v>25</v>
      </c>
      <c r="M542">
        <v>3</v>
      </c>
      <c r="N542">
        <v>15</v>
      </c>
      <c r="O542" t="s">
        <v>209</v>
      </c>
      <c r="P542" t="s">
        <v>44</v>
      </c>
      <c r="Q542" t="s">
        <v>117</v>
      </c>
      <c r="R542" t="s">
        <v>71</v>
      </c>
      <c r="S542" t="s">
        <v>30</v>
      </c>
      <c r="T542">
        <v>5</v>
      </c>
      <c r="U542" s="5">
        <v>421.33</v>
      </c>
      <c r="V542" s="5">
        <v>694.77</v>
      </c>
      <c r="W542">
        <v>2</v>
      </c>
      <c r="X542" t="s">
        <v>49</v>
      </c>
      <c r="Y542">
        <v>2024</v>
      </c>
      <c r="Z542" t="str">
        <f>TEXT(Table1[[#This Row],[Order Date]],"MMM")</f>
        <v>Jun</v>
      </c>
      <c r="AA542" s="5">
        <f>Table1[[#This Row],[Unit Price]]*Table1[[#This Row],[Quantity]]*(1-Table1[[#This Row],[Discount %]]/100)</f>
        <v>1074.3915</v>
      </c>
      <c r="AB542" s="5">
        <f>Table1[[#This Row],[Sales]]-Table1[[#This Row],[Cost]]</f>
        <v>379.62149999999997</v>
      </c>
    </row>
    <row r="543" spans="1:28" x14ac:dyDescent="0.3">
      <c r="A543" t="s">
        <v>1555</v>
      </c>
      <c r="B543" s="1">
        <v>46018</v>
      </c>
      <c r="C543" t="s">
        <v>1556</v>
      </c>
      <c r="D543" t="s">
        <v>3323</v>
      </c>
      <c r="E543" s="1">
        <v>46024</v>
      </c>
      <c r="F543" t="s">
        <v>122</v>
      </c>
      <c r="G543" t="s">
        <v>120</v>
      </c>
      <c r="H543" t="s">
        <v>121</v>
      </c>
      <c r="I543" t="s">
        <v>2631</v>
      </c>
      <c r="J543" t="s">
        <v>2673</v>
      </c>
      <c r="K543" t="s">
        <v>25</v>
      </c>
      <c r="L543">
        <v>31</v>
      </c>
      <c r="M543">
        <v>1</v>
      </c>
      <c r="N543">
        <v>30</v>
      </c>
      <c r="O543" t="s">
        <v>1557</v>
      </c>
      <c r="P543" t="s">
        <v>75</v>
      </c>
      <c r="Q543" t="s">
        <v>58</v>
      </c>
      <c r="R543" t="s">
        <v>71</v>
      </c>
      <c r="S543" t="s">
        <v>123</v>
      </c>
      <c r="T543">
        <v>3</v>
      </c>
      <c r="U543" s="5">
        <v>56.63</v>
      </c>
      <c r="V543" s="5">
        <v>30.01</v>
      </c>
      <c r="W543">
        <v>6</v>
      </c>
      <c r="X543" t="s">
        <v>94</v>
      </c>
      <c r="Y543">
        <v>2025</v>
      </c>
      <c r="Z543" t="str">
        <f>TEXT(Table1[[#This Row],[Order Date]],"MMM")</f>
        <v>Dec</v>
      </c>
      <c r="AA543" s="5">
        <f>Table1[[#This Row],[Unit Price]]*Table1[[#This Row],[Quantity]]*(1-Table1[[#This Row],[Discount %]]/100)</f>
        <v>39.640999999999998</v>
      </c>
      <c r="AB543" s="5">
        <f>Table1[[#This Row],[Sales]]-Table1[[#This Row],[Cost]]</f>
        <v>9.6309999999999967</v>
      </c>
    </row>
    <row r="544" spans="1:28" x14ac:dyDescent="0.3">
      <c r="A544" t="s">
        <v>1558</v>
      </c>
      <c r="B544" s="1">
        <v>45299</v>
      </c>
      <c r="C544" t="s">
        <v>1559</v>
      </c>
      <c r="D544" t="s">
        <v>3324</v>
      </c>
      <c r="E544" s="1">
        <v>45304</v>
      </c>
      <c r="F544" t="s">
        <v>56</v>
      </c>
      <c r="G544" t="s">
        <v>54</v>
      </c>
      <c r="H544" t="s">
        <v>55</v>
      </c>
      <c r="I544" t="s">
        <v>2621</v>
      </c>
      <c r="J544" t="s">
        <v>2647</v>
      </c>
      <c r="K544" t="s">
        <v>25</v>
      </c>
      <c r="L544">
        <v>25</v>
      </c>
      <c r="M544">
        <v>2</v>
      </c>
      <c r="N544">
        <v>15</v>
      </c>
      <c r="O544" t="s">
        <v>1560</v>
      </c>
      <c r="P544" t="s">
        <v>75</v>
      </c>
      <c r="Q544" t="s">
        <v>70</v>
      </c>
      <c r="R544" t="s">
        <v>32</v>
      </c>
      <c r="S544" t="s">
        <v>57</v>
      </c>
      <c r="T544">
        <v>4</v>
      </c>
      <c r="U544" s="5">
        <v>739.24</v>
      </c>
      <c r="V544" s="5">
        <v>751.8</v>
      </c>
      <c r="W544">
        <v>5</v>
      </c>
      <c r="X544" t="s">
        <v>34</v>
      </c>
      <c r="Y544">
        <v>2024</v>
      </c>
      <c r="Z544" t="str">
        <f>TEXT(Table1[[#This Row],[Order Date]],"MMM")</f>
        <v>Jan</v>
      </c>
      <c r="AA544" s="5">
        <f>Table1[[#This Row],[Unit Price]]*Table1[[#This Row],[Quantity]]*(1-Table1[[#This Row],[Discount %]]/100)</f>
        <v>1256.7080000000001</v>
      </c>
      <c r="AB544" s="5">
        <f>Table1[[#This Row],[Sales]]-Table1[[#This Row],[Cost]]</f>
        <v>504.90800000000013</v>
      </c>
    </row>
    <row r="545" spans="1:28" x14ac:dyDescent="0.3">
      <c r="A545" t="s">
        <v>1561</v>
      </c>
      <c r="B545" s="1">
        <v>45818</v>
      </c>
      <c r="C545" t="s">
        <v>1562</v>
      </c>
      <c r="D545" t="s">
        <v>3325</v>
      </c>
      <c r="E545" s="1">
        <v>45822</v>
      </c>
      <c r="F545" t="s">
        <v>29</v>
      </c>
      <c r="G545" t="s">
        <v>27</v>
      </c>
      <c r="H545" t="s">
        <v>28</v>
      </c>
      <c r="I545" t="s">
        <v>2625</v>
      </c>
      <c r="J545" t="s">
        <v>2685</v>
      </c>
      <c r="K545" t="s">
        <v>25</v>
      </c>
      <c r="L545">
        <v>31</v>
      </c>
      <c r="M545">
        <v>3</v>
      </c>
      <c r="N545">
        <v>15</v>
      </c>
      <c r="O545" t="s">
        <v>563</v>
      </c>
      <c r="P545" t="s">
        <v>44</v>
      </c>
      <c r="Q545" t="s">
        <v>117</v>
      </c>
      <c r="R545" t="s">
        <v>71</v>
      </c>
      <c r="S545" t="s">
        <v>30</v>
      </c>
      <c r="T545">
        <v>4</v>
      </c>
      <c r="U545" s="5">
        <v>345.58</v>
      </c>
      <c r="V545" s="5">
        <v>511.77</v>
      </c>
      <c r="W545">
        <v>4</v>
      </c>
      <c r="X545" t="s">
        <v>49</v>
      </c>
      <c r="Y545">
        <v>2025</v>
      </c>
      <c r="Z545" t="str">
        <f>TEXT(Table1[[#This Row],[Order Date]],"MMM")</f>
        <v>Jun</v>
      </c>
      <c r="AA545" s="5">
        <f>Table1[[#This Row],[Unit Price]]*Table1[[#This Row],[Quantity]]*(1-Table1[[#This Row],[Discount %]]/100)</f>
        <v>881.22899999999993</v>
      </c>
      <c r="AB545" s="5">
        <f>Table1[[#This Row],[Sales]]-Table1[[#This Row],[Cost]]</f>
        <v>369.45899999999995</v>
      </c>
    </row>
    <row r="546" spans="1:28" x14ac:dyDescent="0.3">
      <c r="A546" t="s">
        <v>1563</v>
      </c>
      <c r="B546" s="1">
        <v>45385</v>
      </c>
      <c r="C546" t="s">
        <v>1564</v>
      </c>
      <c r="D546" t="s">
        <v>3326</v>
      </c>
      <c r="E546" s="1">
        <v>45386</v>
      </c>
      <c r="F546" t="s">
        <v>122</v>
      </c>
      <c r="G546" t="s">
        <v>120</v>
      </c>
      <c r="H546" t="s">
        <v>121</v>
      </c>
      <c r="I546" t="s">
        <v>2619</v>
      </c>
      <c r="J546" t="s">
        <v>2687</v>
      </c>
      <c r="K546" t="s">
        <v>25</v>
      </c>
      <c r="L546">
        <v>57</v>
      </c>
      <c r="M546">
        <v>4</v>
      </c>
      <c r="N546">
        <v>20</v>
      </c>
      <c r="O546" t="s">
        <v>1565</v>
      </c>
      <c r="P546" t="s">
        <v>75</v>
      </c>
      <c r="Q546" t="s">
        <v>117</v>
      </c>
      <c r="R546" t="s">
        <v>43</v>
      </c>
      <c r="S546" t="s">
        <v>123</v>
      </c>
      <c r="T546">
        <v>5</v>
      </c>
      <c r="U546" s="5">
        <v>301.39</v>
      </c>
      <c r="V546" s="5">
        <v>602.26</v>
      </c>
      <c r="W546">
        <v>1</v>
      </c>
      <c r="X546" t="s">
        <v>49</v>
      </c>
      <c r="Y546">
        <v>2024</v>
      </c>
      <c r="Z546" t="str">
        <f>TEXT(Table1[[#This Row],[Order Date]],"MMM")</f>
        <v>Apr</v>
      </c>
      <c r="AA546" s="5">
        <f>Table1[[#This Row],[Unit Price]]*Table1[[#This Row],[Quantity]]*(1-Table1[[#This Row],[Discount %]]/100)</f>
        <v>964.44799999999998</v>
      </c>
      <c r="AB546" s="5">
        <f>Table1[[#This Row],[Sales]]-Table1[[#This Row],[Cost]]</f>
        <v>362.18799999999999</v>
      </c>
    </row>
    <row r="547" spans="1:28" x14ac:dyDescent="0.3">
      <c r="A547" t="s">
        <v>1566</v>
      </c>
      <c r="B547" s="1">
        <v>46115</v>
      </c>
      <c r="C547" t="s">
        <v>1567</v>
      </c>
      <c r="D547" t="s">
        <v>3327</v>
      </c>
      <c r="E547" s="1">
        <v>46120</v>
      </c>
      <c r="F547" t="s">
        <v>40</v>
      </c>
      <c r="G547" t="s">
        <v>38</v>
      </c>
      <c r="H547" t="s">
        <v>39</v>
      </c>
      <c r="I547" t="s">
        <v>2621</v>
      </c>
      <c r="J547" t="s">
        <v>2647</v>
      </c>
      <c r="K547" t="s">
        <v>25</v>
      </c>
      <c r="L547">
        <v>34</v>
      </c>
      <c r="M547">
        <v>3</v>
      </c>
      <c r="N547">
        <v>10</v>
      </c>
      <c r="O547" t="s">
        <v>589</v>
      </c>
      <c r="P547" t="s">
        <v>33</v>
      </c>
      <c r="Q547" t="s">
        <v>42</v>
      </c>
      <c r="R547" t="s">
        <v>62</v>
      </c>
      <c r="S547" t="s">
        <v>41</v>
      </c>
      <c r="T547">
        <v>2</v>
      </c>
      <c r="U547" s="5">
        <v>766.17</v>
      </c>
      <c r="V547" s="5">
        <v>1128.57</v>
      </c>
      <c r="W547">
        <v>5</v>
      </c>
      <c r="X547" t="s">
        <v>49</v>
      </c>
      <c r="Y547">
        <v>2026</v>
      </c>
      <c r="Z547" t="str">
        <f>TEXT(Table1[[#This Row],[Order Date]],"MMM")</f>
        <v>Apr</v>
      </c>
      <c r="AA547" s="5">
        <f>Table1[[#This Row],[Unit Price]]*Table1[[#This Row],[Quantity]]*(1-Table1[[#This Row],[Discount %]]/100)</f>
        <v>2068.6589999999997</v>
      </c>
      <c r="AB547" s="5">
        <f>Table1[[#This Row],[Sales]]-Table1[[#This Row],[Cost]]</f>
        <v>940.08899999999971</v>
      </c>
    </row>
    <row r="548" spans="1:28" x14ac:dyDescent="0.3">
      <c r="A548" t="s">
        <v>1568</v>
      </c>
      <c r="B548" s="1">
        <v>45772</v>
      </c>
      <c r="C548" t="s">
        <v>1569</v>
      </c>
      <c r="D548" t="s">
        <v>3328</v>
      </c>
      <c r="E548" s="1">
        <v>45773</v>
      </c>
      <c r="F548" t="s">
        <v>115</v>
      </c>
      <c r="G548" t="s">
        <v>66</v>
      </c>
      <c r="H548" t="s">
        <v>114</v>
      </c>
      <c r="I548" t="s">
        <v>2618</v>
      </c>
      <c r="J548" t="s">
        <v>2700</v>
      </c>
      <c r="K548" t="s">
        <v>25</v>
      </c>
      <c r="L548">
        <v>26</v>
      </c>
      <c r="M548">
        <v>5</v>
      </c>
      <c r="N548">
        <v>20</v>
      </c>
      <c r="O548" t="s">
        <v>255</v>
      </c>
      <c r="P548" t="s">
        <v>75</v>
      </c>
      <c r="Q548" t="s">
        <v>42</v>
      </c>
      <c r="R548" t="s">
        <v>62</v>
      </c>
      <c r="S548" t="s">
        <v>116</v>
      </c>
      <c r="T548">
        <v>4</v>
      </c>
      <c r="U548" s="5">
        <v>346.31</v>
      </c>
      <c r="V548" s="5">
        <v>1127.54</v>
      </c>
      <c r="W548">
        <v>1</v>
      </c>
      <c r="X548" t="s">
        <v>49</v>
      </c>
      <c r="Y548">
        <v>2025</v>
      </c>
      <c r="Z548" t="str">
        <f>TEXT(Table1[[#This Row],[Order Date]],"MMM")</f>
        <v>Apr</v>
      </c>
      <c r="AA548" s="5">
        <f>Table1[[#This Row],[Unit Price]]*Table1[[#This Row],[Quantity]]*(1-Table1[[#This Row],[Discount %]]/100)</f>
        <v>1385.24</v>
      </c>
      <c r="AB548" s="5">
        <f>Table1[[#This Row],[Sales]]-Table1[[#This Row],[Cost]]</f>
        <v>257.70000000000005</v>
      </c>
    </row>
    <row r="549" spans="1:28" x14ac:dyDescent="0.3">
      <c r="A549" t="s">
        <v>1570</v>
      </c>
      <c r="B549" s="1">
        <v>45724</v>
      </c>
      <c r="C549" t="s">
        <v>1571</v>
      </c>
      <c r="D549" t="s">
        <v>3329</v>
      </c>
      <c r="E549" s="1">
        <v>45731</v>
      </c>
      <c r="F549" t="s">
        <v>56</v>
      </c>
      <c r="G549" t="s">
        <v>54</v>
      </c>
      <c r="H549" t="s">
        <v>55</v>
      </c>
      <c r="I549" t="s">
        <v>2625</v>
      </c>
      <c r="J549" t="s">
        <v>2693</v>
      </c>
      <c r="K549" t="s">
        <v>52</v>
      </c>
      <c r="L549">
        <v>28</v>
      </c>
      <c r="M549">
        <v>3</v>
      </c>
      <c r="N549">
        <v>0</v>
      </c>
      <c r="O549" t="s">
        <v>1572</v>
      </c>
      <c r="P549" t="s">
        <v>75</v>
      </c>
      <c r="Q549" t="s">
        <v>70</v>
      </c>
      <c r="R549" t="s">
        <v>62</v>
      </c>
      <c r="S549" t="s">
        <v>57</v>
      </c>
      <c r="T549">
        <v>3</v>
      </c>
      <c r="U549" s="5">
        <v>196.25</v>
      </c>
      <c r="V549" s="5">
        <v>427.48</v>
      </c>
      <c r="W549">
        <v>7</v>
      </c>
      <c r="X549" t="s">
        <v>34</v>
      </c>
      <c r="Y549">
        <v>2025</v>
      </c>
      <c r="Z549" t="str">
        <f>TEXT(Table1[[#This Row],[Order Date]],"MMM")</f>
        <v>Mar</v>
      </c>
      <c r="AA549" s="5">
        <f>Table1[[#This Row],[Unit Price]]*Table1[[#This Row],[Quantity]]*(1-Table1[[#This Row],[Discount %]]/100)</f>
        <v>588.75</v>
      </c>
      <c r="AB549" s="5">
        <f>Table1[[#This Row],[Sales]]-Table1[[#This Row],[Cost]]</f>
        <v>161.26999999999998</v>
      </c>
    </row>
    <row r="550" spans="1:28" x14ac:dyDescent="0.3">
      <c r="A550" t="s">
        <v>1573</v>
      </c>
      <c r="B550" s="1">
        <v>45713</v>
      </c>
      <c r="C550" t="s">
        <v>1574</v>
      </c>
      <c r="D550" t="s">
        <v>3330</v>
      </c>
      <c r="E550" s="1">
        <v>45719</v>
      </c>
      <c r="F550" t="s">
        <v>68</v>
      </c>
      <c r="G550" t="s">
        <v>66</v>
      </c>
      <c r="H550" t="s">
        <v>67</v>
      </c>
      <c r="I550" t="s">
        <v>2625</v>
      </c>
      <c r="J550" t="s">
        <v>2705</v>
      </c>
      <c r="K550" t="s">
        <v>52</v>
      </c>
      <c r="L550">
        <v>40</v>
      </c>
      <c r="M550">
        <v>1</v>
      </c>
      <c r="N550">
        <v>0</v>
      </c>
      <c r="O550" t="s">
        <v>1494</v>
      </c>
      <c r="P550" t="s">
        <v>33</v>
      </c>
      <c r="Q550" t="s">
        <v>117</v>
      </c>
      <c r="R550" t="s">
        <v>43</v>
      </c>
      <c r="S550" t="s">
        <v>69</v>
      </c>
      <c r="T550">
        <v>2</v>
      </c>
      <c r="U550" s="5">
        <v>975.21</v>
      </c>
      <c r="V550" s="5">
        <v>686.32</v>
      </c>
      <c r="W550">
        <v>6</v>
      </c>
      <c r="X550" t="s">
        <v>34</v>
      </c>
      <c r="Y550">
        <v>2025</v>
      </c>
      <c r="Z550" t="str">
        <f>TEXT(Table1[[#This Row],[Order Date]],"MMM")</f>
        <v>Feb</v>
      </c>
      <c r="AA550" s="5">
        <f>Table1[[#This Row],[Unit Price]]*Table1[[#This Row],[Quantity]]*(1-Table1[[#This Row],[Discount %]]/100)</f>
        <v>975.21</v>
      </c>
      <c r="AB550" s="5">
        <f>Table1[[#This Row],[Sales]]-Table1[[#This Row],[Cost]]</f>
        <v>288.89</v>
      </c>
    </row>
    <row r="551" spans="1:28" x14ac:dyDescent="0.3">
      <c r="A551" t="s">
        <v>1575</v>
      </c>
      <c r="B551" s="1">
        <v>45292</v>
      </c>
      <c r="C551" t="s">
        <v>1576</v>
      </c>
      <c r="D551" t="s">
        <v>3331</v>
      </c>
      <c r="E551" s="1">
        <v>45295</v>
      </c>
      <c r="F551" t="s">
        <v>40</v>
      </c>
      <c r="G551" t="s">
        <v>38</v>
      </c>
      <c r="H551" t="s">
        <v>39</v>
      </c>
      <c r="I551" t="s">
        <v>2619</v>
      </c>
      <c r="J551" t="s">
        <v>2692</v>
      </c>
      <c r="K551" t="s">
        <v>25</v>
      </c>
      <c r="L551">
        <v>21</v>
      </c>
      <c r="M551">
        <v>3</v>
      </c>
      <c r="N551">
        <v>20</v>
      </c>
      <c r="O551" t="s">
        <v>379</v>
      </c>
      <c r="P551" t="s">
        <v>44</v>
      </c>
      <c r="Q551" t="s">
        <v>31</v>
      </c>
      <c r="R551" t="s">
        <v>62</v>
      </c>
      <c r="S551" t="s">
        <v>41</v>
      </c>
      <c r="T551">
        <v>4</v>
      </c>
      <c r="U551" s="5">
        <v>815.94</v>
      </c>
      <c r="V551" s="5">
        <v>1036.21</v>
      </c>
      <c r="W551">
        <v>3</v>
      </c>
      <c r="X551" t="s">
        <v>34</v>
      </c>
      <c r="Y551">
        <v>2024</v>
      </c>
      <c r="Z551" t="str">
        <f>TEXT(Table1[[#This Row],[Order Date]],"MMM")</f>
        <v>Jan</v>
      </c>
      <c r="AA551" s="5">
        <f>Table1[[#This Row],[Unit Price]]*Table1[[#This Row],[Quantity]]*(1-Table1[[#This Row],[Discount %]]/100)</f>
        <v>1958.2560000000003</v>
      </c>
      <c r="AB551" s="5">
        <f>Table1[[#This Row],[Sales]]-Table1[[#This Row],[Cost]]</f>
        <v>922.04600000000028</v>
      </c>
    </row>
    <row r="552" spans="1:28" x14ac:dyDescent="0.3">
      <c r="A552" t="s">
        <v>1577</v>
      </c>
      <c r="B552" s="1">
        <v>45736</v>
      </c>
      <c r="C552" t="s">
        <v>1578</v>
      </c>
      <c r="D552" t="s">
        <v>3332</v>
      </c>
      <c r="E552" s="1">
        <v>45740</v>
      </c>
      <c r="F552" t="s">
        <v>56</v>
      </c>
      <c r="G552" t="s">
        <v>54</v>
      </c>
      <c r="H552" t="s">
        <v>55</v>
      </c>
      <c r="I552" t="s">
        <v>2650</v>
      </c>
      <c r="J552" t="s">
        <v>2680</v>
      </c>
      <c r="K552" t="s">
        <v>52</v>
      </c>
      <c r="L552">
        <v>49</v>
      </c>
      <c r="M552">
        <v>3</v>
      </c>
      <c r="N552">
        <v>20</v>
      </c>
      <c r="O552" t="s">
        <v>1497</v>
      </c>
      <c r="P552" t="s">
        <v>75</v>
      </c>
      <c r="Q552" t="s">
        <v>31</v>
      </c>
      <c r="R552" t="s">
        <v>71</v>
      </c>
      <c r="S552" t="s">
        <v>57</v>
      </c>
      <c r="T552">
        <v>4</v>
      </c>
      <c r="U552" s="5">
        <v>903.59</v>
      </c>
      <c r="V552" s="5">
        <v>1360.69</v>
      </c>
      <c r="W552">
        <v>4</v>
      </c>
      <c r="X552" t="s">
        <v>34</v>
      </c>
      <c r="Y552">
        <v>2025</v>
      </c>
      <c r="Z552" t="str">
        <f>TEXT(Table1[[#This Row],[Order Date]],"MMM")</f>
        <v>Mar</v>
      </c>
      <c r="AA552" s="5">
        <f>Table1[[#This Row],[Unit Price]]*Table1[[#This Row],[Quantity]]*(1-Table1[[#This Row],[Discount %]]/100)</f>
        <v>2168.616</v>
      </c>
      <c r="AB552" s="5">
        <f>Table1[[#This Row],[Sales]]-Table1[[#This Row],[Cost]]</f>
        <v>807.92599999999993</v>
      </c>
    </row>
    <row r="553" spans="1:28" x14ac:dyDescent="0.3">
      <c r="A553" t="s">
        <v>1579</v>
      </c>
      <c r="B553" s="1">
        <v>45824</v>
      </c>
      <c r="C553" t="s">
        <v>1580</v>
      </c>
      <c r="D553" t="s">
        <v>3333</v>
      </c>
      <c r="E553" s="1">
        <v>45831</v>
      </c>
      <c r="F553" t="s">
        <v>68</v>
      </c>
      <c r="G553" t="s">
        <v>66</v>
      </c>
      <c r="H553" t="s">
        <v>67</v>
      </c>
      <c r="I553" t="s">
        <v>2627</v>
      </c>
      <c r="J553" t="s">
        <v>2670</v>
      </c>
      <c r="K553" t="s">
        <v>52</v>
      </c>
      <c r="L553">
        <v>25</v>
      </c>
      <c r="M553">
        <v>2</v>
      </c>
      <c r="N553">
        <v>20</v>
      </c>
      <c r="O553" t="s">
        <v>1164</v>
      </c>
      <c r="P553" t="s">
        <v>33</v>
      </c>
      <c r="Q553" t="s">
        <v>117</v>
      </c>
      <c r="R553" t="s">
        <v>32</v>
      </c>
      <c r="S553" t="s">
        <v>69</v>
      </c>
      <c r="T553">
        <v>4</v>
      </c>
      <c r="U553" s="5">
        <v>337.71</v>
      </c>
      <c r="V553" s="5">
        <v>391.72</v>
      </c>
      <c r="W553">
        <v>7</v>
      </c>
      <c r="X553" t="s">
        <v>49</v>
      </c>
      <c r="Y553">
        <v>2025</v>
      </c>
      <c r="Z553" t="str">
        <f>TEXT(Table1[[#This Row],[Order Date]],"MMM")</f>
        <v>Jun</v>
      </c>
      <c r="AA553" s="5">
        <f>Table1[[#This Row],[Unit Price]]*Table1[[#This Row],[Quantity]]*(1-Table1[[#This Row],[Discount %]]/100)</f>
        <v>540.33600000000001</v>
      </c>
      <c r="AB553" s="5">
        <f>Table1[[#This Row],[Sales]]-Table1[[#This Row],[Cost]]</f>
        <v>148.61599999999999</v>
      </c>
    </row>
    <row r="554" spans="1:28" x14ac:dyDescent="0.3">
      <c r="A554" t="s">
        <v>1581</v>
      </c>
      <c r="B554" s="1">
        <v>45734</v>
      </c>
      <c r="C554" t="s">
        <v>1582</v>
      </c>
      <c r="D554" t="s">
        <v>3334</v>
      </c>
      <c r="E554" s="1">
        <v>45738</v>
      </c>
      <c r="F554" t="s">
        <v>140</v>
      </c>
      <c r="G554" t="s">
        <v>38</v>
      </c>
      <c r="H554" t="s">
        <v>139</v>
      </c>
      <c r="I554" t="s">
        <v>2621</v>
      </c>
      <c r="J554" t="s">
        <v>2663</v>
      </c>
      <c r="K554" t="s">
        <v>25</v>
      </c>
      <c r="L554">
        <v>34</v>
      </c>
      <c r="M554">
        <v>2</v>
      </c>
      <c r="N554">
        <v>25</v>
      </c>
      <c r="O554" t="s">
        <v>1583</v>
      </c>
      <c r="P554" t="s">
        <v>44</v>
      </c>
      <c r="Q554" t="s">
        <v>117</v>
      </c>
      <c r="R554" t="s">
        <v>32</v>
      </c>
      <c r="S554" t="s">
        <v>141</v>
      </c>
      <c r="T554">
        <v>3</v>
      </c>
      <c r="U554" s="5">
        <v>75.790000000000006</v>
      </c>
      <c r="V554" s="5">
        <v>88.19</v>
      </c>
      <c r="W554">
        <v>4</v>
      </c>
      <c r="X554" t="s">
        <v>34</v>
      </c>
      <c r="Y554">
        <v>2025</v>
      </c>
      <c r="Z554" t="str">
        <f>TEXT(Table1[[#This Row],[Order Date]],"MMM")</f>
        <v>Mar</v>
      </c>
      <c r="AA554" s="5">
        <f>Table1[[#This Row],[Unit Price]]*Table1[[#This Row],[Quantity]]*(1-Table1[[#This Row],[Discount %]]/100)</f>
        <v>113.685</v>
      </c>
      <c r="AB554" s="5">
        <f>Table1[[#This Row],[Sales]]-Table1[[#This Row],[Cost]]</f>
        <v>25.495000000000005</v>
      </c>
    </row>
    <row r="555" spans="1:28" x14ac:dyDescent="0.3">
      <c r="A555" t="s">
        <v>1584</v>
      </c>
      <c r="B555" s="1">
        <v>45432</v>
      </c>
      <c r="C555" t="s">
        <v>1585</v>
      </c>
      <c r="D555" t="s">
        <v>3335</v>
      </c>
      <c r="E555" s="1">
        <v>45435</v>
      </c>
      <c r="F555" t="s">
        <v>40</v>
      </c>
      <c r="G555" t="s">
        <v>38</v>
      </c>
      <c r="H555" t="s">
        <v>39</v>
      </c>
      <c r="I555" t="s">
        <v>2655</v>
      </c>
      <c r="J555" t="s">
        <v>2656</v>
      </c>
      <c r="K555" t="s">
        <v>25</v>
      </c>
      <c r="L555">
        <v>41</v>
      </c>
      <c r="M555">
        <v>2</v>
      </c>
      <c r="N555">
        <v>0</v>
      </c>
      <c r="O555" t="s">
        <v>97</v>
      </c>
      <c r="P555" t="s">
        <v>75</v>
      </c>
      <c r="Q555" t="s">
        <v>117</v>
      </c>
      <c r="R555" t="s">
        <v>43</v>
      </c>
      <c r="S555" t="s">
        <v>41</v>
      </c>
      <c r="T555">
        <v>2</v>
      </c>
      <c r="U555" s="5">
        <v>325.89</v>
      </c>
      <c r="V555" s="5">
        <v>549.09</v>
      </c>
      <c r="W555">
        <v>3</v>
      </c>
      <c r="X555" t="s">
        <v>49</v>
      </c>
      <c r="Y555">
        <v>2024</v>
      </c>
      <c r="Z555" t="str">
        <f>TEXT(Table1[[#This Row],[Order Date]],"MMM")</f>
        <v>May</v>
      </c>
      <c r="AA555" s="5">
        <f>Table1[[#This Row],[Unit Price]]*Table1[[#This Row],[Quantity]]*(1-Table1[[#This Row],[Discount %]]/100)</f>
        <v>651.78</v>
      </c>
      <c r="AB555" s="5">
        <f>Table1[[#This Row],[Sales]]-Table1[[#This Row],[Cost]]</f>
        <v>102.68999999999994</v>
      </c>
    </row>
    <row r="556" spans="1:28" x14ac:dyDescent="0.3">
      <c r="A556" t="s">
        <v>1586</v>
      </c>
      <c r="B556" s="1">
        <v>46191</v>
      </c>
      <c r="C556" t="s">
        <v>1314</v>
      </c>
      <c r="D556" t="s">
        <v>3336</v>
      </c>
      <c r="E556" s="1">
        <v>46192</v>
      </c>
      <c r="F556" t="s">
        <v>56</v>
      </c>
      <c r="G556" t="s">
        <v>54</v>
      </c>
      <c r="H556" t="s">
        <v>55</v>
      </c>
      <c r="I556" t="s">
        <v>2664</v>
      </c>
      <c r="J556" t="s">
        <v>2665</v>
      </c>
      <c r="K556" t="s">
        <v>25</v>
      </c>
      <c r="L556">
        <v>39</v>
      </c>
      <c r="M556">
        <v>1</v>
      </c>
      <c r="N556">
        <v>15</v>
      </c>
      <c r="O556" t="s">
        <v>1587</v>
      </c>
      <c r="P556" t="s">
        <v>33</v>
      </c>
      <c r="Q556" t="s">
        <v>31</v>
      </c>
      <c r="R556" t="s">
        <v>32</v>
      </c>
      <c r="S556" t="s">
        <v>57</v>
      </c>
      <c r="T556">
        <v>2</v>
      </c>
      <c r="U556" s="5">
        <v>605.36</v>
      </c>
      <c r="V556" s="5">
        <v>285.05</v>
      </c>
      <c r="W556">
        <v>1</v>
      </c>
      <c r="X556" t="s">
        <v>49</v>
      </c>
      <c r="Y556">
        <v>2026</v>
      </c>
      <c r="Z556" t="str">
        <f>TEXT(Table1[[#This Row],[Order Date]],"MMM")</f>
        <v>Jun</v>
      </c>
      <c r="AA556" s="5">
        <f>Table1[[#This Row],[Unit Price]]*Table1[[#This Row],[Quantity]]*(1-Table1[[#This Row],[Discount %]]/100)</f>
        <v>514.55600000000004</v>
      </c>
      <c r="AB556" s="5">
        <f>Table1[[#This Row],[Sales]]-Table1[[#This Row],[Cost]]</f>
        <v>229.50600000000003</v>
      </c>
    </row>
    <row r="557" spans="1:28" x14ac:dyDescent="0.3">
      <c r="A557" t="s">
        <v>1588</v>
      </c>
      <c r="B557" s="1">
        <v>46101</v>
      </c>
      <c r="C557" t="s">
        <v>1589</v>
      </c>
      <c r="D557" t="s">
        <v>3337</v>
      </c>
      <c r="E557" s="1">
        <v>46107</v>
      </c>
      <c r="F557" t="s">
        <v>29</v>
      </c>
      <c r="G557" t="s">
        <v>27</v>
      </c>
      <c r="H557" t="s">
        <v>28</v>
      </c>
      <c r="I557" t="s">
        <v>2628</v>
      </c>
      <c r="J557" t="s">
        <v>2711</v>
      </c>
      <c r="K557" t="s">
        <v>52</v>
      </c>
      <c r="L557">
        <v>22</v>
      </c>
      <c r="M557">
        <v>1</v>
      </c>
      <c r="N557">
        <v>5</v>
      </c>
      <c r="O557" t="s">
        <v>975</v>
      </c>
      <c r="P557" t="s">
        <v>44</v>
      </c>
      <c r="Q557" t="s">
        <v>70</v>
      </c>
      <c r="R557" t="s">
        <v>71</v>
      </c>
      <c r="S557" t="s">
        <v>30</v>
      </c>
      <c r="T557">
        <v>1</v>
      </c>
      <c r="U557" s="5">
        <v>597.9</v>
      </c>
      <c r="V557" s="5">
        <v>434.68</v>
      </c>
      <c r="W557">
        <v>6</v>
      </c>
      <c r="X557" t="s">
        <v>34</v>
      </c>
      <c r="Y557">
        <v>2026</v>
      </c>
      <c r="Z557" t="str">
        <f>TEXT(Table1[[#This Row],[Order Date]],"MMM")</f>
        <v>Mar</v>
      </c>
      <c r="AA557" s="5">
        <f>Table1[[#This Row],[Unit Price]]*Table1[[#This Row],[Quantity]]*(1-Table1[[#This Row],[Discount %]]/100)</f>
        <v>568.005</v>
      </c>
      <c r="AB557" s="5">
        <f>Table1[[#This Row],[Sales]]-Table1[[#This Row],[Cost]]</f>
        <v>133.32499999999999</v>
      </c>
    </row>
    <row r="558" spans="1:28" x14ac:dyDescent="0.3">
      <c r="A558" t="s">
        <v>1590</v>
      </c>
      <c r="B558" s="1">
        <v>45692</v>
      </c>
      <c r="C558" t="s">
        <v>1591</v>
      </c>
      <c r="D558" t="s">
        <v>3338</v>
      </c>
      <c r="E558" s="1">
        <v>45693</v>
      </c>
      <c r="F558" t="s">
        <v>68</v>
      </c>
      <c r="G558" t="s">
        <v>66</v>
      </c>
      <c r="H558" t="s">
        <v>67</v>
      </c>
      <c r="I558" t="s">
        <v>2668</v>
      </c>
      <c r="J558" t="s">
        <v>2686</v>
      </c>
      <c r="K558" t="s">
        <v>25</v>
      </c>
      <c r="L558">
        <v>43</v>
      </c>
      <c r="M558">
        <v>2</v>
      </c>
      <c r="N558">
        <v>10</v>
      </c>
      <c r="O558" t="s">
        <v>1592</v>
      </c>
      <c r="P558" t="s">
        <v>75</v>
      </c>
      <c r="Q558" t="s">
        <v>42</v>
      </c>
      <c r="R558" t="s">
        <v>62</v>
      </c>
      <c r="S558" t="s">
        <v>69</v>
      </c>
      <c r="T558">
        <v>2</v>
      </c>
      <c r="U558" s="5">
        <v>777.98</v>
      </c>
      <c r="V558" s="5">
        <v>1120.24</v>
      </c>
      <c r="W558">
        <v>1</v>
      </c>
      <c r="X558" t="s">
        <v>34</v>
      </c>
      <c r="Y558">
        <v>2025</v>
      </c>
      <c r="Z558" t="str">
        <f>TEXT(Table1[[#This Row],[Order Date]],"MMM")</f>
        <v>Feb</v>
      </c>
      <c r="AA558" s="5">
        <f>Table1[[#This Row],[Unit Price]]*Table1[[#This Row],[Quantity]]*(1-Table1[[#This Row],[Discount %]]/100)</f>
        <v>1400.364</v>
      </c>
      <c r="AB558" s="5">
        <f>Table1[[#This Row],[Sales]]-Table1[[#This Row],[Cost]]</f>
        <v>280.12400000000002</v>
      </c>
    </row>
    <row r="559" spans="1:28" x14ac:dyDescent="0.3">
      <c r="A559" t="s">
        <v>1593</v>
      </c>
      <c r="B559" s="1">
        <v>45467</v>
      </c>
      <c r="C559" t="s">
        <v>1594</v>
      </c>
      <c r="D559" t="s">
        <v>3339</v>
      </c>
      <c r="E559" s="1">
        <v>45473</v>
      </c>
      <c r="F559" t="s">
        <v>122</v>
      </c>
      <c r="G559" t="s">
        <v>120</v>
      </c>
      <c r="H559" t="s">
        <v>121</v>
      </c>
      <c r="I559" t="s">
        <v>2625</v>
      </c>
      <c r="J559" t="s">
        <v>2693</v>
      </c>
      <c r="K559" t="s">
        <v>25</v>
      </c>
      <c r="L559">
        <v>47</v>
      </c>
      <c r="M559">
        <v>5</v>
      </c>
      <c r="N559">
        <v>25</v>
      </c>
      <c r="O559" t="s">
        <v>1525</v>
      </c>
      <c r="P559" t="s">
        <v>75</v>
      </c>
      <c r="Q559" t="s">
        <v>31</v>
      </c>
      <c r="R559" t="s">
        <v>71</v>
      </c>
      <c r="S559" t="s">
        <v>123</v>
      </c>
      <c r="T559">
        <v>5</v>
      </c>
      <c r="U559" s="5">
        <v>419.58</v>
      </c>
      <c r="V559" s="5">
        <v>1222.51</v>
      </c>
      <c r="W559">
        <v>6</v>
      </c>
      <c r="X559" t="s">
        <v>49</v>
      </c>
      <c r="Y559">
        <v>2024</v>
      </c>
      <c r="Z559" t="str">
        <f>TEXT(Table1[[#This Row],[Order Date]],"MMM")</f>
        <v>Jun</v>
      </c>
      <c r="AA559" s="5">
        <f>Table1[[#This Row],[Unit Price]]*Table1[[#This Row],[Quantity]]*(1-Table1[[#This Row],[Discount %]]/100)</f>
        <v>1573.4250000000002</v>
      </c>
      <c r="AB559" s="5">
        <f>Table1[[#This Row],[Sales]]-Table1[[#This Row],[Cost]]</f>
        <v>350.91500000000019</v>
      </c>
    </row>
    <row r="560" spans="1:28" x14ac:dyDescent="0.3">
      <c r="A560" t="s">
        <v>1595</v>
      </c>
      <c r="B560" s="1">
        <v>46185</v>
      </c>
      <c r="C560" t="s">
        <v>1596</v>
      </c>
      <c r="D560" t="s">
        <v>3340</v>
      </c>
      <c r="E560" s="1">
        <v>46187</v>
      </c>
      <c r="F560" t="s">
        <v>29</v>
      </c>
      <c r="G560" t="s">
        <v>27</v>
      </c>
      <c r="H560" t="s">
        <v>28</v>
      </c>
      <c r="I560" t="s">
        <v>2623</v>
      </c>
      <c r="J560" t="s">
        <v>2624</v>
      </c>
      <c r="K560" t="s">
        <v>25</v>
      </c>
      <c r="L560">
        <v>18</v>
      </c>
      <c r="M560">
        <v>3</v>
      </c>
      <c r="N560">
        <v>0</v>
      </c>
      <c r="O560" t="s">
        <v>1597</v>
      </c>
      <c r="P560" t="s">
        <v>75</v>
      </c>
      <c r="Q560" t="s">
        <v>70</v>
      </c>
      <c r="R560" t="s">
        <v>43</v>
      </c>
      <c r="S560" t="s">
        <v>30</v>
      </c>
      <c r="T560">
        <v>4</v>
      </c>
      <c r="U560" s="5">
        <v>301.49</v>
      </c>
      <c r="V560" s="5">
        <v>581.05999999999995</v>
      </c>
      <c r="W560">
        <v>2</v>
      </c>
      <c r="X560" t="s">
        <v>49</v>
      </c>
      <c r="Y560">
        <v>2026</v>
      </c>
      <c r="Z560" t="str">
        <f>TEXT(Table1[[#This Row],[Order Date]],"MMM")</f>
        <v>Jun</v>
      </c>
      <c r="AA560" s="5">
        <f>Table1[[#This Row],[Unit Price]]*Table1[[#This Row],[Quantity]]*(1-Table1[[#This Row],[Discount %]]/100)</f>
        <v>904.47</v>
      </c>
      <c r="AB560" s="5">
        <f>Table1[[#This Row],[Sales]]-Table1[[#This Row],[Cost]]</f>
        <v>323.41000000000008</v>
      </c>
    </row>
    <row r="561" spans="1:28" x14ac:dyDescent="0.3">
      <c r="A561" t="s">
        <v>1598</v>
      </c>
      <c r="B561" s="1">
        <v>45776</v>
      </c>
      <c r="C561" t="s">
        <v>1599</v>
      </c>
      <c r="D561" t="s">
        <v>3341</v>
      </c>
      <c r="E561" s="1">
        <v>45782</v>
      </c>
      <c r="F561" t="s">
        <v>40</v>
      </c>
      <c r="G561" t="s">
        <v>38</v>
      </c>
      <c r="H561" t="s">
        <v>39</v>
      </c>
      <c r="I561" t="s">
        <v>2631</v>
      </c>
      <c r="J561" t="s">
        <v>2639</v>
      </c>
      <c r="K561" t="s">
        <v>52</v>
      </c>
      <c r="L561">
        <v>58</v>
      </c>
      <c r="M561">
        <v>3</v>
      </c>
      <c r="N561">
        <v>25</v>
      </c>
      <c r="O561" t="s">
        <v>1600</v>
      </c>
      <c r="P561" t="s">
        <v>44</v>
      </c>
      <c r="Q561" t="s">
        <v>117</v>
      </c>
      <c r="R561" t="s">
        <v>71</v>
      </c>
      <c r="S561" t="s">
        <v>41</v>
      </c>
      <c r="T561">
        <v>3</v>
      </c>
      <c r="U561" s="5">
        <v>490.5</v>
      </c>
      <c r="V561" s="5">
        <v>725.13</v>
      </c>
      <c r="W561">
        <v>6</v>
      </c>
      <c r="X561" t="s">
        <v>49</v>
      </c>
      <c r="Y561">
        <v>2025</v>
      </c>
      <c r="Z561" t="str">
        <f>TEXT(Table1[[#This Row],[Order Date]],"MMM")</f>
        <v>Apr</v>
      </c>
      <c r="AA561" s="5">
        <f>Table1[[#This Row],[Unit Price]]*Table1[[#This Row],[Quantity]]*(1-Table1[[#This Row],[Discount %]]/100)</f>
        <v>1103.625</v>
      </c>
      <c r="AB561" s="5">
        <f>Table1[[#This Row],[Sales]]-Table1[[#This Row],[Cost]]</f>
        <v>378.495</v>
      </c>
    </row>
    <row r="562" spans="1:28" x14ac:dyDescent="0.3">
      <c r="A562" t="s">
        <v>1601</v>
      </c>
      <c r="B562" s="1">
        <v>45877</v>
      </c>
      <c r="C562" t="s">
        <v>1602</v>
      </c>
      <c r="D562" t="s">
        <v>3342</v>
      </c>
      <c r="E562" s="1">
        <v>45884</v>
      </c>
      <c r="F562" t="s">
        <v>29</v>
      </c>
      <c r="G562" t="s">
        <v>27</v>
      </c>
      <c r="H562" t="s">
        <v>28</v>
      </c>
      <c r="I562" t="s">
        <v>2635</v>
      </c>
      <c r="J562" t="s">
        <v>2636</v>
      </c>
      <c r="K562" t="s">
        <v>52</v>
      </c>
      <c r="L562">
        <v>18</v>
      </c>
      <c r="M562">
        <v>3</v>
      </c>
      <c r="N562">
        <v>30</v>
      </c>
      <c r="O562" t="s">
        <v>1603</v>
      </c>
      <c r="P562" t="s">
        <v>33</v>
      </c>
      <c r="Q562" t="s">
        <v>58</v>
      </c>
      <c r="R562" t="s">
        <v>62</v>
      </c>
      <c r="S562" t="s">
        <v>30</v>
      </c>
      <c r="T562">
        <v>2</v>
      </c>
      <c r="U562" s="5">
        <v>316.2</v>
      </c>
      <c r="V562" s="5">
        <v>524.38</v>
      </c>
      <c r="W562">
        <v>7</v>
      </c>
      <c r="X562" t="s">
        <v>45</v>
      </c>
      <c r="Y562">
        <v>2025</v>
      </c>
      <c r="Z562" t="str">
        <f>TEXT(Table1[[#This Row],[Order Date]],"MMM")</f>
        <v>Aug</v>
      </c>
      <c r="AA562" s="5">
        <f>Table1[[#This Row],[Unit Price]]*Table1[[#This Row],[Quantity]]*(1-Table1[[#This Row],[Discount %]]/100)</f>
        <v>664.01999999999987</v>
      </c>
      <c r="AB562" s="5">
        <f>Table1[[#This Row],[Sales]]-Table1[[#This Row],[Cost]]</f>
        <v>139.63999999999987</v>
      </c>
    </row>
    <row r="563" spans="1:28" x14ac:dyDescent="0.3">
      <c r="A563" t="s">
        <v>1604</v>
      </c>
      <c r="B563" s="1">
        <v>45416</v>
      </c>
      <c r="C563" t="s">
        <v>1605</v>
      </c>
      <c r="D563" t="s">
        <v>3343</v>
      </c>
      <c r="E563" s="1">
        <v>45422</v>
      </c>
      <c r="F563" t="s">
        <v>56</v>
      </c>
      <c r="G563" t="s">
        <v>54</v>
      </c>
      <c r="H563" t="s">
        <v>55</v>
      </c>
      <c r="I563" t="s">
        <v>2633</v>
      </c>
      <c r="J563" t="s">
        <v>99</v>
      </c>
      <c r="K563" t="s">
        <v>52</v>
      </c>
      <c r="L563">
        <v>62</v>
      </c>
      <c r="M563">
        <v>4</v>
      </c>
      <c r="N563">
        <v>5</v>
      </c>
      <c r="O563" t="s">
        <v>1114</v>
      </c>
      <c r="P563" t="s">
        <v>33</v>
      </c>
      <c r="Q563" t="s">
        <v>70</v>
      </c>
      <c r="R563" t="s">
        <v>62</v>
      </c>
      <c r="S563" t="s">
        <v>57</v>
      </c>
      <c r="T563">
        <v>5</v>
      </c>
      <c r="U563" s="5">
        <v>460.62</v>
      </c>
      <c r="V563" s="5">
        <v>944.72</v>
      </c>
      <c r="W563">
        <v>6</v>
      </c>
      <c r="X563" t="s">
        <v>49</v>
      </c>
      <c r="Y563">
        <v>2024</v>
      </c>
      <c r="Z563" t="str">
        <f>TEXT(Table1[[#This Row],[Order Date]],"MMM")</f>
        <v>May</v>
      </c>
      <c r="AA563" s="5">
        <f>Table1[[#This Row],[Unit Price]]*Table1[[#This Row],[Quantity]]*(1-Table1[[#This Row],[Discount %]]/100)</f>
        <v>1750.356</v>
      </c>
      <c r="AB563" s="5">
        <f>Table1[[#This Row],[Sales]]-Table1[[#This Row],[Cost]]</f>
        <v>805.63599999999997</v>
      </c>
    </row>
    <row r="564" spans="1:28" x14ac:dyDescent="0.3">
      <c r="A564" t="s">
        <v>1606</v>
      </c>
      <c r="B564" s="1">
        <v>46143</v>
      </c>
      <c r="C564" t="s">
        <v>1607</v>
      </c>
      <c r="D564" t="s">
        <v>3344</v>
      </c>
      <c r="E564" s="1">
        <v>46149</v>
      </c>
      <c r="F564" t="s">
        <v>100</v>
      </c>
      <c r="G564" t="s">
        <v>98</v>
      </c>
      <c r="H564" t="s">
        <v>99</v>
      </c>
      <c r="I564" t="s">
        <v>2621</v>
      </c>
      <c r="J564" t="s">
        <v>2622</v>
      </c>
      <c r="K564" t="s">
        <v>25</v>
      </c>
      <c r="L564">
        <v>39</v>
      </c>
      <c r="M564">
        <v>2</v>
      </c>
      <c r="N564">
        <v>10</v>
      </c>
      <c r="O564" t="s">
        <v>1351</v>
      </c>
      <c r="P564" t="s">
        <v>44</v>
      </c>
      <c r="Q564" t="s">
        <v>70</v>
      </c>
      <c r="R564" t="s">
        <v>71</v>
      </c>
      <c r="S564" t="s">
        <v>101</v>
      </c>
      <c r="T564">
        <v>5</v>
      </c>
      <c r="U564" s="5">
        <v>612.55999999999995</v>
      </c>
      <c r="V564" s="5">
        <v>909.93</v>
      </c>
      <c r="W564">
        <v>6</v>
      </c>
      <c r="X564" t="s">
        <v>49</v>
      </c>
      <c r="Y564">
        <v>2026</v>
      </c>
      <c r="Z564" t="str">
        <f>TEXT(Table1[[#This Row],[Order Date]],"MMM")</f>
        <v>May</v>
      </c>
      <c r="AA564" s="5">
        <f>Table1[[#This Row],[Unit Price]]*Table1[[#This Row],[Quantity]]*(1-Table1[[#This Row],[Discount %]]/100)</f>
        <v>1102.6079999999999</v>
      </c>
      <c r="AB564" s="5">
        <f>Table1[[#This Row],[Sales]]-Table1[[#This Row],[Cost]]</f>
        <v>192.678</v>
      </c>
    </row>
    <row r="565" spans="1:28" x14ac:dyDescent="0.3">
      <c r="A565" t="s">
        <v>1608</v>
      </c>
      <c r="B565" s="1">
        <v>45631</v>
      </c>
      <c r="C565" t="s">
        <v>1609</v>
      </c>
      <c r="D565" t="s">
        <v>3345</v>
      </c>
      <c r="E565" s="1">
        <v>45633</v>
      </c>
      <c r="F565" t="s">
        <v>100</v>
      </c>
      <c r="G565" t="s">
        <v>98</v>
      </c>
      <c r="H565" t="s">
        <v>99</v>
      </c>
      <c r="I565" t="s">
        <v>2659</v>
      </c>
      <c r="J565" t="s">
        <v>2666</v>
      </c>
      <c r="K565" t="s">
        <v>25</v>
      </c>
      <c r="L565">
        <v>52</v>
      </c>
      <c r="M565">
        <v>1</v>
      </c>
      <c r="N565">
        <v>5</v>
      </c>
      <c r="O565" t="s">
        <v>1610</v>
      </c>
      <c r="P565" t="s">
        <v>33</v>
      </c>
      <c r="Q565" t="s">
        <v>31</v>
      </c>
      <c r="R565" t="s">
        <v>62</v>
      </c>
      <c r="S565" t="s">
        <v>101</v>
      </c>
      <c r="T565">
        <v>1</v>
      </c>
      <c r="U565" s="5">
        <v>98.8</v>
      </c>
      <c r="V565" s="5">
        <v>50.62</v>
      </c>
      <c r="W565">
        <v>2</v>
      </c>
      <c r="X565" t="s">
        <v>94</v>
      </c>
      <c r="Y565">
        <v>2024</v>
      </c>
      <c r="Z565" t="str">
        <f>TEXT(Table1[[#This Row],[Order Date]],"MMM")</f>
        <v>Dec</v>
      </c>
      <c r="AA565" s="5">
        <f>Table1[[#This Row],[Unit Price]]*Table1[[#This Row],[Quantity]]*(1-Table1[[#This Row],[Discount %]]/100)</f>
        <v>93.86</v>
      </c>
      <c r="AB565" s="5">
        <f>Table1[[#This Row],[Sales]]-Table1[[#This Row],[Cost]]</f>
        <v>43.24</v>
      </c>
    </row>
    <row r="566" spans="1:28" x14ac:dyDescent="0.3">
      <c r="A566" t="s">
        <v>1611</v>
      </c>
      <c r="B566" s="1">
        <v>45550</v>
      </c>
      <c r="C566" t="s">
        <v>1612</v>
      </c>
      <c r="D566" t="s">
        <v>3346</v>
      </c>
      <c r="E566" s="1">
        <v>45553</v>
      </c>
      <c r="F566" t="s">
        <v>29</v>
      </c>
      <c r="G566" t="s">
        <v>27</v>
      </c>
      <c r="H566" t="s">
        <v>28</v>
      </c>
      <c r="I566" t="s">
        <v>2671</v>
      </c>
      <c r="J566" t="s">
        <v>2672</v>
      </c>
      <c r="K566" t="s">
        <v>25</v>
      </c>
      <c r="L566">
        <v>40</v>
      </c>
      <c r="M566">
        <v>5</v>
      </c>
      <c r="N566">
        <v>10</v>
      </c>
      <c r="O566" t="s">
        <v>126</v>
      </c>
      <c r="P566" t="s">
        <v>44</v>
      </c>
      <c r="Q566" t="s">
        <v>117</v>
      </c>
      <c r="R566" t="s">
        <v>62</v>
      </c>
      <c r="S566" t="s">
        <v>30</v>
      </c>
      <c r="T566">
        <v>1</v>
      </c>
      <c r="U566" s="5">
        <v>227.91</v>
      </c>
      <c r="V566" s="5">
        <v>855.1</v>
      </c>
      <c r="W566">
        <v>3</v>
      </c>
      <c r="X566" t="s">
        <v>45</v>
      </c>
      <c r="Y566">
        <v>2024</v>
      </c>
      <c r="Z566" t="str">
        <f>TEXT(Table1[[#This Row],[Order Date]],"MMM")</f>
        <v>Sep</v>
      </c>
      <c r="AA566" s="5">
        <f>Table1[[#This Row],[Unit Price]]*Table1[[#This Row],[Quantity]]*(1-Table1[[#This Row],[Discount %]]/100)</f>
        <v>1025.595</v>
      </c>
      <c r="AB566" s="5">
        <f>Table1[[#This Row],[Sales]]-Table1[[#This Row],[Cost]]</f>
        <v>170.495</v>
      </c>
    </row>
    <row r="567" spans="1:28" x14ac:dyDescent="0.3">
      <c r="A567" t="s">
        <v>1613</v>
      </c>
      <c r="B567" s="1">
        <v>45517</v>
      </c>
      <c r="C567" t="s">
        <v>1614</v>
      </c>
      <c r="D567" t="s">
        <v>3347</v>
      </c>
      <c r="E567" s="1">
        <v>45520</v>
      </c>
      <c r="F567" t="s">
        <v>68</v>
      </c>
      <c r="G567" t="s">
        <v>66</v>
      </c>
      <c r="H567" t="s">
        <v>67</v>
      </c>
      <c r="I567" t="s">
        <v>2668</v>
      </c>
      <c r="J567" t="s">
        <v>2712</v>
      </c>
      <c r="K567" t="s">
        <v>25</v>
      </c>
      <c r="L567">
        <v>18</v>
      </c>
      <c r="M567">
        <v>3</v>
      </c>
      <c r="N567">
        <v>10</v>
      </c>
      <c r="O567" t="s">
        <v>1615</v>
      </c>
      <c r="P567" t="s">
        <v>44</v>
      </c>
      <c r="Q567" t="s">
        <v>58</v>
      </c>
      <c r="R567" t="s">
        <v>62</v>
      </c>
      <c r="S567" t="s">
        <v>69</v>
      </c>
      <c r="T567">
        <v>1</v>
      </c>
      <c r="U567" s="5">
        <v>617.21</v>
      </c>
      <c r="V567" s="5">
        <v>1166.5899999999999</v>
      </c>
      <c r="W567">
        <v>3</v>
      </c>
      <c r="X567" t="s">
        <v>45</v>
      </c>
      <c r="Y567">
        <v>2024</v>
      </c>
      <c r="Z567" t="str">
        <f>TEXT(Table1[[#This Row],[Order Date]],"MMM")</f>
        <v>Aug</v>
      </c>
      <c r="AA567" s="5">
        <f>Table1[[#This Row],[Unit Price]]*Table1[[#This Row],[Quantity]]*(1-Table1[[#This Row],[Discount %]]/100)</f>
        <v>1666.4670000000001</v>
      </c>
      <c r="AB567" s="5">
        <f>Table1[[#This Row],[Sales]]-Table1[[#This Row],[Cost]]</f>
        <v>499.87700000000018</v>
      </c>
    </row>
    <row r="568" spans="1:28" x14ac:dyDescent="0.3">
      <c r="A568" t="s">
        <v>1616</v>
      </c>
      <c r="B568" s="1">
        <v>45987</v>
      </c>
      <c r="C568" t="s">
        <v>1617</v>
      </c>
      <c r="D568" t="s">
        <v>3348</v>
      </c>
      <c r="E568" s="1">
        <v>45992</v>
      </c>
      <c r="F568" t="s">
        <v>68</v>
      </c>
      <c r="G568" t="s">
        <v>66</v>
      </c>
      <c r="H568" t="s">
        <v>67</v>
      </c>
      <c r="I568" t="s">
        <v>2618</v>
      </c>
      <c r="J568" t="s">
        <v>2700</v>
      </c>
      <c r="K568" t="s">
        <v>52</v>
      </c>
      <c r="L568">
        <v>48</v>
      </c>
      <c r="M568">
        <v>3</v>
      </c>
      <c r="N568">
        <v>30</v>
      </c>
      <c r="O568" t="s">
        <v>1618</v>
      </c>
      <c r="P568" t="s">
        <v>33</v>
      </c>
      <c r="Q568" t="s">
        <v>31</v>
      </c>
      <c r="R568" t="s">
        <v>32</v>
      </c>
      <c r="S568" t="s">
        <v>69</v>
      </c>
      <c r="T568">
        <v>3</v>
      </c>
      <c r="U568" s="5">
        <v>841.15</v>
      </c>
      <c r="V568" s="5">
        <v>973.73</v>
      </c>
      <c r="W568">
        <v>5</v>
      </c>
      <c r="X568" t="s">
        <v>94</v>
      </c>
      <c r="Y568">
        <v>2025</v>
      </c>
      <c r="Z568" t="str">
        <f>TEXT(Table1[[#This Row],[Order Date]],"MMM")</f>
        <v>Nov</v>
      </c>
      <c r="AA568" s="5">
        <f>Table1[[#This Row],[Unit Price]]*Table1[[#This Row],[Quantity]]*(1-Table1[[#This Row],[Discount %]]/100)</f>
        <v>1766.4149999999997</v>
      </c>
      <c r="AB568" s="5">
        <f>Table1[[#This Row],[Sales]]-Table1[[#This Row],[Cost]]</f>
        <v>792.68499999999972</v>
      </c>
    </row>
    <row r="569" spans="1:28" x14ac:dyDescent="0.3">
      <c r="A569" t="s">
        <v>1619</v>
      </c>
      <c r="B569" s="1">
        <v>45327</v>
      </c>
      <c r="C569" t="s">
        <v>1620</v>
      </c>
      <c r="D569" t="s">
        <v>3349</v>
      </c>
      <c r="E569" s="1">
        <v>45333</v>
      </c>
      <c r="F569" t="s">
        <v>68</v>
      </c>
      <c r="G569" t="s">
        <v>66</v>
      </c>
      <c r="H569" t="s">
        <v>67</v>
      </c>
      <c r="I569" t="s">
        <v>2635</v>
      </c>
      <c r="J569" t="s">
        <v>2683</v>
      </c>
      <c r="K569" t="s">
        <v>25</v>
      </c>
      <c r="L569">
        <v>31</v>
      </c>
      <c r="M569">
        <v>3</v>
      </c>
      <c r="N569">
        <v>30</v>
      </c>
      <c r="O569" t="s">
        <v>479</v>
      </c>
      <c r="P569" t="s">
        <v>44</v>
      </c>
      <c r="Q569" t="s">
        <v>117</v>
      </c>
      <c r="R569" t="s">
        <v>43</v>
      </c>
      <c r="S569" t="s">
        <v>69</v>
      </c>
      <c r="T569">
        <v>2</v>
      </c>
      <c r="U569" s="5">
        <v>250.22</v>
      </c>
      <c r="V569" s="5">
        <v>344.4</v>
      </c>
      <c r="W569">
        <v>6</v>
      </c>
      <c r="X569" t="s">
        <v>34</v>
      </c>
      <c r="Y569">
        <v>2024</v>
      </c>
      <c r="Z569" t="str">
        <f>TEXT(Table1[[#This Row],[Order Date]],"MMM")</f>
        <v>Feb</v>
      </c>
      <c r="AA569" s="5">
        <f>Table1[[#This Row],[Unit Price]]*Table1[[#This Row],[Quantity]]*(1-Table1[[#This Row],[Discount %]]/100)</f>
        <v>525.46199999999999</v>
      </c>
      <c r="AB569" s="5">
        <f>Table1[[#This Row],[Sales]]-Table1[[#This Row],[Cost]]</f>
        <v>181.06200000000001</v>
      </c>
    </row>
    <row r="570" spans="1:28" x14ac:dyDescent="0.3">
      <c r="A570" t="s">
        <v>1621</v>
      </c>
      <c r="B570" s="1">
        <v>45440</v>
      </c>
      <c r="C570" t="s">
        <v>1622</v>
      </c>
      <c r="D570" t="s">
        <v>3350</v>
      </c>
      <c r="E570" s="1">
        <v>45446</v>
      </c>
      <c r="F570" t="s">
        <v>100</v>
      </c>
      <c r="G570" t="s">
        <v>98</v>
      </c>
      <c r="H570" t="s">
        <v>99</v>
      </c>
      <c r="I570" t="s">
        <v>2661</v>
      </c>
      <c r="J570" t="s">
        <v>2689</v>
      </c>
      <c r="K570" t="s">
        <v>52</v>
      </c>
      <c r="L570">
        <v>61</v>
      </c>
      <c r="M570">
        <v>4</v>
      </c>
      <c r="N570">
        <v>10</v>
      </c>
      <c r="O570" t="s">
        <v>808</v>
      </c>
      <c r="P570" t="s">
        <v>75</v>
      </c>
      <c r="Q570" t="s">
        <v>58</v>
      </c>
      <c r="R570" t="s">
        <v>43</v>
      </c>
      <c r="S570" t="s">
        <v>101</v>
      </c>
      <c r="T570">
        <v>5</v>
      </c>
      <c r="U570" s="5">
        <v>629.61</v>
      </c>
      <c r="V570" s="5">
        <v>1257.52</v>
      </c>
      <c r="W570">
        <v>6</v>
      </c>
      <c r="X570" t="s">
        <v>49</v>
      </c>
      <c r="Y570">
        <v>2024</v>
      </c>
      <c r="Z570" t="str">
        <f>TEXT(Table1[[#This Row],[Order Date]],"MMM")</f>
        <v>May</v>
      </c>
      <c r="AA570" s="5">
        <f>Table1[[#This Row],[Unit Price]]*Table1[[#This Row],[Quantity]]*(1-Table1[[#This Row],[Discount %]]/100)</f>
        <v>2266.596</v>
      </c>
      <c r="AB570" s="5">
        <f>Table1[[#This Row],[Sales]]-Table1[[#This Row],[Cost]]</f>
        <v>1009.076</v>
      </c>
    </row>
    <row r="571" spans="1:28" x14ac:dyDescent="0.3">
      <c r="A571" t="s">
        <v>1623</v>
      </c>
      <c r="B571" s="1">
        <v>46152</v>
      </c>
      <c r="C571" t="s">
        <v>1624</v>
      </c>
      <c r="D571" t="s">
        <v>3351</v>
      </c>
      <c r="E571" s="1">
        <v>46159</v>
      </c>
      <c r="F571" t="s">
        <v>128</v>
      </c>
      <c r="G571" t="s">
        <v>98</v>
      </c>
      <c r="H571" t="s">
        <v>127</v>
      </c>
      <c r="I571" t="s">
        <v>2627</v>
      </c>
      <c r="J571" t="s">
        <v>2707</v>
      </c>
      <c r="K571" t="s">
        <v>25</v>
      </c>
      <c r="L571">
        <v>31</v>
      </c>
      <c r="M571">
        <v>3</v>
      </c>
      <c r="N571">
        <v>30</v>
      </c>
      <c r="O571" t="s">
        <v>461</v>
      </c>
      <c r="P571" t="s">
        <v>75</v>
      </c>
      <c r="Q571" t="s">
        <v>58</v>
      </c>
      <c r="R571" t="s">
        <v>32</v>
      </c>
      <c r="S571" t="s">
        <v>129</v>
      </c>
      <c r="T571">
        <v>2</v>
      </c>
      <c r="U571" s="5">
        <v>24.56</v>
      </c>
      <c r="V571" s="5">
        <v>37.729999999999997</v>
      </c>
      <c r="W571">
        <v>7</v>
      </c>
      <c r="X571" t="s">
        <v>49</v>
      </c>
      <c r="Y571">
        <v>2026</v>
      </c>
      <c r="Z571" t="str">
        <f>TEXT(Table1[[#This Row],[Order Date]],"MMM")</f>
        <v>May</v>
      </c>
      <c r="AA571" s="5">
        <f>Table1[[#This Row],[Unit Price]]*Table1[[#This Row],[Quantity]]*(1-Table1[[#This Row],[Discount %]]/100)</f>
        <v>51.575999999999993</v>
      </c>
      <c r="AB571" s="5">
        <f>Table1[[#This Row],[Sales]]-Table1[[#This Row],[Cost]]</f>
        <v>13.845999999999997</v>
      </c>
    </row>
    <row r="572" spans="1:28" x14ac:dyDescent="0.3">
      <c r="A572" t="s">
        <v>1625</v>
      </c>
      <c r="B572" s="1">
        <v>46165</v>
      </c>
      <c r="C572" t="s">
        <v>1626</v>
      </c>
      <c r="D572" t="s">
        <v>3352</v>
      </c>
      <c r="E572" s="1">
        <v>46168</v>
      </c>
      <c r="F572" t="s">
        <v>128</v>
      </c>
      <c r="G572" t="s">
        <v>98</v>
      </c>
      <c r="H572" t="s">
        <v>127</v>
      </c>
      <c r="I572" t="s">
        <v>2631</v>
      </c>
      <c r="J572" t="s">
        <v>2716</v>
      </c>
      <c r="K572" t="s">
        <v>25</v>
      </c>
      <c r="L572">
        <v>26</v>
      </c>
      <c r="M572">
        <v>1</v>
      </c>
      <c r="N572">
        <v>15</v>
      </c>
      <c r="O572" t="s">
        <v>805</v>
      </c>
      <c r="P572" t="s">
        <v>44</v>
      </c>
      <c r="Q572" t="s">
        <v>117</v>
      </c>
      <c r="R572" t="s">
        <v>62</v>
      </c>
      <c r="S572" t="s">
        <v>129</v>
      </c>
      <c r="T572">
        <v>3</v>
      </c>
      <c r="U572" s="5">
        <v>448.08</v>
      </c>
      <c r="V572" s="5">
        <v>222.84</v>
      </c>
      <c r="W572">
        <v>3</v>
      </c>
      <c r="X572" t="s">
        <v>49</v>
      </c>
      <c r="Y572">
        <v>2026</v>
      </c>
      <c r="Z572" t="str">
        <f>TEXT(Table1[[#This Row],[Order Date]],"MMM")</f>
        <v>May</v>
      </c>
      <c r="AA572" s="5">
        <f>Table1[[#This Row],[Unit Price]]*Table1[[#This Row],[Quantity]]*(1-Table1[[#This Row],[Discount %]]/100)</f>
        <v>380.86799999999999</v>
      </c>
      <c r="AB572" s="5">
        <f>Table1[[#This Row],[Sales]]-Table1[[#This Row],[Cost]]</f>
        <v>158.02799999999999</v>
      </c>
    </row>
    <row r="573" spans="1:28" x14ac:dyDescent="0.3">
      <c r="A573" t="s">
        <v>1627</v>
      </c>
      <c r="B573" s="1">
        <v>46159</v>
      </c>
      <c r="C573" t="s">
        <v>1628</v>
      </c>
      <c r="D573" t="s">
        <v>3353</v>
      </c>
      <c r="E573" s="1">
        <v>46166</v>
      </c>
      <c r="F573" t="s">
        <v>40</v>
      </c>
      <c r="G573" t="s">
        <v>38</v>
      </c>
      <c r="H573" t="s">
        <v>39</v>
      </c>
      <c r="I573" t="s">
        <v>2627</v>
      </c>
      <c r="J573" t="s">
        <v>2670</v>
      </c>
      <c r="K573" t="s">
        <v>25</v>
      </c>
      <c r="L573">
        <v>22</v>
      </c>
      <c r="M573">
        <v>2</v>
      </c>
      <c r="N573">
        <v>10</v>
      </c>
      <c r="O573" t="s">
        <v>874</v>
      </c>
      <c r="P573" t="s">
        <v>75</v>
      </c>
      <c r="Q573" t="s">
        <v>31</v>
      </c>
      <c r="R573" t="s">
        <v>71</v>
      </c>
      <c r="S573" t="s">
        <v>41</v>
      </c>
      <c r="T573">
        <v>2</v>
      </c>
      <c r="U573" s="5">
        <v>753.83</v>
      </c>
      <c r="V573" s="5">
        <v>986</v>
      </c>
      <c r="W573">
        <v>7</v>
      </c>
      <c r="X573" t="s">
        <v>49</v>
      </c>
      <c r="Y573">
        <v>2026</v>
      </c>
      <c r="Z573" t="str">
        <f>TEXT(Table1[[#This Row],[Order Date]],"MMM")</f>
        <v>May</v>
      </c>
      <c r="AA573" s="5">
        <f>Table1[[#This Row],[Unit Price]]*Table1[[#This Row],[Quantity]]*(1-Table1[[#This Row],[Discount %]]/100)</f>
        <v>1356.894</v>
      </c>
      <c r="AB573" s="5">
        <f>Table1[[#This Row],[Sales]]-Table1[[#This Row],[Cost]]</f>
        <v>370.89400000000001</v>
      </c>
    </row>
    <row r="574" spans="1:28" x14ac:dyDescent="0.3">
      <c r="A574" t="s">
        <v>1629</v>
      </c>
      <c r="B574" s="1">
        <v>45388</v>
      </c>
      <c r="C574" t="s">
        <v>1630</v>
      </c>
      <c r="D574" t="s">
        <v>3354</v>
      </c>
      <c r="E574" s="1">
        <v>45391</v>
      </c>
      <c r="F574" t="s">
        <v>29</v>
      </c>
      <c r="G574" t="s">
        <v>27</v>
      </c>
      <c r="H574" t="s">
        <v>28</v>
      </c>
      <c r="I574" t="s">
        <v>2661</v>
      </c>
      <c r="J574" t="s">
        <v>2662</v>
      </c>
      <c r="K574" t="s">
        <v>25</v>
      </c>
      <c r="L574">
        <v>44</v>
      </c>
      <c r="M574">
        <v>5</v>
      </c>
      <c r="N574">
        <v>10</v>
      </c>
      <c r="O574" t="s">
        <v>159</v>
      </c>
      <c r="P574" t="s">
        <v>33</v>
      </c>
      <c r="Q574" t="s">
        <v>42</v>
      </c>
      <c r="R574" t="s">
        <v>62</v>
      </c>
      <c r="S574" t="s">
        <v>30</v>
      </c>
      <c r="T574">
        <v>4</v>
      </c>
      <c r="U574" s="5">
        <v>525.12</v>
      </c>
      <c r="V574" s="5">
        <v>1611.68</v>
      </c>
      <c r="W574">
        <v>3</v>
      </c>
      <c r="X574" t="s">
        <v>49</v>
      </c>
      <c r="Y574">
        <v>2024</v>
      </c>
      <c r="Z574" t="str">
        <f>TEXT(Table1[[#This Row],[Order Date]],"MMM")</f>
        <v>Apr</v>
      </c>
      <c r="AA574" s="5">
        <f>Table1[[#This Row],[Unit Price]]*Table1[[#This Row],[Quantity]]*(1-Table1[[#This Row],[Discount %]]/100)</f>
        <v>2363.04</v>
      </c>
      <c r="AB574" s="5">
        <f>Table1[[#This Row],[Sales]]-Table1[[#This Row],[Cost]]</f>
        <v>751.3599999999999</v>
      </c>
    </row>
    <row r="575" spans="1:28" x14ac:dyDescent="0.3">
      <c r="A575" t="s">
        <v>1631</v>
      </c>
      <c r="B575" s="1">
        <v>46021</v>
      </c>
      <c r="C575" t="s">
        <v>1632</v>
      </c>
      <c r="D575" t="s">
        <v>3355</v>
      </c>
      <c r="E575" s="1">
        <v>46026</v>
      </c>
      <c r="F575" t="s">
        <v>56</v>
      </c>
      <c r="G575" t="s">
        <v>54</v>
      </c>
      <c r="H575" t="s">
        <v>55</v>
      </c>
      <c r="I575" t="s">
        <v>2619</v>
      </c>
      <c r="J575" t="s">
        <v>2620</v>
      </c>
      <c r="K575" t="s">
        <v>52</v>
      </c>
      <c r="L575">
        <v>36</v>
      </c>
      <c r="M575">
        <v>4</v>
      </c>
      <c r="N575">
        <v>10</v>
      </c>
      <c r="O575" t="s">
        <v>1552</v>
      </c>
      <c r="P575" t="s">
        <v>44</v>
      </c>
      <c r="Q575" t="s">
        <v>70</v>
      </c>
      <c r="R575" t="s">
        <v>62</v>
      </c>
      <c r="S575" t="s">
        <v>57</v>
      </c>
      <c r="T575">
        <v>2</v>
      </c>
      <c r="U575" s="5">
        <v>969.52</v>
      </c>
      <c r="V575" s="5">
        <v>2845.41</v>
      </c>
      <c r="W575">
        <v>5</v>
      </c>
      <c r="X575" t="s">
        <v>94</v>
      </c>
      <c r="Y575">
        <v>2025</v>
      </c>
      <c r="Z575" t="str">
        <f>TEXT(Table1[[#This Row],[Order Date]],"MMM")</f>
        <v>Dec</v>
      </c>
      <c r="AA575" s="5">
        <f>Table1[[#This Row],[Unit Price]]*Table1[[#This Row],[Quantity]]*(1-Table1[[#This Row],[Discount %]]/100)</f>
        <v>3490.2719999999999</v>
      </c>
      <c r="AB575" s="5">
        <f>Table1[[#This Row],[Sales]]-Table1[[#This Row],[Cost]]</f>
        <v>644.86200000000008</v>
      </c>
    </row>
    <row r="576" spans="1:28" x14ac:dyDescent="0.3">
      <c r="A576" t="s">
        <v>1633</v>
      </c>
      <c r="B576" s="1">
        <v>45917</v>
      </c>
      <c r="C576" t="s">
        <v>1634</v>
      </c>
      <c r="D576" t="s">
        <v>3356</v>
      </c>
      <c r="E576" s="1">
        <v>45919</v>
      </c>
      <c r="F576" t="s">
        <v>56</v>
      </c>
      <c r="G576" t="s">
        <v>54</v>
      </c>
      <c r="H576" t="s">
        <v>55</v>
      </c>
      <c r="I576" t="s">
        <v>2668</v>
      </c>
      <c r="J576" t="s">
        <v>2669</v>
      </c>
      <c r="K576" t="s">
        <v>52</v>
      </c>
      <c r="L576">
        <v>61</v>
      </c>
      <c r="M576">
        <v>2</v>
      </c>
      <c r="N576">
        <v>20</v>
      </c>
      <c r="O576" t="s">
        <v>84</v>
      </c>
      <c r="P576" t="s">
        <v>33</v>
      </c>
      <c r="Q576" t="s">
        <v>70</v>
      </c>
      <c r="R576" t="s">
        <v>32</v>
      </c>
      <c r="S576" t="s">
        <v>57</v>
      </c>
      <c r="T576">
        <v>2</v>
      </c>
      <c r="U576" s="5">
        <v>564.74</v>
      </c>
      <c r="V576" s="5">
        <v>574.62</v>
      </c>
      <c r="W576">
        <v>2</v>
      </c>
      <c r="X576" t="s">
        <v>45</v>
      </c>
      <c r="Y576">
        <v>2025</v>
      </c>
      <c r="Z576" t="str">
        <f>TEXT(Table1[[#This Row],[Order Date]],"MMM")</f>
        <v>Sep</v>
      </c>
      <c r="AA576" s="5">
        <f>Table1[[#This Row],[Unit Price]]*Table1[[#This Row],[Quantity]]*(1-Table1[[#This Row],[Discount %]]/100)</f>
        <v>903.58400000000006</v>
      </c>
      <c r="AB576" s="5">
        <f>Table1[[#This Row],[Sales]]-Table1[[#This Row],[Cost]]</f>
        <v>328.96400000000006</v>
      </c>
    </row>
    <row r="577" spans="1:28" x14ac:dyDescent="0.3">
      <c r="A577" t="s">
        <v>1635</v>
      </c>
      <c r="B577" s="1">
        <v>45365</v>
      </c>
      <c r="C577" t="s">
        <v>1636</v>
      </c>
      <c r="D577" t="s">
        <v>3357</v>
      </c>
      <c r="E577" s="1">
        <v>45369</v>
      </c>
      <c r="F577" t="s">
        <v>122</v>
      </c>
      <c r="G577" t="s">
        <v>120</v>
      </c>
      <c r="H577" t="s">
        <v>121</v>
      </c>
      <c r="I577" t="s">
        <v>2648</v>
      </c>
      <c r="J577" t="s">
        <v>2649</v>
      </c>
      <c r="K577" t="s">
        <v>52</v>
      </c>
      <c r="L577">
        <v>61</v>
      </c>
      <c r="M577">
        <v>5</v>
      </c>
      <c r="N577">
        <v>0</v>
      </c>
      <c r="O577" t="s">
        <v>1637</v>
      </c>
      <c r="P577" t="s">
        <v>44</v>
      </c>
      <c r="Q577" t="s">
        <v>58</v>
      </c>
      <c r="R577" t="s">
        <v>71</v>
      </c>
      <c r="S577" t="s">
        <v>123</v>
      </c>
      <c r="T577">
        <v>5</v>
      </c>
      <c r="U577" s="5">
        <v>243.58</v>
      </c>
      <c r="V577" s="5">
        <v>615.91</v>
      </c>
      <c r="W577">
        <v>4</v>
      </c>
      <c r="X577" t="s">
        <v>34</v>
      </c>
      <c r="Y577">
        <v>2024</v>
      </c>
      <c r="Z577" t="str">
        <f>TEXT(Table1[[#This Row],[Order Date]],"MMM")</f>
        <v>Mar</v>
      </c>
      <c r="AA577" s="5">
        <f>Table1[[#This Row],[Unit Price]]*Table1[[#This Row],[Quantity]]*(1-Table1[[#This Row],[Discount %]]/100)</f>
        <v>1217.9000000000001</v>
      </c>
      <c r="AB577" s="5">
        <f>Table1[[#This Row],[Sales]]-Table1[[#This Row],[Cost]]</f>
        <v>601.99000000000012</v>
      </c>
    </row>
    <row r="578" spans="1:28" x14ac:dyDescent="0.3">
      <c r="A578" t="s">
        <v>1638</v>
      </c>
      <c r="B578" s="1">
        <v>45668</v>
      </c>
      <c r="C578" t="s">
        <v>1639</v>
      </c>
      <c r="D578" t="s">
        <v>3358</v>
      </c>
      <c r="E578" s="1">
        <v>45669</v>
      </c>
      <c r="F578" t="s">
        <v>56</v>
      </c>
      <c r="G578" t="s">
        <v>54</v>
      </c>
      <c r="H578" t="s">
        <v>55</v>
      </c>
      <c r="I578" t="s">
        <v>2619</v>
      </c>
      <c r="J578" t="s">
        <v>2620</v>
      </c>
      <c r="K578" t="s">
        <v>52</v>
      </c>
      <c r="L578">
        <v>54</v>
      </c>
      <c r="M578">
        <v>5</v>
      </c>
      <c r="N578">
        <v>15</v>
      </c>
      <c r="O578" t="s">
        <v>1618</v>
      </c>
      <c r="P578" t="s">
        <v>75</v>
      </c>
      <c r="Q578" t="s">
        <v>42</v>
      </c>
      <c r="R578" t="s">
        <v>62</v>
      </c>
      <c r="S578" t="s">
        <v>57</v>
      </c>
      <c r="T578">
        <v>5</v>
      </c>
      <c r="U578" s="5">
        <v>186.64</v>
      </c>
      <c r="V578" s="5">
        <v>536.35</v>
      </c>
      <c r="W578">
        <v>1</v>
      </c>
      <c r="X578" t="s">
        <v>34</v>
      </c>
      <c r="Y578">
        <v>2025</v>
      </c>
      <c r="Z578" t="str">
        <f>TEXT(Table1[[#This Row],[Order Date]],"MMM")</f>
        <v>Jan</v>
      </c>
      <c r="AA578" s="5">
        <f>Table1[[#This Row],[Unit Price]]*Table1[[#This Row],[Quantity]]*(1-Table1[[#This Row],[Discount %]]/100)</f>
        <v>793.21999999999991</v>
      </c>
      <c r="AB578" s="5">
        <f>Table1[[#This Row],[Sales]]-Table1[[#This Row],[Cost]]</f>
        <v>256.86999999999989</v>
      </c>
    </row>
    <row r="579" spans="1:28" x14ac:dyDescent="0.3">
      <c r="A579" t="s">
        <v>1640</v>
      </c>
      <c r="B579" s="1">
        <v>45842</v>
      </c>
      <c r="C579" t="s">
        <v>1641</v>
      </c>
      <c r="D579" t="s">
        <v>3359</v>
      </c>
      <c r="E579" s="1">
        <v>45847</v>
      </c>
      <c r="F579" t="s">
        <v>68</v>
      </c>
      <c r="G579" t="s">
        <v>66</v>
      </c>
      <c r="H579" t="s">
        <v>67</v>
      </c>
      <c r="I579" t="s">
        <v>2630</v>
      </c>
      <c r="J579" t="s">
        <v>2640</v>
      </c>
      <c r="K579" t="s">
        <v>25</v>
      </c>
      <c r="L579">
        <v>45</v>
      </c>
      <c r="M579">
        <v>1</v>
      </c>
      <c r="N579">
        <v>25</v>
      </c>
      <c r="O579" t="s">
        <v>1642</v>
      </c>
      <c r="P579" t="s">
        <v>75</v>
      </c>
      <c r="Q579" t="s">
        <v>117</v>
      </c>
      <c r="R579" t="s">
        <v>62</v>
      </c>
      <c r="S579" t="s">
        <v>69</v>
      </c>
      <c r="T579">
        <v>3</v>
      </c>
      <c r="U579" s="5">
        <v>789.3</v>
      </c>
      <c r="V579" s="5">
        <v>296.94</v>
      </c>
      <c r="W579">
        <v>5</v>
      </c>
      <c r="X579" t="s">
        <v>45</v>
      </c>
      <c r="Y579">
        <v>2025</v>
      </c>
      <c r="Z579" t="str">
        <f>TEXT(Table1[[#This Row],[Order Date]],"MMM")</f>
        <v>Jul</v>
      </c>
      <c r="AA579" s="5">
        <f>Table1[[#This Row],[Unit Price]]*Table1[[#This Row],[Quantity]]*(1-Table1[[#This Row],[Discount %]]/100)</f>
        <v>591.97499999999991</v>
      </c>
      <c r="AB579" s="5">
        <f>Table1[[#This Row],[Sales]]-Table1[[#This Row],[Cost]]</f>
        <v>295.03499999999991</v>
      </c>
    </row>
    <row r="580" spans="1:28" x14ac:dyDescent="0.3">
      <c r="A580" t="s">
        <v>1643</v>
      </c>
      <c r="B580" s="1">
        <v>45942</v>
      </c>
      <c r="C580" t="s">
        <v>1644</v>
      </c>
      <c r="D580" t="s">
        <v>3360</v>
      </c>
      <c r="E580" s="1">
        <v>45944</v>
      </c>
      <c r="F580" t="s">
        <v>68</v>
      </c>
      <c r="G580" t="s">
        <v>66</v>
      </c>
      <c r="H580" t="s">
        <v>67</v>
      </c>
      <c r="I580" t="s">
        <v>2630</v>
      </c>
      <c r="J580" t="s">
        <v>2640</v>
      </c>
      <c r="K580" t="s">
        <v>25</v>
      </c>
      <c r="L580">
        <v>38</v>
      </c>
      <c r="M580">
        <v>2</v>
      </c>
      <c r="N580">
        <v>20</v>
      </c>
      <c r="O580" t="s">
        <v>1645</v>
      </c>
      <c r="P580" t="s">
        <v>75</v>
      </c>
      <c r="Q580" t="s">
        <v>70</v>
      </c>
      <c r="R580" t="s">
        <v>32</v>
      </c>
      <c r="S580" t="s">
        <v>69</v>
      </c>
      <c r="T580">
        <v>3</v>
      </c>
      <c r="U580" s="5">
        <v>787.46</v>
      </c>
      <c r="V580" s="5">
        <v>821.56</v>
      </c>
      <c r="W580">
        <v>2</v>
      </c>
      <c r="X580" t="s">
        <v>94</v>
      </c>
      <c r="Y580">
        <v>2025</v>
      </c>
      <c r="Z580" t="str">
        <f>TEXT(Table1[[#This Row],[Order Date]],"MMM")</f>
        <v>Oct</v>
      </c>
      <c r="AA580" s="5">
        <f>Table1[[#This Row],[Unit Price]]*Table1[[#This Row],[Quantity]]*(1-Table1[[#This Row],[Discount %]]/100)</f>
        <v>1259.9360000000001</v>
      </c>
      <c r="AB580" s="5">
        <f>Table1[[#This Row],[Sales]]-Table1[[#This Row],[Cost]]</f>
        <v>438.3760000000002</v>
      </c>
    </row>
    <row r="581" spans="1:28" x14ac:dyDescent="0.3">
      <c r="A581" t="s">
        <v>1646</v>
      </c>
      <c r="B581" s="1">
        <v>45905</v>
      </c>
      <c r="C581" t="s">
        <v>1647</v>
      </c>
      <c r="D581" t="s">
        <v>3361</v>
      </c>
      <c r="E581" s="1">
        <v>45910</v>
      </c>
      <c r="F581" t="s">
        <v>122</v>
      </c>
      <c r="G581" t="s">
        <v>120</v>
      </c>
      <c r="H581" t="s">
        <v>121</v>
      </c>
      <c r="I581" t="s">
        <v>2648</v>
      </c>
      <c r="J581" t="s">
        <v>2684</v>
      </c>
      <c r="K581" t="s">
        <v>52</v>
      </c>
      <c r="L581">
        <v>38</v>
      </c>
      <c r="M581">
        <v>5</v>
      </c>
      <c r="N581">
        <v>0</v>
      </c>
      <c r="O581" t="s">
        <v>379</v>
      </c>
      <c r="P581" t="s">
        <v>44</v>
      </c>
      <c r="Q581" t="s">
        <v>70</v>
      </c>
      <c r="R581" t="s">
        <v>32</v>
      </c>
      <c r="S581" t="s">
        <v>123</v>
      </c>
      <c r="T581">
        <v>5</v>
      </c>
      <c r="U581" s="5">
        <v>778.07</v>
      </c>
      <c r="V581" s="5">
        <v>2763.08</v>
      </c>
      <c r="W581">
        <v>5</v>
      </c>
      <c r="X581" t="s">
        <v>45</v>
      </c>
      <c r="Y581">
        <v>2025</v>
      </c>
      <c r="Z581" t="str">
        <f>TEXT(Table1[[#This Row],[Order Date]],"MMM")</f>
        <v>Sep</v>
      </c>
      <c r="AA581" s="5">
        <f>Table1[[#This Row],[Unit Price]]*Table1[[#This Row],[Quantity]]*(1-Table1[[#This Row],[Discount %]]/100)</f>
        <v>3890.3500000000004</v>
      </c>
      <c r="AB581" s="5">
        <f>Table1[[#This Row],[Sales]]-Table1[[#This Row],[Cost]]</f>
        <v>1127.2700000000004</v>
      </c>
    </row>
    <row r="582" spans="1:28" x14ac:dyDescent="0.3">
      <c r="A582" t="s">
        <v>1648</v>
      </c>
      <c r="B582" s="1">
        <v>45577</v>
      </c>
      <c r="C582" t="s">
        <v>1649</v>
      </c>
      <c r="D582" t="s">
        <v>3362</v>
      </c>
      <c r="E582" s="1">
        <v>45583</v>
      </c>
      <c r="F582" t="s">
        <v>29</v>
      </c>
      <c r="G582" t="s">
        <v>27</v>
      </c>
      <c r="H582" t="s">
        <v>28</v>
      </c>
      <c r="I582" t="s">
        <v>2619</v>
      </c>
      <c r="J582" t="s">
        <v>2620</v>
      </c>
      <c r="K582" t="s">
        <v>52</v>
      </c>
      <c r="L582">
        <v>31</v>
      </c>
      <c r="M582">
        <v>3</v>
      </c>
      <c r="N582">
        <v>10</v>
      </c>
      <c r="O582" t="s">
        <v>255</v>
      </c>
      <c r="P582" t="s">
        <v>44</v>
      </c>
      <c r="Q582" t="s">
        <v>70</v>
      </c>
      <c r="R582" t="s">
        <v>62</v>
      </c>
      <c r="S582" t="s">
        <v>30</v>
      </c>
      <c r="T582">
        <v>1</v>
      </c>
      <c r="U582" s="5">
        <v>756.45</v>
      </c>
      <c r="V582" s="5">
        <v>1107.75</v>
      </c>
      <c r="W582">
        <v>6</v>
      </c>
      <c r="X582" t="s">
        <v>94</v>
      </c>
      <c r="Y582">
        <v>2024</v>
      </c>
      <c r="Z582" t="str">
        <f>TEXT(Table1[[#This Row],[Order Date]],"MMM")</f>
        <v>Oct</v>
      </c>
      <c r="AA582" s="5">
        <f>Table1[[#This Row],[Unit Price]]*Table1[[#This Row],[Quantity]]*(1-Table1[[#This Row],[Discount %]]/100)</f>
        <v>2042.4150000000004</v>
      </c>
      <c r="AB582" s="5">
        <f>Table1[[#This Row],[Sales]]-Table1[[#This Row],[Cost]]</f>
        <v>934.66500000000042</v>
      </c>
    </row>
    <row r="583" spans="1:28" x14ac:dyDescent="0.3">
      <c r="A583" t="s">
        <v>1650</v>
      </c>
      <c r="B583" s="1">
        <v>46162</v>
      </c>
      <c r="C583" t="s">
        <v>1651</v>
      </c>
      <c r="D583" t="s">
        <v>3363</v>
      </c>
      <c r="E583" s="1">
        <v>46163</v>
      </c>
      <c r="F583" t="s">
        <v>140</v>
      </c>
      <c r="G583" t="s">
        <v>38</v>
      </c>
      <c r="H583" t="s">
        <v>139</v>
      </c>
      <c r="I583" t="s">
        <v>2664</v>
      </c>
      <c r="J583" t="s">
        <v>2665</v>
      </c>
      <c r="K583" t="s">
        <v>52</v>
      </c>
      <c r="L583">
        <v>43</v>
      </c>
      <c r="M583">
        <v>2</v>
      </c>
      <c r="N583">
        <v>25</v>
      </c>
      <c r="O583" t="s">
        <v>969</v>
      </c>
      <c r="P583" t="s">
        <v>33</v>
      </c>
      <c r="Q583" t="s">
        <v>70</v>
      </c>
      <c r="R583" t="s">
        <v>62</v>
      </c>
      <c r="S583" t="s">
        <v>141</v>
      </c>
      <c r="T583">
        <v>3</v>
      </c>
      <c r="U583" s="5">
        <v>448.24</v>
      </c>
      <c r="V583" s="5">
        <v>446.96</v>
      </c>
      <c r="W583">
        <v>1</v>
      </c>
      <c r="X583" t="s">
        <v>49</v>
      </c>
      <c r="Y583">
        <v>2026</v>
      </c>
      <c r="Z583" t="str">
        <f>TEXT(Table1[[#This Row],[Order Date]],"MMM")</f>
        <v>May</v>
      </c>
      <c r="AA583" s="5">
        <f>Table1[[#This Row],[Unit Price]]*Table1[[#This Row],[Quantity]]*(1-Table1[[#This Row],[Discount %]]/100)</f>
        <v>672.36</v>
      </c>
      <c r="AB583" s="5">
        <f>Table1[[#This Row],[Sales]]-Table1[[#This Row],[Cost]]</f>
        <v>225.40000000000003</v>
      </c>
    </row>
    <row r="584" spans="1:28" x14ac:dyDescent="0.3">
      <c r="A584" t="s">
        <v>1652</v>
      </c>
      <c r="B584" s="1">
        <v>46026</v>
      </c>
      <c r="C584" t="s">
        <v>1653</v>
      </c>
      <c r="D584" t="s">
        <v>3364</v>
      </c>
      <c r="E584" s="1">
        <v>46030</v>
      </c>
      <c r="F584" t="s">
        <v>29</v>
      </c>
      <c r="G584" t="s">
        <v>27</v>
      </c>
      <c r="H584" t="s">
        <v>28</v>
      </c>
      <c r="I584" t="s">
        <v>2631</v>
      </c>
      <c r="J584" t="s">
        <v>2639</v>
      </c>
      <c r="K584" t="s">
        <v>52</v>
      </c>
      <c r="L584">
        <v>24</v>
      </c>
      <c r="M584">
        <v>2</v>
      </c>
      <c r="N584">
        <v>15</v>
      </c>
      <c r="O584" t="s">
        <v>1654</v>
      </c>
      <c r="P584" t="s">
        <v>44</v>
      </c>
      <c r="Q584" t="s">
        <v>42</v>
      </c>
      <c r="R584" t="s">
        <v>32</v>
      </c>
      <c r="S584" t="s">
        <v>30</v>
      </c>
      <c r="T584">
        <v>1</v>
      </c>
      <c r="U584" s="5">
        <v>833.32</v>
      </c>
      <c r="V584" s="5">
        <v>954.68</v>
      </c>
      <c r="W584">
        <v>4</v>
      </c>
      <c r="X584" t="s">
        <v>34</v>
      </c>
      <c r="Y584">
        <v>2026</v>
      </c>
      <c r="Z584" t="str">
        <f>TEXT(Table1[[#This Row],[Order Date]],"MMM")</f>
        <v>Jan</v>
      </c>
      <c r="AA584" s="5">
        <f>Table1[[#This Row],[Unit Price]]*Table1[[#This Row],[Quantity]]*(1-Table1[[#This Row],[Discount %]]/100)</f>
        <v>1416.644</v>
      </c>
      <c r="AB584" s="5">
        <f>Table1[[#This Row],[Sales]]-Table1[[#This Row],[Cost]]</f>
        <v>461.96400000000006</v>
      </c>
    </row>
    <row r="585" spans="1:28" x14ac:dyDescent="0.3">
      <c r="A585" t="s">
        <v>1655</v>
      </c>
      <c r="B585" s="1">
        <v>46189</v>
      </c>
      <c r="C585" t="s">
        <v>1656</v>
      </c>
      <c r="D585" t="s">
        <v>3365</v>
      </c>
      <c r="E585" s="1">
        <v>46190</v>
      </c>
      <c r="F585" t="s">
        <v>56</v>
      </c>
      <c r="G585" t="s">
        <v>54</v>
      </c>
      <c r="H585" t="s">
        <v>55</v>
      </c>
      <c r="I585" t="s">
        <v>2659</v>
      </c>
      <c r="J585" t="s">
        <v>2666</v>
      </c>
      <c r="K585" t="s">
        <v>25</v>
      </c>
      <c r="L585">
        <v>45</v>
      </c>
      <c r="M585">
        <v>3</v>
      </c>
      <c r="N585">
        <v>20</v>
      </c>
      <c r="O585" t="s">
        <v>264</v>
      </c>
      <c r="P585" t="s">
        <v>33</v>
      </c>
      <c r="Q585" t="s">
        <v>42</v>
      </c>
      <c r="R585" t="s">
        <v>32</v>
      </c>
      <c r="S585" t="s">
        <v>57</v>
      </c>
      <c r="T585">
        <v>3</v>
      </c>
      <c r="U585" s="5">
        <v>293.18</v>
      </c>
      <c r="V585" s="5">
        <v>490.96</v>
      </c>
      <c r="W585">
        <v>1</v>
      </c>
      <c r="X585" t="s">
        <v>49</v>
      </c>
      <c r="Y585">
        <v>2026</v>
      </c>
      <c r="Z585" t="str">
        <f>TEXT(Table1[[#This Row],[Order Date]],"MMM")</f>
        <v>Jun</v>
      </c>
      <c r="AA585" s="5">
        <f>Table1[[#This Row],[Unit Price]]*Table1[[#This Row],[Quantity]]*(1-Table1[[#This Row],[Discount %]]/100)</f>
        <v>703.63200000000006</v>
      </c>
      <c r="AB585" s="5">
        <f>Table1[[#This Row],[Sales]]-Table1[[#This Row],[Cost]]</f>
        <v>212.67200000000008</v>
      </c>
    </row>
    <row r="586" spans="1:28" x14ac:dyDescent="0.3">
      <c r="A586" t="s">
        <v>1657</v>
      </c>
      <c r="B586" s="1">
        <v>45480</v>
      </c>
      <c r="C586" t="s">
        <v>1658</v>
      </c>
      <c r="D586" t="s">
        <v>3366</v>
      </c>
      <c r="E586" s="1">
        <v>45483</v>
      </c>
      <c r="F586" t="s">
        <v>122</v>
      </c>
      <c r="G586" t="s">
        <v>120</v>
      </c>
      <c r="H586" t="s">
        <v>121</v>
      </c>
      <c r="I586" t="s">
        <v>2664</v>
      </c>
      <c r="J586" t="s">
        <v>2665</v>
      </c>
      <c r="K586" t="s">
        <v>25</v>
      </c>
      <c r="L586">
        <v>56</v>
      </c>
      <c r="M586">
        <v>3</v>
      </c>
      <c r="N586">
        <v>25</v>
      </c>
      <c r="O586" t="s">
        <v>1380</v>
      </c>
      <c r="P586" t="s">
        <v>44</v>
      </c>
      <c r="Q586" t="s">
        <v>42</v>
      </c>
      <c r="R586" t="s">
        <v>32</v>
      </c>
      <c r="S586" t="s">
        <v>123</v>
      </c>
      <c r="T586">
        <v>3</v>
      </c>
      <c r="U586" s="5">
        <v>630.54999999999995</v>
      </c>
      <c r="V586" s="5">
        <v>732.86</v>
      </c>
      <c r="W586">
        <v>3</v>
      </c>
      <c r="X586" t="s">
        <v>45</v>
      </c>
      <c r="Y586">
        <v>2024</v>
      </c>
      <c r="Z586" t="str">
        <f>TEXT(Table1[[#This Row],[Order Date]],"MMM")</f>
        <v>Jul</v>
      </c>
      <c r="AA586" s="5">
        <f>Table1[[#This Row],[Unit Price]]*Table1[[#This Row],[Quantity]]*(1-Table1[[#This Row],[Discount %]]/100)</f>
        <v>1418.7375</v>
      </c>
      <c r="AB586" s="5">
        <f>Table1[[#This Row],[Sales]]-Table1[[#This Row],[Cost]]</f>
        <v>685.87749999999994</v>
      </c>
    </row>
    <row r="587" spans="1:28" x14ac:dyDescent="0.3">
      <c r="A587" t="s">
        <v>1659</v>
      </c>
      <c r="B587" s="1">
        <v>45966</v>
      </c>
      <c r="C587" t="s">
        <v>1660</v>
      </c>
      <c r="D587" t="s">
        <v>3367</v>
      </c>
      <c r="E587" s="1">
        <v>45970</v>
      </c>
      <c r="F587" t="s">
        <v>128</v>
      </c>
      <c r="G587" t="s">
        <v>98</v>
      </c>
      <c r="H587" t="s">
        <v>127</v>
      </c>
      <c r="I587" t="s">
        <v>2619</v>
      </c>
      <c r="J587" t="s">
        <v>2692</v>
      </c>
      <c r="K587" t="s">
        <v>25</v>
      </c>
      <c r="L587">
        <v>49</v>
      </c>
      <c r="M587">
        <v>2</v>
      </c>
      <c r="N587">
        <v>5</v>
      </c>
      <c r="O587" t="s">
        <v>1661</v>
      </c>
      <c r="P587" t="s">
        <v>33</v>
      </c>
      <c r="Q587" t="s">
        <v>31</v>
      </c>
      <c r="R587" t="s">
        <v>32</v>
      </c>
      <c r="S587" t="s">
        <v>129</v>
      </c>
      <c r="T587">
        <v>2</v>
      </c>
      <c r="U587" s="5">
        <v>780.91</v>
      </c>
      <c r="V587" s="5">
        <v>816.54</v>
      </c>
      <c r="W587">
        <v>4</v>
      </c>
      <c r="X587" t="s">
        <v>94</v>
      </c>
      <c r="Y587">
        <v>2025</v>
      </c>
      <c r="Z587" t="str">
        <f>TEXT(Table1[[#This Row],[Order Date]],"MMM")</f>
        <v>Nov</v>
      </c>
      <c r="AA587" s="5">
        <f>Table1[[#This Row],[Unit Price]]*Table1[[#This Row],[Quantity]]*(1-Table1[[#This Row],[Discount %]]/100)</f>
        <v>1483.7289999999998</v>
      </c>
      <c r="AB587" s="5">
        <f>Table1[[#This Row],[Sales]]-Table1[[#This Row],[Cost]]</f>
        <v>667.18899999999985</v>
      </c>
    </row>
    <row r="588" spans="1:28" x14ac:dyDescent="0.3">
      <c r="A588" t="s">
        <v>1662</v>
      </c>
      <c r="B588" s="1">
        <v>45643</v>
      </c>
      <c r="C588" t="s">
        <v>373</v>
      </c>
      <c r="D588" t="s">
        <v>3368</v>
      </c>
      <c r="E588" s="1">
        <v>45646</v>
      </c>
      <c r="F588" t="s">
        <v>100</v>
      </c>
      <c r="G588" t="s">
        <v>98</v>
      </c>
      <c r="H588" t="s">
        <v>99</v>
      </c>
      <c r="I588" t="s">
        <v>2627</v>
      </c>
      <c r="J588" t="s">
        <v>2670</v>
      </c>
      <c r="K588" t="s">
        <v>52</v>
      </c>
      <c r="L588">
        <v>24</v>
      </c>
      <c r="M588">
        <v>2</v>
      </c>
      <c r="N588">
        <v>15</v>
      </c>
      <c r="O588" t="s">
        <v>1663</v>
      </c>
      <c r="P588" t="s">
        <v>75</v>
      </c>
      <c r="Q588" t="s">
        <v>70</v>
      </c>
      <c r="R588" t="s">
        <v>71</v>
      </c>
      <c r="S588" t="s">
        <v>101</v>
      </c>
      <c r="T588">
        <v>3</v>
      </c>
      <c r="U588" s="5">
        <v>841.7</v>
      </c>
      <c r="V588" s="5">
        <v>1002.74</v>
      </c>
      <c r="W588">
        <v>3</v>
      </c>
      <c r="X588" t="s">
        <v>94</v>
      </c>
      <c r="Y588">
        <v>2024</v>
      </c>
      <c r="Z588" t="str">
        <f>TEXT(Table1[[#This Row],[Order Date]],"MMM")</f>
        <v>Dec</v>
      </c>
      <c r="AA588" s="5">
        <f>Table1[[#This Row],[Unit Price]]*Table1[[#This Row],[Quantity]]*(1-Table1[[#This Row],[Discount %]]/100)</f>
        <v>1430.89</v>
      </c>
      <c r="AB588" s="5">
        <f>Table1[[#This Row],[Sales]]-Table1[[#This Row],[Cost]]</f>
        <v>428.15000000000009</v>
      </c>
    </row>
    <row r="589" spans="1:28" x14ac:dyDescent="0.3">
      <c r="A589" t="s">
        <v>1664</v>
      </c>
      <c r="B589" s="1">
        <v>45918</v>
      </c>
      <c r="C589" t="s">
        <v>1665</v>
      </c>
      <c r="D589" t="s">
        <v>3369</v>
      </c>
      <c r="E589" s="1">
        <v>45924</v>
      </c>
      <c r="F589" t="s">
        <v>29</v>
      </c>
      <c r="G589" t="s">
        <v>27</v>
      </c>
      <c r="H589" t="s">
        <v>28</v>
      </c>
      <c r="I589" t="s">
        <v>2625</v>
      </c>
      <c r="J589" t="s">
        <v>2693</v>
      </c>
      <c r="K589" t="s">
        <v>52</v>
      </c>
      <c r="L589">
        <v>41</v>
      </c>
      <c r="M589">
        <v>3</v>
      </c>
      <c r="N589">
        <v>0</v>
      </c>
      <c r="O589" t="s">
        <v>1666</v>
      </c>
      <c r="P589" t="s">
        <v>44</v>
      </c>
      <c r="Q589" t="s">
        <v>58</v>
      </c>
      <c r="R589" t="s">
        <v>71</v>
      </c>
      <c r="S589" t="s">
        <v>30</v>
      </c>
      <c r="T589">
        <v>1</v>
      </c>
      <c r="U589" s="5">
        <v>552.12</v>
      </c>
      <c r="V589" s="5">
        <v>1129.24</v>
      </c>
      <c r="W589">
        <v>6</v>
      </c>
      <c r="X589" t="s">
        <v>45</v>
      </c>
      <c r="Y589">
        <v>2025</v>
      </c>
      <c r="Z589" t="str">
        <f>TEXT(Table1[[#This Row],[Order Date]],"MMM")</f>
        <v>Sep</v>
      </c>
      <c r="AA589" s="5">
        <f>Table1[[#This Row],[Unit Price]]*Table1[[#This Row],[Quantity]]*(1-Table1[[#This Row],[Discount %]]/100)</f>
        <v>1656.3600000000001</v>
      </c>
      <c r="AB589" s="5">
        <f>Table1[[#This Row],[Sales]]-Table1[[#This Row],[Cost]]</f>
        <v>527.12000000000012</v>
      </c>
    </row>
    <row r="590" spans="1:28" x14ac:dyDescent="0.3">
      <c r="A590" t="s">
        <v>1667</v>
      </c>
      <c r="B590" s="1">
        <v>45476</v>
      </c>
      <c r="C590" t="s">
        <v>1668</v>
      </c>
      <c r="D590" t="s">
        <v>3370</v>
      </c>
      <c r="E590" s="1">
        <v>45483</v>
      </c>
      <c r="F590" t="s">
        <v>29</v>
      </c>
      <c r="G590" t="s">
        <v>27</v>
      </c>
      <c r="H590" t="s">
        <v>28</v>
      </c>
      <c r="I590" t="s">
        <v>2631</v>
      </c>
      <c r="J590" t="s">
        <v>2639</v>
      </c>
      <c r="K590" t="s">
        <v>52</v>
      </c>
      <c r="L590">
        <v>50</v>
      </c>
      <c r="M590">
        <v>5</v>
      </c>
      <c r="N590">
        <v>15</v>
      </c>
      <c r="O590" t="s">
        <v>1669</v>
      </c>
      <c r="P590" t="s">
        <v>33</v>
      </c>
      <c r="Q590" t="s">
        <v>42</v>
      </c>
      <c r="R590" t="s">
        <v>71</v>
      </c>
      <c r="S590" t="s">
        <v>30</v>
      </c>
      <c r="T590">
        <v>2</v>
      </c>
      <c r="U590" s="5">
        <v>43.12</v>
      </c>
      <c r="V590" s="5">
        <v>112.26</v>
      </c>
      <c r="W590">
        <v>7</v>
      </c>
      <c r="X590" t="s">
        <v>45</v>
      </c>
      <c r="Y590">
        <v>2024</v>
      </c>
      <c r="Z590" t="str">
        <f>TEXT(Table1[[#This Row],[Order Date]],"MMM")</f>
        <v>Jul</v>
      </c>
      <c r="AA590" s="5">
        <f>Table1[[#This Row],[Unit Price]]*Table1[[#This Row],[Quantity]]*(1-Table1[[#This Row],[Discount %]]/100)</f>
        <v>183.26</v>
      </c>
      <c r="AB590" s="5">
        <f>Table1[[#This Row],[Sales]]-Table1[[#This Row],[Cost]]</f>
        <v>70.999999999999986</v>
      </c>
    </row>
    <row r="591" spans="1:28" x14ac:dyDescent="0.3">
      <c r="A591" t="s">
        <v>1670</v>
      </c>
      <c r="B591" s="1">
        <v>45811</v>
      </c>
      <c r="C591" t="s">
        <v>1671</v>
      </c>
      <c r="D591" t="s">
        <v>3371</v>
      </c>
      <c r="E591" s="1">
        <v>45812</v>
      </c>
      <c r="F591" t="s">
        <v>68</v>
      </c>
      <c r="G591" t="s">
        <v>66</v>
      </c>
      <c r="H591" t="s">
        <v>67</v>
      </c>
      <c r="I591" t="s">
        <v>2668</v>
      </c>
      <c r="J591" t="s">
        <v>2686</v>
      </c>
      <c r="K591" t="s">
        <v>25</v>
      </c>
      <c r="L591">
        <v>59</v>
      </c>
      <c r="M591">
        <v>2</v>
      </c>
      <c r="N591">
        <v>30</v>
      </c>
      <c r="O591" t="s">
        <v>1672</v>
      </c>
      <c r="P591" t="s">
        <v>33</v>
      </c>
      <c r="Q591" t="s">
        <v>42</v>
      </c>
      <c r="R591" t="s">
        <v>32</v>
      </c>
      <c r="S591" t="s">
        <v>69</v>
      </c>
      <c r="T591">
        <v>5</v>
      </c>
      <c r="U591" s="5">
        <v>905.54</v>
      </c>
      <c r="V591" s="5">
        <v>1046.71</v>
      </c>
      <c r="W591">
        <v>1</v>
      </c>
      <c r="X591" t="s">
        <v>49</v>
      </c>
      <c r="Y591">
        <v>2025</v>
      </c>
      <c r="Z591" t="str">
        <f>TEXT(Table1[[#This Row],[Order Date]],"MMM")</f>
        <v>Jun</v>
      </c>
      <c r="AA591" s="5">
        <f>Table1[[#This Row],[Unit Price]]*Table1[[#This Row],[Quantity]]*(1-Table1[[#This Row],[Discount %]]/100)</f>
        <v>1267.7559999999999</v>
      </c>
      <c r="AB591" s="5">
        <f>Table1[[#This Row],[Sales]]-Table1[[#This Row],[Cost]]</f>
        <v>221.04599999999982</v>
      </c>
    </row>
    <row r="592" spans="1:28" x14ac:dyDescent="0.3">
      <c r="A592" t="s">
        <v>1673</v>
      </c>
      <c r="B592" s="1">
        <v>45515</v>
      </c>
      <c r="C592" t="s">
        <v>1674</v>
      </c>
      <c r="D592" t="s">
        <v>3372</v>
      </c>
      <c r="E592" s="1">
        <v>45519</v>
      </c>
      <c r="F592" t="s">
        <v>29</v>
      </c>
      <c r="G592" t="s">
        <v>27</v>
      </c>
      <c r="H592" t="s">
        <v>28</v>
      </c>
      <c r="I592" t="s">
        <v>2625</v>
      </c>
      <c r="J592" t="s">
        <v>2693</v>
      </c>
      <c r="K592" t="s">
        <v>25</v>
      </c>
      <c r="L592">
        <v>61</v>
      </c>
      <c r="M592">
        <v>3</v>
      </c>
      <c r="N592">
        <v>10</v>
      </c>
      <c r="O592" t="s">
        <v>1675</v>
      </c>
      <c r="P592" t="s">
        <v>33</v>
      </c>
      <c r="Q592" t="s">
        <v>70</v>
      </c>
      <c r="R592" t="s">
        <v>71</v>
      </c>
      <c r="S592" t="s">
        <v>30</v>
      </c>
      <c r="T592">
        <v>4</v>
      </c>
      <c r="U592" s="5">
        <v>117.31</v>
      </c>
      <c r="V592" s="5">
        <v>167.8</v>
      </c>
      <c r="W592">
        <v>4</v>
      </c>
      <c r="X592" t="s">
        <v>45</v>
      </c>
      <c r="Y592">
        <v>2024</v>
      </c>
      <c r="Z592" t="str">
        <f>TEXT(Table1[[#This Row],[Order Date]],"MMM")</f>
        <v>Aug</v>
      </c>
      <c r="AA592" s="5">
        <f>Table1[[#This Row],[Unit Price]]*Table1[[#This Row],[Quantity]]*(1-Table1[[#This Row],[Discount %]]/100)</f>
        <v>316.73700000000002</v>
      </c>
      <c r="AB592" s="5">
        <f>Table1[[#This Row],[Sales]]-Table1[[#This Row],[Cost]]</f>
        <v>148.93700000000001</v>
      </c>
    </row>
    <row r="593" spans="1:28" x14ac:dyDescent="0.3">
      <c r="A593" t="s">
        <v>1676</v>
      </c>
      <c r="B593" s="1">
        <v>45546</v>
      </c>
      <c r="C593" t="s">
        <v>1677</v>
      </c>
      <c r="D593" t="s">
        <v>3373</v>
      </c>
      <c r="E593" s="1">
        <v>45553</v>
      </c>
      <c r="F593" t="s">
        <v>115</v>
      </c>
      <c r="G593" t="s">
        <v>66</v>
      </c>
      <c r="H593" t="s">
        <v>114</v>
      </c>
      <c r="I593" t="s">
        <v>2621</v>
      </c>
      <c r="J593" t="s">
        <v>2699</v>
      </c>
      <c r="K593" t="s">
        <v>52</v>
      </c>
      <c r="L593">
        <v>20</v>
      </c>
      <c r="M593">
        <v>4</v>
      </c>
      <c r="N593">
        <v>25</v>
      </c>
      <c r="O593" t="s">
        <v>1029</v>
      </c>
      <c r="P593" t="s">
        <v>33</v>
      </c>
      <c r="Q593" t="s">
        <v>58</v>
      </c>
      <c r="R593" t="s">
        <v>62</v>
      </c>
      <c r="S593" t="s">
        <v>116</v>
      </c>
      <c r="T593">
        <v>3</v>
      </c>
      <c r="U593" s="5">
        <v>282.45999999999998</v>
      </c>
      <c r="V593" s="5">
        <v>504.34</v>
      </c>
      <c r="W593">
        <v>7</v>
      </c>
      <c r="X593" t="s">
        <v>45</v>
      </c>
      <c r="Y593">
        <v>2024</v>
      </c>
      <c r="Z593" t="str">
        <f>TEXT(Table1[[#This Row],[Order Date]],"MMM")</f>
        <v>Sep</v>
      </c>
      <c r="AA593" s="5">
        <f>Table1[[#This Row],[Unit Price]]*Table1[[#This Row],[Quantity]]*(1-Table1[[#This Row],[Discount %]]/100)</f>
        <v>847.37999999999988</v>
      </c>
      <c r="AB593" s="5">
        <f>Table1[[#This Row],[Sales]]-Table1[[#This Row],[Cost]]</f>
        <v>343.03999999999991</v>
      </c>
    </row>
    <row r="594" spans="1:28" x14ac:dyDescent="0.3">
      <c r="A594" t="s">
        <v>1678</v>
      </c>
      <c r="B594" s="1">
        <v>45689</v>
      </c>
      <c r="C594" t="s">
        <v>1679</v>
      </c>
      <c r="D594" t="s">
        <v>3374</v>
      </c>
      <c r="E594" s="1">
        <v>45692</v>
      </c>
      <c r="F594" t="s">
        <v>40</v>
      </c>
      <c r="G594" t="s">
        <v>38</v>
      </c>
      <c r="H594" t="s">
        <v>39</v>
      </c>
      <c r="I594" t="s">
        <v>2655</v>
      </c>
      <c r="J594" t="s">
        <v>2677</v>
      </c>
      <c r="K594" t="s">
        <v>25</v>
      </c>
      <c r="L594">
        <v>54</v>
      </c>
      <c r="M594">
        <v>4</v>
      </c>
      <c r="N594">
        <v>5</v>
      </c>
      <c r="O594" t="s">
        <v>1149</v>
      </c>
      <c r="P594" t="s">
        <v>75</v>
      </c>
      <c r="Q594" t="s">
        <v>70</v>
      </c>
      <c r="R594" t="s">
        <v>32</v>
      </c>
      <c r="S594" t="s">
        <v>41</v>
      </c>
      <c r="T594">
        <v>5</v>
      </c>
      <c r="U594" s="5">
        <v>482.27</v>
      </c>
      <c r="V594" s="5">
        <v>1139.19</v>
      </c>
      <c r="W594">
        <v>3</v>
      </c>
      <c r="X594" t="s">
        <v>34</v>
      </c>
      <c r="Y594">
        <v>2025</v>
      </c>
      <c r="Z594" t="str">
        <f>TEXT(Table1[[#This Row],[Order Date]],"MMM")</f>
        <v>Feb</v>
      </c>
      <c r="AA594" s="5">
        <f>Table1[[#This Row],[Unit Price]]*Table1[[#This Row],[Quantity]]*(1-Table1[[#This Row],[Discount %]]/100)</f>
        <v>1832.6259999999997</v>
      </c>
      <c r="AB594" s="5">
        <f>Table1[[#This Row],[Sales]]-Table1[[#This Row],[Cost]]</f>
        <v>693.43599999999969</v>
      </c>
    </row>
    <row r="595" spans="1:28" x14ac:dyDescent="0.3">
      <c r="A595" t="s">
        <v>1680</v>
      </c>
      <c r="B595" s="1">
        <v>46081</v>
      </c>
      <c r="C595" t="s">
        <v>1241</v>
      </c>
      <c r="D595" t="s">
        <v>3375</v>
      </c>
      <c r="E595" s="1">
        <v>46088</v>
      </c>
      <c r="F595" t="s">
        <v>122</v>
      </c>
      <c r="G595" t="s">
        <v>120</v>
      </c>
      <c r="H595" t="s">
        <v>121</v>
      </c>
      <c r="I595" t="s">
        <v>2648</v>
      </c>
      <c r="J595" t="s">
        <v>2649</v>
      </c>
      <c r="K595" t="s">
        <v>25</v>
      </c>
      <c r="L595">
        <v>41</v>
      </c>
      <c r="M595">
        <v>5</v>
      </c>
      <c r="N595">
        <v>10</v>
      </c>
      <c r="O595" t="s">
        <v>1681</v>
      </c>
      <c r="P595" t="s">
        <v>44</v>
      </c>
      <c r="Q595" t="s">
        <v>31</v>
      </c>
      <c r="R595" t="s">
        <v>32</v>
      </c>
      <c r="S595" t="s">
        <v>123</v>
      </c>
      <c r="T595">
        <v>5</v>
      </c>
      <c r="U595" s="5">
        <v>465.3</v>
      </c>
      <c r="V595" s="5">
        <v>1189.6600000000001</v>
      </c>
      <c r="W595">
        <v>7</v>
      </c>
      <c r="X595" t="s">
        <v>34</v>
      </c>
      <c r="Y595">
        <v>2026</v>
      </c>
      <c r="Z595" t="str">
        <f>TEXT(Table1[[#This Row],[Order Date]],"MMM")</f>
        <v>Feb</v>
      </c>
      <c r="AA595" s="5">
        <f>Table1[[#This Row],[Unit Price]]*Table1[[#This Row],[Quantity]]*(1-Table1[[#This Row],[Discount %]]/100)</f>
        <v>2093.85</v>
      </c>
      <c r="AB595" s="5">
        <f>Table1[[#This Row],[Sales]]-Table1[[#This Row],[Cost]]</f>
        <v>904.18999999999983</v>
      </c>
    </row>
    <row r="596" spans="1:28" x14ac:dyDescent="0.3">
      <c r="A596" t="s">
        <v>1682</v>
      </c>
      <c r="B596" s="1">
        <v>45983</v>
      </c>
      <c r="C596" t="s">
        <v>1683</v>
      </c>
      <c r="D596" t="s">
        <v>3376</v>
      </c>
      <c r="E596" s="1">
        <v>45985</v>
      </c>
      <c r="F596" t="s">
        <v>56</v>
      </c>
      <c r="G596" t="s">
        <v>54</v>
      </c>
      <c r="H596" t="s">
        <v>55</v>
      </c>
      <c r="I596" t="s">
        <v>2627</v>
      </c>
      <c r="J596" t="s">
        <v>2707</v>
      </c>
      <c r="K596" t="s">
        <v>52</v>
      </c>
      <c r="L596">
        <v>25</v>
      </c>
      <c r="M596">
        <v>5</v>
      </c>
      <c r="N596">
        <v>0</v>
      </c>
      <c r="O596" t="s">
        <v>1684</v>
      </c>
      <c r="P596" t="s">
        <v>75</v>
      </c>
      <c r="Q596" t="s">
        <v>70</v>
      </c>
      <c r="R596" t="s">
        <v>62</v>
      </c>
      <c r="S596" t="s">
        <v>57</v>
      </c>
      <c r="T596">
        <v>4</v>
      </c>
      <c r="U596" s="5">
        <v>136.41999999999999</v>
      </c>
      <c r="V596" s="5">
        <v>355.19</v>
      </c>
      <c r="W596">
        <v>2</v>
      </c>
      <c r="X596" t="s">
        <v>94</v>
      </c>
      <c r="Y596">
        <v>2025</v>
      </c>
      <c r="Z596" t="str">
        <f>TEXT(Table1[[#This Row],[Order Date]],"MMM")</f>
        <v>Nov</v>
      </c>
      <c r="AA596" s="5">
        <f>Table1[[#This Row],[Unit Price]]*Table1[[#This Row],[Quantity]]*(1-Table1[[#This Row],[Discount %]]/100)</f>
        <v>682.09999999999991</v>
      </c>
      <c r="AB596" s="5">
        <f>Table1[[#This Row],[Sales]]-Table1[[#This Row],[Cost]]</f>
        <v>326.90999999999991</v>
      </c>
    </row>
    <row r="597" spans="1:28" x14ac:dyDescent="0.3">
      <c r="A597" t="s">
        <v>1685</v>
      </c>
      <c r="B597" s="1">
        <v>46167</v>
      </c>
      <c r="C597" t="s">
        <v>1686</v>
      </c>
      <c r="D597" t="s">
        <v>3377</v>
      </c>
      <c r="E597" s="1">
        <v>46169</v>
      </c>
      <c r="F597" t="s">
        <v>122</v>
      </c>
      <c r="G597" t="s">
        <v>120</v>
      </c>
      <c r="H597" t="s">
        <v>121</v>
      </c>
      <c r="I597" t="s">
        <v>2650</v>
      </c>
      <c r="J597" t="s">
        <v>2680</v>
      </c>
      <c r="K597" t="s">
        <v>52</v>
      </c>
      <c r="L597">
        <v>30</v>
      </c>
      <c r="M597">
        <v>5</v>
      </c>
      <c r="N597">
        <v>0</v>
      </c>
      <c r="O597" t="s">
        <v>264</v>
      </c>
      <c r="P597" t="s">
        <v>75</v>
      </c>
      <c r="Q597" t="s">
        <v>42</v>
      </c>
      <c r="R597" t="s">
        <v>62</v>
      </c>
      <c r="S597" t="s">
        <v>123</v>
      </c>
      <c r="T597">
        <v>1</v>
      </c>
      <c r="U597" s="5">
        <v>553.69000000000005</v>
      </c>
      <c r="V597" s="5">
        <v>1531.13</v>
      </c>
      <c r="W597">
        <v>2</v>
      </c>
      <c r="X597" t="s">
        <v>49</v>
      </c>
      <c r="Y597">
        <v>2026</v>
      </c>
      <c r="Z597" t="str">
        <f>TEXT(Table1[[#This Row],[Order Date]],"MMM")</f>
        <v>May</v>
      </c>
      <c r="AA597" s="5">
        <f>Table1[[#This Row],[Unit Price]]*Table1[[#This Row],[Quantity]]*(1-Table1[[#This Row],[Discount %]]/100)</f>
        <v>2768.4500000000003</v>
      </c>
      <c r="AB597" s="5">
        <f>Table1[[#This Row],[Sales]]-Table1[[#This Row],[Cost]]</f>
        <v>1237.3200000000002</v>
      </c>
    </row>
    <row r="598" spans="1:28" x14ac:dyDescent="0.3">
      <c r="A598" t="s">
        <v>1687</v>
      </c>
      <c r="B598" s="1">
        <v>45981</v>
      </c>
      <c r="C598" t="s">
        <v>1688</v>
      </c>
      <c r="D598" t="s">
        <v>3378</v>
      </c>
      <c r="E598" s="1">
        <v>45982</v>
      </c>
      <c r="F598" t="s">
        <v>128</v>
      </c>
      <c r="G598" t="s">
        <v>98</v>
      </c>
      <c r="H598" t="s">
        <v>127</v>
      </c>
      <c r="I598" t="s">
        <v>2618</v>
      </c>
      <c r="J598" t="s">
        <v>2682</v>
      </c>
      <c r="K598" t="s">
        <v>25</v>
      </c>
      <c r="L598">
        <v>52</v>
      </c>
      <c r="M598">
        <v>3</v>
      </c>
      <c r="N598">
        <v>30</v>
      </c>
      <c r="O598" t="s">
        <v>1689</v>
      </c>
      <c r="P598" t="s">
        <v>75</v>
      </c>
      <c r="Q598" t="s">
        <v>117</v>
      </c>
      <c r="R598" t="s">
        <v>62</v>
      </c>
      <c r="S598" t="s">
        <v>129</v>
      </c>
      <c r="T598">
        <v>4</v>
      </c>
      <c r="U598" s="5">
        <v>751.63</v>
      </c>
      <c r="V598" s="5">
        <v>1143.01</v>
      </c>
      <c r="W598">
        <v>1</v>
      </c>
      <c r="X598" t="s">
        <v>94</v>
      </c>
      <c r="Y598">
        <v>2025</v>
      </c>
      <c r="Z598" t="str">
        <f>TEXT(Table1[[#This Row],[Order Date]],"MMM")</f>
        <v>Nov</v>
      </c>
      <c r="AA598" s="5">
        <f>Table1[[#This Row],[Unit Price]]*Table1[[#This Row],[Quantity]]*(1-Table1[[#This Row],[Discount %]]/100)</f>
        <v>1578.4229999999998</v>
      </c>
      <c r="AB598" s="5">
        <f>Table1[[#This Row],[Sales]]-Table1[[#This Row],[Cost]]</f>
        <v>435.41299999999978</v>
      </c>
    </row>
    <row r="599" spans="1:28" x14ac:dyDescent="0.3">
      <c r="A599" t="s">
        <v>1690</v>
      </c>
      <c r="B599" s="1">
        <v>45532</v>
      </c>
      <c r="C599" t="s">
        <v>1691</v>
      </c>
      <c r="D599" t="s">
        <v>3379</v>
      </c>
      <c r="E599" s="1">
        <v>45536</v>
      </c>
      <c r="F599" t="s">
        <v>128</v>
      </c>
      <c r="G599" t="s">
        <v>98</v>
      </c>
      <c r="H599" t="s">
        <v>127</v>
      </c>
      <c r="I599" t="s">
        <v>2648</v>
      </c>
      <c r="J599" t="s">
        <v>2649</v>
      </c>
      <c r="K599" t="s">
        <v>52</v>
      </c>
      <c r="L599">
        <v>32</v>
      </c>
      <c r="M599">
        <v>5</v>
      </c>
      <c r="N599">
        <v>5</v>
      </c>
      <c r="O599" t="s">
        <v>1692</v>
      </c>
      <c r="P599" t="s">
        <v>44</v>
      </c>
      <c r="Q599" t="s">
        <v>31</v>
      </c>
      <c r="R599" t="s">
        <v>43</v>
      </c>
      <c r="S599" t="s">
        <v>129</v>
      </c>
      <c r="T599">
        <v>2</v>
      </c>
      <c r="U599" s="5">
        <v>967.42</v>
      </c>
      <c r="V599" s="5">
        <v>3597.23</v>
      </c>
      <c r="W599">
        <v>4</v>
      </c>
      <c r="X599" t="s">
        <v>45</v>
      </c>
      <c r="Y599">
        <v>2024</v>
      </c>
      <c r="Z599" t="str">
        <f>TEXT(Table1[[#This Row],[Order Date]],"MMM")</f>
        <v>Aug</v>
      </c>
      <c r="AA599" s="5">
        <f>Table1[[#This Row],[Unit Price]]*Table1[[#This Row],[Quantity]]*(1-Table1[[#This Row],[Discount %]]/100)</f>
        <v>4595.244999999999</v>
      </c>
      <c r="AB599" s="5">
        <f>Table1[[#This Row],[Sales]]-Table1[[#This Row],[Cost]]</f>
        <v>998.01499999999896</v>
      </c>
    </row>
    <row r="600" spans="1:28" x14ac:dyDescent="0.3">
      <c r="A600" t="s">
        <v>1693</v>
      </c>
      <c r="B600" s="1">
        <v>45527</v>
      </c>
      <c r="C600" t="s">
        <v>1694</v>
      </c>
      <c r="D600" t="s">
        <v>3380</v>
      </c>
      <c r="E600" s="1">
        <v>45531</v>
      </c>
      <c r="F600" t="s">
        <v>115</v>
      </c>
      <c r="G600" t="s">
        <v>66</v>
      </c>
      <c r="H600" t="s">
        <v>114</v>
      </c>
      <c r="I600" t="s">
        <v>2625</v>
      </c>
      <c r="J600" t="s">
        <v>2685</v>
      </c>
      <c r="K600" t="s">
        <v>52</v>
      </c>
      <c r="L600">
        <v>47</v>
      </c>
      <c r="M600">
        <v>3</v>
      </c>
      <c r="N600">
        <v>20</v>
      </c>
      <c r="O600" t="s">
        <v>1695</v>
      </c>
      <c r="P600" t="s">
        <v>33</v>
      </c>
      <c r="Q600" t="s">
        <v>117</v>
      </c>
      <c r="R600" t="s">
        <v>62</v>
      </c>
      <c r="S600" t="s">
        <v>116</v>
      </c>
      <c r="T600">
        <v>2</v>
      </c>
      <c r="U600" s="5">
        <v>104.43</v>
      </c>
      <c r="V600" s="5">
        <v>132.74</v>
      </c>
      <c r="W600">
        <v>4</v>
      </c>
      <c r="X600" t="s">
        <v>45</v>
      </c>
      <c r="Y600">
        <v>2024</v>
      </c>
      <c r="Z600" t="str">
        <f>TEXT(Table1[[#This Row],[Order Date]],"MMM")</f>
        <v>Aug</v>
      </c>
      <c r="AA600" s="5">
        <f>Table1[[#This Row],[Unit Price]]*Table1[[#This Row],[Quantity]]*(1-Table1[[#This Row],[Discount %]]/100)</f>
        <v>250.63200000000003</v>
      </c>
      <c r="AB600" s="5">
        <f>Table1[[#This Row],[Sales]]-Table1[[#This Row],[Cost]]</f>
        <v>117.89200000000002</v>
      </c>
    </row>
    <row r="601" spans="1:28" x14ac:dyDescent="0.3">
      <c r="A601" t="s">
        <v>1696</v>
      </c>
      <c r="B601" s="1">
        <v>45720</v>
      </c>
      <c r="C601" t="s">
        <v>1697</v>
      </c>
      <c r="D601" t="s">
        <v>3381</v>
      </c>
      <c r="E601" s="1">
        <v>45725</v>
      </c>
      <c r="F601" t="s">
        <v>40</v>
      </c>
      <c r="G601" t="s">
        <v>38</v>
      </c>
      <c r="H601" t="s">
        <v>39</v>
      </c>
      <c r="I601" t="s">
        <v>2650</v>
      </c>
      <c r="J601" t="s">
        <v>2651</v>
      </c>
      <c r="K601" t="s">
        <v>25</v>
      </c>
      <c r="L601">
        <v>33</v>
      </c>
      <c r="M601">
        <v>3</v>
      </c>
      <c r="N601">
        <v>10</v>
      </c>
      <c r="O601" t="s">
        <v>637</v>
      </c>
      <c r="P601" t="s">
        <v>75</v>
      </c>
      <c r="Q601" t="s">
        <v>70</v>
      </c>
      <c r="R601" t="s">
        <v>62</v>
      </c>
      <c r="S601" t="s">
        <v>41</v>
      </c>
      <c r="T601">
        <v>1</v>
      </c>
      <c r="U601" s="5">
        <v>423.84</v>
      </c>
      <c r="V601" s="5">
        <v>573.54</v>
      </c>
      <c r="W601">
        <v>5</v>
      </c>
      <c r="X601" t="s">
        <v>34</v>
      </c>
      <c r="Y601">
        <v>2025</v>
      </c>
      <c r="Z601" t="str">
        <f>TEXT(Table1[[#This Row],[Order Date]],"MMM")</f>
        <v>Mar</v>
      </c>
      <c r="AA601" s="5">
        <f>Table1[[#This Row],[Unit Price]]*Table1[[#This Row],[Quantity]]*(1-Table1[[#This Row],[Discount %]]/100)</f>
        <v>1144.3679999999999</v>
      </c>
      <c r="AB601" s="5">
        <f>Table1[[#This Row],[Sales]]-Table1[[#This Row],[Cost]]</f>
        <v>570.82799999999997</v>
      </c>
    </row>
    <row r="602" spans="1:28" x14ac:dyDescent="0.3">
      <c r="A602" t="s">
        <v>1698</v>
      </c>
      <c r="B602" s="1">
        <v>45866</v>
      </c>
      <c r="C602" t="s">
        <v>1699</v>
      </c>
      <c r="D602" t="s">
        <v>3382</v>
      </c>
      <c r="E602" s="1">
        <v>45869</v>
      </c>
      <c r="F602" t="s">
        <v>29</v>
      </c>
      <c r="G602" t="s">
        <v>27</v>
      </c>
      <c r="H602" t="s">
        <v>28</v>
      </c>
      <c r="I602" t="s">
        <v>2650</v>
      </c>
      <c r="J602" t="s">
        <v>2698</v>
      </c>
      <c r="K602" t="s">
        <v>52</v>
      </c>
      <c r="L602">
        <v>61</v>
      </c>
      <c r="M602">
        <v>3</v>
      </c>
      <c r="N602">
        <v>25</v>
      </c>
      <c r="O602" t="s">
        <v>1700</v>
      </c>
      <c r="P602" t="s">
        <v>33</v>
      </c>
      <c r="Q602" t="s">
        <v>42</v>
      </c>
      <c r="R602" t="s">
        <v>71</v>
      </c>
      <c r="S602" t="s">
        <v>30</v>
      </c>
      <c r="T602">
        <v>1</v>
      </c>
      <c r="U602" s="5">
        <v>243.71</v>
      </c>
      <c r="V602" s="5">
        <v>317.32</v>
      </c>
      <c r="W602">
        <v>3</v>
      </c>
      <c r="X602" t="s">
        <v>45</v>
      </c>
      <c r="Y602">
        <v>2025</v>
      </c>
      <c r="Z602" t="str">
        <f>TEXT(Table1[[#This Row],[Order Date]],"MMM")</f>
        <v>Jul</v>
      </c>
      <c r="AA602" s="5">
        <f>Table1[[#This Row],[Unit Price]]*Table1[[#This Row],[Quantity]]*(1-Table1[[#This Row],[Discount %]]/100)</f>
        <v>548.34749999999997</v>
      </c>
      <c r="AB602" s="5">
        <f>Table1[[#This Row],[Sales]]-Table1[[#This Row],[Cost]]</f>
        <v>231.02749999999997</v>
      </c>
    </row>
    <row r="603" spans="1:28" x14ac:dyDescent="0.3">
      <c r="A603" t="s">
        <v>1701</v>
      </c>
      <c r="B603" s="1">
        <v>45539</v>
      </c>
      <c r="C603" t="s">
        <v>1702</v>
      </c>
      <c r="D603" t="s">
        <v>3383</v>
      </c>
      <c r="E603" s="1">
        <v>45546</v>
      </c>
      <c r="F603" t="s">
        <v>68</v>
      </c>
      <c r="G603" t="s">
        <v>66</v>
      </c>
      <c r="H603" t="s">
        <v>67</v>
      </c>
      <c r="I603" t="s">
        <v>2625</v>
      </c>
      <c r="J603" t="s">
        <v>2626</v>
      </c>
      <c r="K603" t="s">
        <v>52</v>
      </c>
      <c r="L603">
        <v>56</v>
      </c>
      <c r="M603">
        <v>1</v>
      </c>
      <c r="N603">
        <v>20</v>
      </c>
      <c r="O603" t="s">
        <v>1703</v>
      </c>
      <c r="P603" t="s">
        <v>44</v>
      </c>
      <c r="Q603" t="s">
        <v>70</v>
      </c>
      <c r="R603" t="s">
        <v>62</v>
      </c>
      <c r="S603" t="s">
        <v>69</v>
      </c>
      <c r="T603">
        <v>2</v>
      </c>
      <c r="U603" s="5">
        <v>689.69</v>
      </c>
      <c r="V603" s="5">
        <v>377.13</v>
      </c>
      <c r="W603">
        <v>7</v>
      </c>
      <c r="X603" t="s">
        <v>45</v>
      </c>
      <c r="Y603">
        <v>2024</v>
      </c>
      <c r="Z603" t="str">
        <f>TEXT(Table1[[#This Row],[Order Date]],"MMM")</f>
        <v>Sep</v>
      </c>
      <c r="AA603" s="5">
        <f>Table1[[#This Row],[Unit Price]]*Table1[[#This Row],[Quantity]]*(1-Table1[[#This Row],[Discount %]]/100)</f>
        <v>551.75200000000007</v>
      </c>
      <c r="AB603" s="5">
        <f>Table1[[#This Row],[Sales]]-Table1[[#This Row],[Cost]]</f>
        <v>174.62200000000007</v>
      </c>
    </row>
    <row r="604" spans="1:28" x14ac:dyDescent="0.3">
      <c r="A604" t="s">
        <v>1704</v>
      </c>
      <c r="B604" s="1">
        <v>46112</v>
      </c>
      <c r="C604" t="s">
        <v>1705</v>
      </c>
      <c r="D604" t="s">
        <v>3384</v>
      </c>
      <c r="E604" s="1">
        <v>46114</v>
      </c>
      <c r="F604" t="s">
        <v>68</v>
      </c>
      <c r="G604" t="s">
        <v>66</v>
      </c>
      <c r="H604" t="s">
        <v>67</v>
      </c>
      <c r="I604" t="s">
        <v>2630</v>
      </c>
      <c r="J604" t="s">
        <v>2640</v>
      </c>
      <c r="K604" t="s">
        <v>52</v>
      </c>
      <c r="L604">
        <v>51</v>
      </c>
      <c r="M604">
        <v>2</v>
      </c>
      <c r="N604">
        <v>15</v>
      </c>
      <c r="O604" t="s">
        <v>276</v>
      </c>
      <c r="P604" t="s">
        <v>75</v>
      </c>
      <c r="Q604" t="s">
        <v>31</v>
      </c>
      <c r="R604" t="s">
        <v>71</v>
      </c>
      <c r="S604" t="s">
        <v>69</v>
      </c>
      <c r="T604">
        <v>2</v>
      </c>
      <c r="U604" s="5">
        <v>69.290000000000006</v>
      </c>
      <c r="V604" s="5">
        <v>60.16</v>
      </c>
      <c r="W604">
        <v>2</v>
      </c>
      <c r="X604" t="s">
        <v>34</v>
      </c>
      <c r="Y604">
        <v>2026</v>
      </c>
      <c r="Z604" t="str">
        <f>TEXT(Table1[[#This Row],[Order Date]],"MMM")</f>
        <v>Mar</v>
      </c>
      <c r="AA604" s="5">
        <f>Table1[[#This Row],[Unit Price]]*Table1[[#This Row],[Quantity]]*(1-Table1[[#This Row],[Discount %]]/100)</f>
        <v>117.79300000000001</v>
      </c>
      <c r="AB604" s="5">
        <f>Table1[[#This Row],[Sales]]-Table1[[#This Row],[Cost]]</f>
        <v>57.63300000000001</v>
      </c>
    </row>
    <row r="605" spans="1:28" x14ac:dyDescent="0.3">
      <c r="A605" t="s">
        <v>1706</v>
      </c>
      <c r="B605" s="1">
        <v>45772</v>
      </c>
      <c r="C605" t="s">
        <v>1707</v>
      </c>
      <c r="D605" t="s">
        <v>3385</v>
      </c>
      <c r="E605" s="1">
        <v>45773</v>
      </c>
      <c r="F605" t="s">
        <v>68</v>
      </c>
      <c r="G605" t="s">
        <v>66</v>
      </c>
      <c r="H605" t="s">
        <v>67</v>
      </c>
      <c r="I605" t="s">
        <v>2631</v>
      </c>
      <c r="J605" t="s">
        <v>2716</v>
      </c>
      <c r="K605" t="s">
        <v>25</v>
      </c>
      <c r="L605">
        <v>62</v>
      </c>
      <c r="M605">
        <v>1</v>
      </c>
      <c r="N605">
        <v>15</v>
      </c>
      <c r="O605" t="s">
        <v>350</v>
      </c>
      <c r="P605" t="s">
        <v>33</v>
      </c>
      <c r="Q605" t="s">
        <v>70</v>
      </c>
      <c r="R605" t="s">
        <v>62</v>
      </c>
      <c r="S605" t="s">
        <v>69</v>
      </c>
      <c r="T605">
        <v>5</v>
      </c>
      <c r="U605" s="5">
        <v>596.9</v>
      </c>
      <c r="V605" s="5">
        <v>411.16</v>
      </c>
      <c r="W605">
        <v>1</v>
      </c>
      <c r="X605" t="s">
        <v>49</v>
      </c>
      <c r="Y605">
        <v>2025</v>
      </c>
      <c r="Z605" t="str">
        <f>TEXT(Table1[[#This Row],[Order Date]],"MMM")</f>
        <v>Apr</v>
      </c>
      <c r="AA605" s="5">
        <f>Table1[[#This Row],[Unit Price]]*Table1[[#This Row],[Quantity]]*(1-Table1[[#This Row],[Discount %]]/100)</f>
        <v>507.36499999999995</v>
      </c>
      <c r="AB605" s="5">
        <f>Table1[[#This Row],[Sales]]-Table1[[#This Row],[Cost]]</f>
        <v>96.204999999999927</v>
      </c>
    </row>
    <row r="606" spans="1:28" x14ac:dyDescent="0.3">
      <c r="A606" t="s">
        <v>1708</v>
      </c>
      <c r="B606" s="1">
        <v>46109</v>
      </c>
      <c r="C606" t="s">
        <v>1709</v>
      </c>
      <c r="D606" t="s">
        <v>3386</v>
      </c>
      <c r="E606" s="1">
        <v>46115</v>
      </c>
      <c r="F606" t="s">
        <v>68</v>
      </c>
      <c r="G606" t="s">
        <v>66</v>
      </c>
      <c r="H606" t="s">
        <v>67</v>
      </c>
      <c r="I606" t="s">
        <v>2650</v>
      </c>
      <c r="J606" t="s">
        <v>2651</v>
      </c>
      <c r="K606" t="s">
        <v>25</v>
      </c>
      <c r="L606">
        <v>26</v>
      </c>
      <c r="M606">
        <v>1</v>
      </c>
      <c r="N606">
        <v>10</v>
      </c>
      <c r="O606" t="s">
        <v>1600</v>
      </c>
      <c r="P606" t="s">
        <v>33</v>
      </c>
      <c r="Q606" t="s">
        <v>117</v>
      </c>
      <c r="R606" t="s">
        <v>71</v>
      </c>
      <c r="S606" t="s">
        <v>69</v>
      </c>
      <c r="T606">
        <v>2</v>
      </c>
      <c r="U606" s="5">
        <v>150.33000000000001</v>
      </c>
      <c r="V606" s="5">
        <v>88.06</v>
      </c>
      <c r="W606">
        <v>6</v>
      </c>
      <c r="X606" t="s">
        <v>34</v>
      </c>
      <c r="Y606">
        <v>2026</v>
      </c>
      <c r="Z606" t="str">
        <f>TEXT(Table1[[#This Row],[Order Date]],"MMM")</f>
        <v>Mar</v>
      </c>
      <c r="AA606" s="5">
        <f>Table1[[#This Row],[Unit Price]]*Table1[[#This Row],[Quantity]]*(1-Table1[[#This Row],[Discount %]]/100)</f>
        <v>135.29700000000003</v>
      </c>
      <c r="AB606" s="5">
        <f>Table1[[#This Row],[Sales]]-Table1[[#This Row],[Cost]]</f>
        <v>47.237000000000023</v>
      </c>
    </row>
    <row r="607" spans="1:28" x14ac:dyDescent="0.3">
      <c r="A607" t="s">
        <v>1710</v>
      </c>
      <c r="B607" s="1">
        <v>46000</v>
      </c>
      <c r="C607" t="s">
        <v>1711</v>
      </c>
      <c r="D607" t="s">
        <v>3387</v>
      </c>
      <c r="E607" s="1">
        <v>46003</v>
      </c>
      <c r="F607" t="s">
        <v>140</v>
      </c>
      <c r="G607" t="s">
        <v>38</v>
      </c>
      <c r="H607" t="s">
        <v>139</v>
      </c>
      <c r="I607" t="s">
        <v>2630</v>
      </c>
      <c r="J607" t="s">
        <v>2646</v>
      </c>
      <c r="K607" t="s">
        <v>25</v>
      </c>
      <c r="L607">
        <v>39</v>
      </c>
      <c r="M607">
        <v>4</v>
      </c>
      <c r="N607">
        <v>15</v>
      </c>
      <c r="O607" t="s">
        <v>1712</v>
      </c>
      <c r="P607" t="s">
        <v>75</v>
      </c>
      <c r="Q607" t="s">
        <v>117</v>
      </c>
      <c r="R607" t="s">
        <v>43</v>
      </c>
      <c r="S607" t="s">
        <v>141</v>
      </c>
      <c r="T607">
        <v>2</v>
      </c>
      <c r="U607" s="5">
        <v>300.99</v>
      </c>
      <c r="V607" s="5">
        <v>741.26</v>
      </c>
      <c r="W607">
        <v>3</v>
      </c>
      <c r="X607" t="s">
        <v>94</v>
      </c>
      <c r="Y607">
        <v>2025</v>
      </c>
      <c r="Z607" t="str">
        <f>TEXT(Table1[[#This Row],[Order Date]],"MMM")</f>
        <v>Dec</v>
      </c>
      <c r="AA607" s="5">
        <f>Table1[[#This Row],[Unit Price]]*Table1[[#This Row],[Quantity]]*(1-Table1[[#This Row],[Discount %]]/100)</f>
        <v>1023.366</v>
      </c>
      <c r="AB607" s="5">
        <f>Table1[[#This Row],[Sales]]-Table1[[#This Row],[Cost]]</f>
        <v>282.10599999999999</v>
      </c>
    </row>
    <row r="608" spans="1:28" x14ac:dyDescent="0.3">
      <c r="A608" t="s">
        <v>1713</v>
      </c>
      <c r="B608" s="1">
        <v>45397</v>
      </c>
      <c r="C608" t="s">
        <v>1714</v>
      </c>
      <c r="D608" t="s">
        <v>3388</v>
      </c>
      <c r="E608" s="1">
        <v>45400</v>
      </c>
      <c r="F608" t="s">
        <v>56</v>
      </c>
      <c r="G608" t="s">
        <v>54</v>
      </c>
      <c r="H608" t="s">
        <v>55</v>
      </c>
      <c r="I608" t="s">
        <v>2621</v>
      </c>
      <c r="J608" t="s">
        <v>2647</v>
      </c>
      <c r="K608" t="s">
        <v>52</v>
      </c>
      <c r="L608">
        <v>32</v>
      </c>
      <c r="M608">
        <v>4</v>
      </c>
      <c r="N608">
        <v>5</v>
      </c>
      <c r="O608" t="s">
        <v>1715</v>
      </c>
      <c r="P608" t="s">
        <v>33</v>
      </c>
      <c r="Q608" t="s">
        <v>42</v>
      </c>
      <c r="R608" t="s">
        <v>71</v>
      </c>
      <c r="S608" t="s">
        <v>57</v>
      </c>
      <c r="T608">
        <v>3</v>
      </c>
      <c r="U608" s="5">
        <v>568.14</v>
      </c>
      <c r="V608" s="5">
        <v>1136.75</v>
      </c>
      <c r="W608">
        <v>3</v>
      </c>
      <c r="X608" t="s">
        <v>49</v>
      </c>
      <c r="Y608">
        <v>2024</v>
      </c>
      <c r="Z608" t="str">
        <f>TEXT(Table1[[#This Row],[Order Date]],"MMM")</f>
        <v>Apr</v>
      </c>
      <c r="AA608" s="5">
        <f>Table1[[#This Row],[Unit Price]]*Table1[[#This Row],[Quantity]]*(1-Table1[[#This Row],[Discount %]]/100)</f>
        <v>2158.9319999999998</v>
      </c>
      <c r="AB608" s="5">
        <f>Table1[[#This Row],[Sales]]-Table1[[#This Row],[Cost]]</f>
        <v>1022.1819999999998</v>
      </c>
    </row>
    <row r="609" spans="1:28" x14ac:dyDescent="0.3">
      <c r="A609" t="s">
        <v>1716</v>
      </c>
      <c r="B609" s="1">
        <v>45850</v>
      </c>
      <c r="C609" t="s">
        <v>1717</v>
      </c>
      <c r="D609" t="s">
        <v>3389</v>
      </c>
      <c r="E609" s="1">
        <v>45854</v>
      </c>
      <c r="F609" t="s">
        <v>40</v>
      </c>
      <c r="G609" t="s">
        <v>38</v>
      </c>
      <c r="H609" t="s">
        <v>39</v>
      </c>
      <c r="I609" t="s">
        <v>2629</v>
      </c>
      <c r="J609" t="s">
        <v>2632</v>
      </c>
      <c r="K609" t="s">
        <v>25</v>
      </c>
      <c r="L609">
        <v>33</v>
      </c>
      <c r="M609">
        <v>2</v>
      </c>
      <c r="N609">
        <v>5</v>
      </c>
      <c r="O609" t="s">
        <v>204</v>
      </c>
      <c r="P609" t="s">
        <v>75</v>
      </c>
      <c r="Q609" t="s">
        <v>58</v>
      </c>
      <c r="R609" t="s">
        <v>43</v>
      </c>
      <c r="S609" t="s">
        <v>41</v>
      </c>
      <c r="T609">
        <v>3</v>
      </c>
      <c r="U609" s="5">
        <v>682.29</v>
      </c>
      <c r="V609" s="5">
        <v>980.23</v>
      </c>
      <c r="W609">
        <v>4</v>
      </c>
      <c r="X609" t="s">
        <v>45</v>
      </c>
      <c r="Y609">
        <v>2025</v>
      </c>
      <c r="Z609" t="str">
        <f>TEXT(Table1[[#This Row],[Order Date]],"MMM")</f>
        <v>Jul</v>
      </c>
      <c r="AA609" s="5">
        <f>Table1[[#This Row],[Unit Price]]*Table1[[#This Row],[Quantity]]*(1-Table1[[#This Row],[Discount %]]/100)</f>
        <v>1296.3509999999999</v>
      </c>
      <c r="AB609" s="5">
        <f>Table1[[#This Row],[Sales]]-Table1[[#This Row],[Cost]]</f>
        <v>316.12099999999987</v>
      </c>
    </row>
    <row r="610" spans="1:28" x14ac:dyDescent="0.3">
      <c r="A610" t="s">
        <v>1718</v>
      </c>
      <c r="B610" s="1">
        <v>45332</v>
      </c>
      <c r="C610" t="s">
        <v>1719</v>
      </c>
      <c r="D610" t="s">
        <v>3390</v>
      </c>
      <c r="E610" s="1">
        <v>45336</v>
      </c>
      <c r="F610" t="s">
        <v>128</v>
      </c>
      <c r="G610" t="s">
        <v>98</v>
      </c>
      <c r="H610" t="s">
        <v>127</v>
      </c>
      <c r="I610" t="s">
        <v>2618</v>
      </c>
      <c r="J610" t="s">
        <v>2682</v>
      </c>
      <c r="K610" t="s">
        <v>52</v>
      </c>
      <c r="L610">
        <v>23</v>
      </c>
      <c r="M610">
        <v>3</v>
      </c>
      <c r="N610">
        <v>20</v>
      </c>
      <c r="O610" t="s">
        <v>1720</v>
      </c>
      <c r="P610" t="s">
        <v>44</v>
      </c>
      <c r="Q610" t="s">
        <v>31</v>
      </c>
      <c r="R610" t="s">
        <v>71</v>
      </c>
      <c r="S610" t="s">
        <v>129</v>
      </c>
      <c r="T610">
        <v>4</v>
      </c>
      <c r="U610" s="5">
        <v>43.71</v>
      </c>
      <c r="V610" s="5">
        <v>58.27</v>
      </c>
      <c r="W610">
        <v>4</v>
      </c>
      <c r="X610" t="s">
        <v>34</v>
      </c>
      <c r="Y610">
        <v>2024</v>
      </c>
      <c r="Z610" t="str">
        <f>TEXT(Table1[[#This Row],[Order Date]],"MMM")</f>
        <v>Feb</v>
      </c>
      <c r="AA610" s="5">
        <f>Table1[[#This Row],[Unit Price]]*Table1[[#This Row],[Quantity]]*(1-Table1[[#This Row],[Discount %]]/100)</f>
        <v>104.904</v>
      </c>
      <c r="AB610" s="5">
        <f>Table1[[#This Row],[Sales]]-Table1[[#This Row],[Cost]]</f>
        <v>46.633999999999993</v>
      </c>
    </row>
    <row r="611" spans="1:28" x14ac:dyDescent="0.3">
      <c r="A611" t="s">
        <v>1721</v>
      </c>
      <c r="B611" s="1">
        <v>45778</v>
      </c>
      <c r="C611" t="s">
        <v>1722</v>
      </c>
      <c r="D611" t="s">
        <v>3391</v>
      </c>
      <c r="E611" s="1">
        <v>45781</v>
      </c>
      <c r="F611" t="s">
        <v>29</v>
      </c>
      <c r="G611" t="s">
        <v>27</v>
      </c>
      <c r="H611" t="s">
        <v>28</v>
      </c>
      <c r="I611" t="s">
        <v>2664</v>
      </c>
      <c r="J611" t="s">
        <v>2678</v>
      </c>
      <c r="K611" t="s">
        <v>25</v>
      </c>
      <c r="L611">
        <v>23</v>
      </c>
      <c r="M611">
        <v>4</v>
      </c>
      <c r="N611">
        <v>30</v>
      </c>
      <c r="O611" t="s">
        <v>1723</v>
      </c>
      <c r="P611" t="s">
        <v>75</v>
      </c>
      <c r="Q611" t="s">
        <v>42</v>
      </c>
      <c r="R611" t="s">
        <v>71</v>
      </c>
      <c r="S611" t="s">
        <v>30</v>
      </c>
      <c r="T611">
        <v>1</v>
      </c>
      <c r="U611" s="5">
        <v>314.61</v>
      </c>
      <c r="V611" s="5">
        <v>693.34</v>
      </c>
      <c r="W611">
        <v>3</v>
      </c>
      <c r="X611" t="s">
        <v>49</v>
      </c>
      <c r="Y611">
        <v>2025</v>
      </c>
      <c r="Z611" t="str">
        <f>TEXT(Table1[[#This Row],[Order Date]],"MMM")</f>
        <v>May</v>
      </c>
      <c r="AA611" s="5">
        <f>Table1[[#This Row],[Unit Price]]*Table1[[#This Row],[Quantity]]*(1-Table1[[#This Row],[Discount %]]/100)</f>
        <v>880.90800000000002</v>
      </c>
      <c r="AB611" s="5">
        <f>Table1[[#This Row],[Sales]]-Table1[[#This Row],[Cost]]</f>
        <v>187.56799999999998</v>
      </c>
    </row>
    <row r="612" spans="1:28" x14ac:dyDescent="0.3">
      <c r="A612" t="s">
        <v>1724</v>
      </c>
      <c r="B612" s="1">
        <v>45870</v>
      </c>
      <c r="C612" t="s">
        <v>1725</v>
      </c>
      <c r="D612" t="s">
        <v>3392</v>
      </c>
      <c r="E612" s="1">
        <v>45872</v>
      </c>
      <c r="F612" t="s">
        <v>56</v>
      </c>
      <c r="G612" t="s">
        <v>54</v>
      </c>
      <c r="H612" t="s">
        <v>55</v>
      </c>
      <c r="I612" t="s">
        <v>2628</v>
      </c>
      <c r="J612" t="s">
        <v>2642</v>
      </c>
      <c r="K612" t="s">
        <v>52</v>
      </c>
      <c r="L612">
        <v>25</v>
      </c>
      <c r="M612">
        <v>3</v>
      </c>
      <c r="N612">
        <v>15</v>
      </c>
      <c r="O612" t="s">
        <v>204</v>
      </c>
      <c r="P612" t="s">
        <v>75</v>
      </c>
      <c r="Q612" t="s">
        <v>70</v>
      </c>
      <c r="R612" t="s">
        <v>62</v>
      </c>
      <c r="S612" t="s">
        <v>57</v>
      </c>
      <c r="T612">
        <v>2</v>
      </c>
      <c r="U612" s="5">
        <v>709.29</v>
      </c>
      <c r="V612" s="5">
        <v>1055.6500000000001</v>
      </c>
      <c r="W612">
        <v>2</v>
      </c>
      <c r="X612" t="s">
        <v>45</v>
      </c>
      <c r="Y612">
        <v>2025</v>
      </c>
      <c r="Z612" t="str">
        <f>TEXT(Table1[[#This Row],[Order Date]],"MMM")</f>
        <v>Aug</v>
      </c>
      <c r="AA612" s="5">
        <f>Table1[[#This Row],[Unit Price]]*Table1[[#This Row],[Quantity]]*(1-Table1[[#This Row],[Discount %]]/100)</f>
        <v>1808.6895</v>
      </c>
      <c r="AB612" s="5">
        <f>Table1[[#This Row],[Sales]]-Table1[[#This Row],[Cost]]</f>
        <v>753.03949999999986</v>
      </c>
    </row>
    <row r="613" spans="1:28" x14ac:dyDescent="0.3">
      <c r="A613" t="s">
        <v>1726</v>
      </c>
      <c r="B613" s="1">
        <v>45706</v>
      </c>
      <c r="C613" t="s">
        <v>1727</v>
      </c>
      <c r="D613" t="s">
        <v>3393</v>
      </c>
      <c r="E613" s="1">
        <v>45708</v>
      </c>
      <c r="F613" t="s">
        <v>29</v>
      </c>
      <c r="G613" t="s">
        <v>27</v>
      </c>
      <c r="H613" t="s">
        <v>28</v>
      </c>
      <c r="I613" t="s">
        <v>2621</v>
      </c>
      <c r="J613" t="s">
        <v>2647</v>
      </c>
      <c r="K613" t="s">
        <v>25</v>
      </c>
      <c r="L613">
        <v>44</v>
      </c>
      <c r="M613">
        <v>1</v>
      </c>
      <c r="N613">
        <v>25</v>
      </c>
      <c r="O613" t="s">
        <v>1728</v>
      </c>
      <c r="P613" t="s">
        <v>75</v>
      </c>
      <c r="Q613" t="s">
        <v>117</v>
      </c>
      <c r="R613" t="s">
        <v>71</v>
      </c>
      <c r="S613" t="s">
        <v>30</v>
      </c>
      <c r="T613">
        <v>1</v>
      </c>
      <c r="U613" s="5">
        <v>822.6</v>
      </c>
      <c r="V613" s="5">
        <v>405.25</v>
      </c>
      <c r="W613">
        <v>2</v>
      </c>
      <c r="X613" t="s">
        <v>34</v>
      </c>
      <c r="Y613">
        <v>2025</v>
      </c>
      <c r="Z613" t="str">
        <f>TEXT(Table1[[#This Row],[Order Date]],"MMM")</f>
        <v>Feb</v>
      </c>
      <c r="AA613" s="5">
        <f>Table1[[#This Row],[Unit Price]]*Table1[[#This Row],[Quantity]]*(1-Table1[[#This Row],[Discount %]]/100)</f>
        <v>616.95000000000005</v>
      </c>
      <c r="AB613" s="5">
        <f>Table1[[#This Row],[Sales]]-Table1[[#This Row],[Cost]]</f>
        <v>211.70000000000005</v>
      </c>
    </row>
    <row r="614" spans="1:28" x14ac:dyDescent="0.3">
      <c r="A614" t="s">
        <v>1729</v>
      </c>
      <c r="B614" s="1">
        <v>45388</v>
      </c>
      <c r="C614" t="s">
        <v>1730</v>
      </c>
      <c r="D614" t="s">
        <v>3394</v>
      </c>
      <c r="E614" s="1">
        <v>45390</v>
      </c>
      <c r="F614" t="s">
        <v>56</v>
      </c>
      <c r="G614" t="s">
        <v>54</v>
      </c>
      <c r="H614" t="s">
        <v>55</v>
      </c>
      <c r="I614" t="s">
        <v>2621</v>
      </c>
      <c r="J614" t="s">
        <v>2647</v>
      </c>
      <c r="K614" t="s">
        <v>52</v>
      </c>
      <c r="L614">
        <v>50</v>
      </c>
      <c r="M614">
        <v>3</v>
      </c>
      <c r="N614">
        <v>20</v>
      </c>
      <c r="O614" t="s">
        <v>1731</v>
      </c>
      <c r="P614" t="s">
        <v>33</v>
      </c>
      <c r="Q614" t="s">
        <v>42</v>
      </c>
      <c r="R614" t="s">
        <v>62</v>
      </c>
      <c r="S614" t="s">
        <v>57</v>
      </c>
      <c r="T614">
        <v>4</v>
      </c>
      <c r="U614" s="5">
        <v>486.54</v>
      </c>
      <c r="V614" s="5">
        <v>926.55</v>
      </c>
      <c r="W614">
        <v>2</v>
      </c>
      <c r="X614" t="s">
        <v>49</v>
      </c>
      <c r="Y614">
        <v>2024</v>
      </c>
      <c r="Z614" t="str">
        <f>TEXT(Table1[[#This Row],[Order Date]],"MMM")</f>
        <v>Apr</v>
      </c>
      <c r="AA614" s="5">
        <f>Table1[[#This Row],[Unit Price]]*Table1[[#This Row],[Quantity]]*(1-Table1[[#This Row],[Discount %]]/100)</f>
        <v>1167.6960000000001</v>
      </c>
      <c r="AB614" s="5">
        <f>Table1[[#This Row],[Sales]]-Table1[[#This Row],[Cost]]</f>
        <v>241.14600000000019</v>
      </c>
    </row>
    <row r="615" spans="1:28" x14ac:dyDescent="0.3">
      <c r="A615" t="s">
        <v>1732</v>
      </c>
      <c r="B615" s="1">
        <v>45914</v>
      </c>
      <c r="C615" t="s">
        <v>1733</v>
      </c>
      <c r="D615" t="s">
        <v>3395</v>
      </c>
      <c r="E615" s="1">
        <v>45918</v>
      </c>
      <c r="F615" t="s">
        <v>115</v>
      </c>
      <c r="G615" t="s">
        <v>66</v>
      </c>
      <c r="H615" t="s">
        <v>114</v>
      </c>
      <c r="I615" t="s">
        <v>2664</v>
      </c>
      <c r="J615" t="s">
        <v>2678</v>
      </c>
      <c r="K615" t="s">
        <v>25</v>
      </c>
      <c r="L615">
        <v>45</v>
      </c>
      <c r="M615">
        <v>4</v>
      </c>
      <c r="N615">
        <v>0</v>
      </c>
      <c r="O615" t="s">
        <v>1084</v>
      </c>
      <c r="P615" t="s">
        <v>33</v>
      </c>
      <c r="Q615" t="s">
        <v>70</v>
      </c>
      <c r="R615" t="s">
        <v>71</v>
      </c>
      <c r="S615" t="s">
        <v>116</v>
      </c>
      <c r="T615">
        <v>5</v>
      </c>
      <c r="U615" s="5">
        <v>489.09</v>
      </c>
      <c r="V615" s="5">
        <v>1241.3</v>
      </c>
      <c r="W615">
        <v>4</v>
      </c>
      <c r="X615" t="s">
        <v>45</v>
      </c>
      <c r="Y615">
        <v>2025</v>
      </c>
      <c r="Z615" t="str">
        <f>TEXT(Table1[[#This Row],[Order Date]],"MMM")</f>
        <v>Sep</v>
      </c>
      <c r="AA615" s="5">
        <f>Table1[[#This Row],[Unit Price]]*Table1[[#This Row],[Quantity]]*(1-Table1[[#This Row],[Discount %]]/100)</f>
        <v>1956.36</v>
      </c>
      <c r="AB615" s="5">
        <f>Table1[[#This Row],[Sales]]-Table1[[#This Row],[Cost]]</f>
        <v>715.06</v>
      </c>
    </row>
    <row r="616" spans="1:28" x14ac:dyDescent="0.3">
      <c r="A616" t="s">
        <v>1734</v>
      </c>
      <c r="B616" s="1">
        <v>45850</v>
      </c>
      <c r="C616" t="s">
        <v>1735</v>
      </c>
      <c r="D616" t="s">
        <v>3396</v>
      </c>
      <c r="E616" s="1">
        <v>45855</v>
      </c>
      <c r="F616" t="s">
        <v>29</v>
      </c>
      <c r="G616" t="s">
        <v>27</v>
      </c>
      <c r="H616" t="s">
        <v>28</v>
      </c>
      <c r="I616" t="s">
        <v>2657</v>
      </c>
      <c r="J616" t="s">
        <v>2658</v>
      </c>
      <c r="K616" t="s">
        <v>25</v>
      </c>
      <c r="L616">
        <v>51</v>
      </c>
      <c r="M616">
        <v>3</v>
      </c>
      <c r="N616">
        <v>20</v>
      </c>
      <c r="O616" t="s">
        <v>1736</v>
      </c>
      <c r="P616" t="s">
        <v>33</v>
      </c>
      <c r="Q616" t="s">
        <v>31</v>
      </c>
      <c r="R616" t="s">
        <v>71</v>
      </c>
      <c r="S616" t="s">
        <v>30</v>
      </c>
      <c r="T616">
        <v>4</v>
      </c>
      <c r="U616" s="5">
        <v>544.99</v>
      </c>
      <c r="V616" s="5">
        <v>692.35</v>
      </c>
      <c r="W616">
        <v>5</v>
      </c>
      <c r="X616" t="s">
        <v>45</v>
      </c>
      <c r="Y616">
        <v>2025</v>
      </c>
      <c r="Z616" t="str">
        <f>TEXT(Table1[[#This Row],[Order Date]],"MMM")</f>
        <v>Jul</v>
      </c>
      <c r="AA616" s="5">
        <f>Table1[[#This Row],[Unit Price]]*Table1[[#This Row],[Quantity]]*(1-Table1[[#This Row],[Discount %]]/100)</f>
        <v>1307.9760000000001</v>
      </c>
      <c r="AB616" s="5">
        <f>Table1[[#This Row],[Sales]]-Table1[[#This Row],[Cost]]</f>
        <v>615.62600000000009</v>
      </c>
    </row>
    <row r="617" spans="1:28" x14ac:dyDescent="0.3">
      <c r="A617" t="s">
        <v>1737</v>
      </c>
      <c r="B617" s="1">
        <v>45832</v>
      </c>
      <c r="C617" t="s">
        <v>1738</v>
      </c>
      <c r="D617" t="s">
        <v>3397</v>
      </c>
      <c r="E617" s="1">
        <v>45839</v>
      </c>
      <c r="F617" t="s">
        <v>29</v>
      </c>
      <c r="G617" t="s">
        <v>27</v>
      </c>
      <c r="H617" t="s">
        <v>28</v>
      </c>
      <c r="I617" t="s">
        <v>2668</v>
      </c>
      <c r="J617" t="s">
        <v>2712</v>
      </c>
      <c r="K617" t="s">
        <v>25</v>
      </c>
      <c r="L617">
        <v>31</v>
      </c>
      <c r="M617">
        <v>3</v>
      </c>
      <c r="N617">
        <v>0</v>
      </c>
      <c r="O617" t="s">
        <v>1739</v>
      </c>
      <c r="P617" t="s">
        <v>75</v>
      </c>
      <c r="Q617" t="s">
        <v>117</v>
      </c>
      <c r="R617" t="s">
        <v>62</v>
      </c>
      <c r="S617" t="s">
        <v>30</v>
      </c>
      <c r="T617">
        <v>1</v>
      </c>
      <c r="U617" s="5">
        <v>661.78</v>
      </c>
      <c r="V617" s="5">
        <v>1259.3599999999999</v>
      </c>
      <c r="W617">
        <v>7</v>
      </c>
      <c r="X617" t="s">
        <v>49</v>
      </c>
      <c r="Y617">
        <v>2025</v>
      </c>
      <c r="Z617" t="str">
        <f>TEXT(Table1[[#This Row],[Order Date]],"MMM")</f>
        <v>Jun</v>
      </c>
      <c r="AA617" s="5">
        <f>Table1[[#This Row],[Unit Price]]*Table1[[#This Row],[Quantity]]*(1-Table1[[#This Row],[Discount %]]/100)</f>
        <v>1985.34</v>
      </c>
      <c r="AB617" s="5">
        <f>Table1[[#This Row],[Sales]]-Table1[[#This Row],[Cost]]</f>
        <v>725.98</v>
      </c>
    </row>
    <row r="618" spans="1:28" x14ac:dyDescent="0.3">
      <c r="A618" t="s">
        <v>1740</v>
      </c>
      <c r="B618" s="1">
        <v>45895</v>
      </c>
      <c r="C618" t="s">
        <v>1741</v>
      </c>
      <c r="D618" t="s">
        <v>3398</v>
      </c>
      <c r="E618" s="1">
        <v>45898</v>
      </c>
      <c r="F618" t="s">
        <v>29</v>
      </c>
      <c r="G618" t="s">
        <v>27</v>
      </c>
      <c r="H618" t="s">
        <v>28</v>
      </c>
      <c r="I618" t="s">
        <v>2630</v>
      </c>
      <c r="J618" t="s">
        <v>2646</v>
      </c>
      <c r="K618" t="s">
        <v>25</v>
      </c>
      <c r="L618">
        <v>63</v>
      </c>
      <c r="M618">
        <v>2</v>
      </c>
      <c r="N618">
        <v>30</v>
      </c>
      <c r="O618" t="s">
        <v>1531</v>
      </c>
      <c r="P618" t="s">
        <v>44</v>
      </c>
      <c r="Q618" t="s">
        <v>70</v>
      </c>
      <c r="R618" t="s">
        <v>71</v>
      </c>
      <c r="S618" t="s">
        <v>30</v>
      </c>
      <c r="T618">
        <v>1</v>
      </c>
      <c r="U618" s="5">
        <v>693.02</v>
      </c>
      <c r="V618" s="5">
        <v>544.11</v>
      </c>
      <c r="W618">
        <v>3</v>
      </c>
      <c r="X618" t="s">
        <v>45</v>
      </c>
      <c r="Y618">
        <v>2025</v>
      </c>
      <c r="Z618" t="str">
        <f>TEXT(Table1[[#This Row],[Order Date]],"MMM")</f>
        <v>Aug</v>
      </c>
      <c r="AA618" s="5">
        <f>Table1[[#This Row],[Unit Price]]*Table1[[#This Row],[Quantity]]*(1-Table1[[#This Row],[Discount %]]/100)</f>
        <v>970.22799999999995</v>
      </c>
      <c r="AB618" s="5">
        <f>Table1[[#This Row],[Sales]]-Table1[[#This Row],[Cost]]</f>
        <v>426.11799999999994</v>
      </c>
    </row>
    <row r="619" spans="1:28" x14ac:dyDescent="0.3">
      <c r="A619" t="s">
        <v>1742</v>
      </c>
      <c r="B619" s="1">
        <v>45890</v>
      </c>
      <c r="C619" t="s">
        <v>1743</v>
      </c>
      <c r="D619" t="s">
        <v>3399</v>
      </c>
      <c r="E619" s="1">
        <v>45893</v>
      </c>
      <c r="F619" t="s">
        <v>140</v>
      </c>
      <c r="G619" t="s">
        <v>38</v>
      </c>
      <c r="H619" t="s">
        <v>139</v>
      </c>
      <c r="I619" t="s">
        <v>2635</v>
      </c>
      <c r="J619" t="s">
        <v>2700</v>
      </c>
      <c r="K619" t="s">
        <v>25</v>
      </c>
      <c r="L619">
        <v>50</v>
      </c>
      <c r="M619">
        <v>3</v>
      </c>
      <c r="N619">
        <v>5</v>
      </c>
      <c r="O619" t="s">
        <v>1744</v>
      </c>
      <c r="P619" t="s">
        <v>33</v>
      </c>
      <c r="Q619" t="s">
        <v>70</v>
      </c>
      <c r="R619" t="s">
        <v>32</v>
      </c>
      <c r="S619" t="s">
        <v>141</v>
      </c>
      <c r="T619">
        <v>4</v>
      </c>
      <c r="U619" s="5">
        <v>868.75</v>
      </c>
      <c r="V619" s="5">
        <v>1459.81</v>
      </c>
      <c r="W619">
        <v>3</v>
      </c>
      <c r="X619" t="s">
        <v>45</v>
      </c>
      <c r="Y619">
        <v>2025</v>
      </c>
      <c r="Z619" t="str">
        <f>TEXT(Table1[[#This Row],[Order Date]],"MMM")</f>
        <v>Aug</v>
      </c>
      <c r="AA619" s="5">
        <f>Table1[[#This Row],[Unit Price]]*Table1[[#This Row],[Quantity]]*(1-Table1[[#This Row],[Discount %]]/100)</f>
        <v>2475.9375</v>
      </c>
      <c r="AB619" s="5">
        <f>Table1[[#This Row],[Sales]]-Table1[[#This Row],[Cost]]</f>
        <v>1016.1275000000001</v>
      </c>
    </row>
    <row r="620" spans="1:28" x14ac:dyDescent="0.3">
      <c r="A620" t="s">
        <v>1745</v>
      </c>
      <c r="B620" s="1">
        <v>45309</v>
      </c>
      <c r="C620" t="s">
        <v>1746</v>
      </c>
      <c r="D620" t="s">
        <v>3400</v>
      </c>
      <c r="E620" s="1">
        <v>45315</v>
      </c>
      <c r="F620" t="s">
        <v>122</v>
      </c>
      <c r="G620" t="s">
        <v>120</v>
      </c>
      <c r="H620" t="s">
        <v>121</v>
      </c>
      <c r="I620" t="s">
        <v>2621</v>
      </c>
      <c r="J620" t="s">
        <v>2699</v>
      </c>
      <c r="K620" t="s">
        <v>52</v>
      </c>
      <c r="L620">
        <v>63</v>
      </c>
      <c r="M620">
        <v>1</v>
      </c>
      <c r="N620">
        <v>30</v>
      </c>
      <c r="O620" t="s">
        <v>440</v>
      </c>
      <c r="P620" t="s">
        <v>33</v>
      </c>
      <c r="Q620" t="s">
        <v>70</v>
      </c>
      <c r="R620" t="s">
        <v>62</v>
      </c>
      <c r="S620" t="s">
        <v>123</v>
      </c>
      <c r="T620">
        <v>3</v>
      </c>
      <c r="U620" s="5">
        <v>974.08</v>
      </c>
      <c r="V620" s="5">
        <v>501.45</v>
      </c>
      <c r="W620">
        <v>6</v>
      </c>
      <c r="X620" t="s">
        <v>34</v>
      </c>
      <c r="Y620">
        <v>2024</v>
      </c>
      <c r="Z620" t="str">
        <f>TEXT(Table1[[#This Row],[Order Date]],"MMM")</f>
        <v>Jan</v>
      </c>
      <c r="AA620" s="5">
        <f>Table1[[#This Row],[Unit Price]]*Table1[[#This Row],[Quantity]]*(1-Table1[[#This Row],[Discount %]]/100)</f>
        <v>681.85599999999999</v>
      </c>
      <c r="AB620" s="5">
        <f>Table1[[#This Row],[Sales]]-Table1[[#This Row],[Cost]]</f>
        <v>180.40600000000001</v>
      </c>
    </row>
    <row r="621" spans="1:28" x14ac:dyDescent="0.3">
      <c r="A621" t="s">
        <v>1747</v>
      </c>
      <c r="B621" s="1">
        <v>45583</v>
      </c>
      <c r="C621" t="s">
        <v>1748</v>
      </c>
      <c r="D621" t="s">
        <v>3401</v>
      </c>
      <c r="E621" s="1">
        <v>45587</v>
      </c>
      <c r="F621" t="s">
        <v>115</v>
      </c>
      <c r="G621" t="s">
        <v>66</v>
      </c>
      <c r="H621" t="s">
        <v>114</v>
      </c>
      <c r="I621" t="s">
        <v>2635</v>
      </c>
      <c r="J621" t="s">
        <v>2683</v>
      </c>
      <c r="K621" t="s">
        <v>52</v>
      </c>
      <c r="L621">
        <v>40</v>
      </c>
      <c r="M621">
        <v>3</v>
      </c>
      <c r="N621">
        <v>15</v>
      </c>
      <c r="O621" t="s">
        <v>490</v>
      </c>
      <c r="P621" t="s">
        <v>75</v>
      </c>
      <c r="Q621" t="s">
        <v>58</v>
      </c>
      <c r="R621" t="s">
        <v>43</v>
      </c>
      <c r="S621" t="s">
        <v>116</v>
      </c>
      <c r="T621">
        <v>3</v>
      </c>
      <c r="U621" s="5">
        <v>404.02</v>
      </c>
      <c r="V621" s="5">
        <v>683.24</v>
      </c>
      <c r="W621">
        <v>4</v>
      </c>
      <c r="X621" t="s">
        <v>94</v>
      </c>
      <c r="Y621">
        <v>2024</v>
      </c>
      <c r="Z621" t="str">
        <f>TEXT(Table1[[#This Row],[Order Date]],"MMM")</f>
        <v>Oct</v>
      </c>
      <c r="AA621" s="5">
        <f>Table1[[#This Row],[Unit Price]]*Table1[[#This Row],[Quantity]]*(1-Table1[[#This Row],[Discount %]]/100)</f>
        <v>1030.251</v>
      </c>
      <c r="AB621" s="5">
        <f>Table1[[#This Row],[Sales]]-Table1[[#This Row],[Cost]]</f>
        <v>347.01099999999997</v>
      </c>
    </row>
    <row r="622" spans="1:28" x14ac:dyDescent="0.3">
      <c r="A622" t="s">
        <v>1749</v>
      </c>
      <c r="B622" s="1">
        <v>46045</v>
      </c>
      <c r="C622" t="s">
        <v>1179</v>
      </c>
      <c r="D622" t="s">
        <v>3402</v>
      </c>
      <c r="E622" s="1">
        <v>46050</v>
      </c>
      <c r="F622" t="s">
        <v>29</v>
      </c>
      <c r="G622" t="s">
        <v>27</v>
      </c>
      <c r="H622" t="s">
        <v>28</v>
      </c>
      <c r="I622" t="s">
        <v>2627</v>
      </c>
      <c r="J622" t="s">
        <v>2690</v>
      </c>
      <c r="K622" t="s">
        <v>25</v>
      </c>
      <c r="L622">
        <v>24</v>
      </c>
      <c r="M622">
        <v>3</v>
      </c>
      <c r="N622">
        <v>5</v>
      </c>
      <c r="O622" t="s">
        <v>484</v>
      </c>
      <c r="P622" t="s">
        <v>44</v>
      </c>
      <c r="Q622" t="s">
        <v>70</v>
      </c>
      <c r="R622" t="s">
        <v>62</v>
      </c>
      <c r="S622" t="s">
        <v>30</v>
      </c>
      <c r="T622">
        <v>1</v>
      </c>
      <c r="U622" s="5">
        <v>282.52999999999997</v>
      </c>
      <c r="V622" s="5">
        <v>648.46</v>
      </c>
      <c r="W622">
        <v>5</v>
      </c>
      <c r="X622" t="s">
        <v>34</v>
      </c>
      <c r="Y622">
        <v>2026</v>
      </c>
      <c r="Z622" t="str">
        <f>TEXT(Table1[[#This Row],[Order Date]],"MMM")</f>
        <v>Jan</v>
      </c>
      <c r="AA622" s="5">
        <f>Table1[[#This Row],[Unit Price]]*Table1[[#This Row],[Quantity]]*(1-Table1[[#This Row],[Discount %]]/100)</f>
        <v>805.21049999999991</v>
      </c>
      <c r="AB622" s="5">
        <f>Table1[[#This Row],[Sales]]-Table1[[#This Row],[Cost]]</f>
        <v>156.75049999999987</v>
      </c>
    </row>
    <row r="623" spans="1:28" x14ac:dyDescent="0.3">
      <c r="A623" t="s">
        <v>1750</v>
      </c>
      <c r="B623" s="1">
        <v>45856</v>
      </c>
      <c r="C623" t="s">
        <v>1262</v>
      </c>
      <c r="D623" t="s">
        <v>3403</v>
      </c>
      <c r="E623" s="1">
        <v>45860</v>
      </c>
      <c r="F623" t="s">
        <v>56</v>
      </c>
      <c r="G623" t="s">
        <v>54</v>
      </c>
      <c r="H623" t="s">
        <v>55</v>
      </c>
      <c r="I623" t="s">
        <v>2635</v>
      </c>
      <c r="J623" t="s">
        <v>2700</v>
      </c>
      <c r="K623" t="s">
        <v>52</v>
      </c>
      <c r="L623">
        <v>32</v>
      </c>
      <c r="M623">
        <v>3</v>
      </c>
      <c r="N623">
        <v>0</v>
      </c>
      <c r="O623" t="s">
        <v>1751</v>
      </c>
      <c r="P623" t="s">
        <v>44</v>
      </c>
      <c r="Q623" t="s">
        <v>117</v>
      </c>
      <c r="R623" t="s">
        <v>62</v>
      </c>
      <c r="S623" t="s">
        <v>57</v>
      </c>
      <c r="T623">
        <v>2</v>
      </c>
      <c r="U623" s="5">
        <v>140.19</v>
      </c>
      <c r="V623" s="5">
        <v>246.74</v>
      </c>
      <c r="W623">
        <v>4</v>
      </c>
      <c r="X623" t="s">
        <v>45</v>
      </c>
      <c r="Y623">
        <v>2025</v>
      </c>
      <c r="Z623" t="str">
        <f>TEXT(Table1[[#This Row],[Order Date]],"MMM")</f>
        <v>Jul</v>
      </c>
      <c r="AA623" s="5">
        <f>Table1[[#This Row],[Unit Price]]*Table1[[#This Row],[Quantity]]*(1-Table1[[#This Row],[Discount %]]/100)</f>
        <v>420.57</v>
      </c>
      <c r="AB623" s="5">
        <f>Table1[[#This Row],[Sales]]-Table1[[#This Row],[Cost]]</f>
        <v>173.82999999999998</v>
      </c>
    </row>
    <row r="624" spans="1:28" x14ac:dyDescent="0.3">
      <c r="A624" t="s">
        <v>1752</v>
      </c>
      <c r="B624" s="1">
        <v>45892</v>
      </c>
      <c r="C624" t="s">
        <v>1753</v>
      </c>
      <c r="D624" t="s">
        <v>3404</v>
      </c>
      <c r="E624" s="1">
        <v>45898</v>
      </c>
      <c r="F624" t="s">
        <v>122</v>
      </c>
      <c r="G624" t="s">
        <v>120</v>
      </c>
      <c r="H624" t="s">
        <v>121</v>
      </c>
      <c r="I624" t="s">
        <v>2629</v>
      </c>
      <c r="J624" t="s">
        <v>2632</v>
      </c>
      <c r="K624" t="s">
        <v>25</v>
      </c>
      <c r="L624">
        <v>29</v>
      </c>
      <c r="M624">
        <v>2</v>
      </c>
      <c r="N624">
        <v>5</v>
      </c>
      <c r="O624" t="s">
        <v>1754</v>
      </c>
      <c r="P624" t="s">
        <v>33</v>
      </c>
      <c r="Q624" t="s">
        <v>117</v>
      </c>
      <c r="R624" t="s">
        <v>62</v>
      </c>
      <c r="S624" t="s">
        <v>123</v>
      </c>
      <c r="T624">
        <v>4</v>
      </c>
      <c r="U624" s="5">
        <v>185.6</v>
      </c>
      <c r="V624" s="5">
        <v>186.48</v>
      </c>
      <c r="W624">
        <v>6</v>
      </c>
      <c r="X624" t="s">
        <v>45</v>
      </c>
      <c r="Y624">
        <v>2025</v>
      </c>
      <c r="Z624" t="str">
        <f>TEXT(Table1[[#This Row],[Order Date]],"MMM")</f>
        <v>Aug</v>
      </c>
      <c r="AA624" s="5">
        <f>Table1[[#This Row],[Unit Price]]*Table1[[#This Row],[Quantity]]*(1-Table1[[#This Row],[Discount %]]/100)</f>
        <v>352.64</v>
      </c>
      <c r="AB624" s="5">
        <f>Table1[[#This Row],[Sales]]-Table1[[#This Row],[Cost]]</f>
        <v>166.16</v>
      </c>
    </row>
    <row r="625" spans="1:28" x14ac:dyDescent="0.3">
      <c r="A625" t="s">
        <v>1755</v>
      </c>
      <c r="B625" s="1">
        <v>45468</v>
      </c>
      <c r="C625" t="s">
        <v>1756</v>
      </c>
      <c r="D625" t="s">
        <v>3405</v>
      </c>
      <c r="E625" s="1">
        <v>45475</v>
      </c>
      <c r="F625" t="s">
        <v>29</v>
      </c>
      <c r="G625" t="s">
        <v>27</v>
      </c>
      <c r="H625" t="s">
        <v>28</v>
      </c>
      <c r="I625" t="s">
        <v>2655</v>
      </c>
      <c r="J625" t="s">
        <v>2656</v>
      </c>
      <c r="K625" t="s">
        <v>25</v>
      </c>
      <c r="L625">
        <v>25</v>
      </c>
      <c r="M625">
        <v>4</v>
      </c>
      <c r="N625">
        <v>30</v>
      </c>
      <c r="O625" t="s">
        <v>1757</v>
      </c>
      <c r="P625" t="s">
        <v>75</v>
      </c>
      <c r="Q625" t="s">
        <v>58</v>
      </c>
      <c r="R625" t="s">
        <v>62</v>
      </c>
      <c r="S625" t="s">
        <v>30</v>
      </c>
      <c r="T625">
        <v>5</v>
      </c>
      <c r="U625" s="5">
        <v>679.85</v>
      </c>
      <c r="V625" s="5">
        <v>1594.19</v>
      </c>
      <c r="W625">
        <v>7</v>
      </c>
      <c r="X625" t="s">
        <v>49</v>
      </c>
      <c r="Y625">
        <v>2024</v>
      </c>
      <c r="Z625" t="str">
        <f>TEXT(Table1[[#This Row],[Order Date]],"MMM")</f>
        <v>Jun</v>
      </c>
      <c r="AA625" s="5">
        <f>Table1[[#This Row],[Unit Price]]*Table1[[#This Row],[Quantity]]*(1-Table1[[#This Row],[Discount %]]/100)</f>
        <v>1903.58</v>
      </c>
      <c r="AB625" s="5">
        <f>Table1[[#This Row],[Sales]]-Table1[[#This Row],[Cost]]</f>
        <v>309.38999999999987</v>
      </c>
    </row>
    <row r="626" spans="1:28" x14ac:dyDescent="0.3">
      <c r="A626" t="s">
        <v>1758</v>
      </c>
      <c r="B626" s="1">
        <v>45349</v>
      </c>
      <c r="C626" t="s">
        <v>1759</v>
      </c>
      <c r="D626" t="s">
        <v>3406</v>
      </c>
      <c r="E626" s="1">
        <v>45356</v>
      </c>
      <c r="F626" t="s">
        <v>122</v>
      </c>
      <c r="G626" t="s">
        <v>120</v>
      </c>
      <c r="H626" t="s">
        <v>121</v>
      </c>
      <c r="I626" t="s">
        <v>2664</v>
      </c>
      <c r="J626" t="s">
        <v>2665</v>
      </c>
      <c r="K626" t="s">
        <v>52</v>
      </c>
      <c r="L626">
        <v>34</v>
      </c>
      <c r="M626">
        <v>4</v>
      </c>
      <c r="N626">
        <v>5</v>
      </c>
      <c r="O626" t="s">
        <v>1222</v>
      </c>
      <c r="P626" t="s">
        <v>75</v>
      </c>
      <c r="Q626" t="s">
        <v>70</v>
      </c>
      <c r="R626" t="s">
        <v>62</v>
      </c>
      <c r="S626" t="s">
        <v>123</v>
      </c>
      <c r="T626">
        <v>1</v>
      </c>
      <c r="U626" s="5">
        <v>945.39</v>
      </c>
      <c r="V626" s="5">
        <v>2268.56</v>
      </c>
      <c r="W626">
        <v>7</v>
      </c>
      <c r="X626" t="s">
        <v>34</v>
      </c>
      <c r="Y626">
        <v>2024</v>
      </c>
      <c r="Z626" t="str">
        <f>TEXT(Table1[[#This Row],[Order Date]],"MMM")</f>
        <v>Feb</v>
      </c>
      <c r="AA626" s="5">
        <f>Table1[[#This Row],[Unit Price]]*Table1[[#This Row],[Quantity]]*(1-Table1[[#This Row],[Discount %]]/100)</f>
        <v>3592.482</v>
      </c>
      <c r="AB626" s="5">
        <f>Table1[[#This Row],[Sales]]-Table1[[#This Row],[Cost]]</f>
        <v>1323.922</v>
      </c>
    </row>
    <row r="627" spans="1:28" x14ac:dyDescent="0.3">
      <c r="A627" t="s">
        <v>1760</v>
      </c>
      <c r="B627" s="1">
        <v>45787</v>
      </c>
      <c r="C627" t="s">
        <v>1761</v>
      </c>
      <c r="D627" t="s">
        <v>3407</v>
      </c>
      <c r="E627" s="1">
        <v>45791</v>
      </c>
      <c r="F627" t="s">
        <v>122</v>
      </c>
      <c r="G627" t="s">
        <v>120</v>
      </c>
      <c r="H627" t="s">
        <v>121</v>
      </c>
      <c r="I627" t="s">
        <v>2664</v>
      </c>
      <c r="J627" t="s">
        <v>2678</v>
      </c>
      <c r="K627" t="s">
        <v>25</v>
      </c>
      <c r="L627">
        <v>53</v>
      </c>
      <c r="M627">
        <v>3</v>
      </c>
      <c r="N627">
        <v>25</v>
      </c>
      <c r="O627" t="s">
        <v>883</v>
      </c>
      <c r="P627" t="s">
        <v>75</v>
      </c>
      <c r="Q627" t="s">
        <v>117</v>
      </c>
      <c r="R627" t="s">
        <v>43</v>
      </c>
      <c r="S627" t="s">
        <v>123</v>
      </c>
      <c r="T627">
        <v>1</v>
      </c>
      <c r="U627" s="5">
        <v>950.69</v>
      </c>
      <c r="V627" s="5">
        <v>1652.06</v>
      </c>
      <c r="W627">
        <v>4</v>
      </c>
      <c r="X627" t="s">
        <v>49</v>
      </c>
      <c r="Y627">
        <v>2025</v>
      </c>
      <c r="Z627" t="str">
        <f>TEXT(Table1[[#This Row],[Order Date]],"MMM")</f>
        <v>May</v>
      </c>
      <c r="AA627" s="5">
        <f>Table1[[#This Row],[Unit Price]]*Table1[[#This Row],[Quantity]]*(1-Table1[[#This Row],[Discount %]]/100)</f>
        <v>2139.0525000000002</v>
      </c>
      <c r="AB627" s="5">
        <f>Table1[[#This Row],[Sales]]-Table1[[#This Row],[Cost]]</f>
        <v>486.99250000000029</v>
      </c>
    </row>
    <row r="628" spans="1:28" x14ac:dyDescent="0.3">
      <c r="A628" t="s">
        <v>1762</v>
      </c>
      <c r="B628" s="1">
        <v>45717</v>
      </c>
      <c r="C628" t="s">
        <v>1763</v>
      </c>
      <c r="D628" t="s">
        <v>3408</v>
      </c>
      <c r="E628" s="1">
        <v>45722</v>
      </c>
      <c r="F628" t="s">
        <v>128</v>
      </c>
      <c r="G628" t="s">
        <v>98</v>
      </c>
      <c r="H628" t="s">
        <v>127</v>
      </c>
      <c r="I628" t="s">
        <v>2619</v>
      </c>
      <c r="J628" t="s">
        <v>2692</v>
      </c>
      <c r="K628" t="s">
        <v>25</v>
      </c>
      <c r="L628">
        <v>45</v>
      </c>
      <c r="M628">
        <v>5</v>
      </c>
      <c r="N628">
        <v>20</v>
      </c>
      <c r="O628" t="s">
        <v>771</v>
      </c>
      <c r="P628" t="s">
        <v>33</v>
      </c>
      <c r="Q628" t="s">
        <v>117</v>
      </c>
      <c r="R628" t="s">
        <v>71</v>
      </c>
      <c r="S628" t="s">
        <v>129</v>
      </c>
      <c r="T628">
        <v>1</v>
      </c>
      <c r="U628" s="5">
        <v>218.67</v>
      </c>
      <c r="V628" s="5">
        <v>457.92</v>
      </c>
      <c r="W628">
        <v>5</v>
      </c>
      <c r="X628" t="s">
        <v>34</v>
      </c>
      <c r="Y628">
        <v>2025</v>
      </c>
      <c r="Z628" t="str">
        <f>TEXT(Table1[[#This Row],[Order Date]],"MMM")</f>
        <v>Mar</v>
      </c>
      <c r="AA628" s="5">
        <f>Table1[[#This Row],[Unit Price]]*Table1[[#This Row],[Quantity]]*(1-Table1[[#This Row],[Discount %]]/100)</f>
        <v>874.68</v>
      </c>
      <c r="AB628" s="5">
        <f>Table1[[#This Row],[Sales]]-Table1[[#This Row],[Cost]]</f>
        <v>416.75999999999993</v>
      </c>
    </row>
    <row r="629" spans="1:28" x14ac:dyDescent="0.3">
      <c r="A629" t="s">
        <v>1764</v>
      </c>
      <c r="B629" s="1">
        <v>45427</v>
      </c>
      <c r="C629" t="s">
        <v>1765</v>
      </c>
      <c r="D629" t="s">
        <v>3409</v>
      </c>
      <c r="E629" s="1">
        <v>45432</v>
      </c>
      <c r="F629" t="s">
        <v>68</v>
      </c>
      <c r="G629" t="s">
        <v>66</v>
      </c>
      <c r="H629" t="s">
        <v>67</v>
      </c>
      <c r="I629" t="s">
        <v>2675</v>
      </c>
      <c r="J629" t="s">
        <v>2703</v>
      </c>
      <c r="K629" t="s">
        <v>52</v>
      </c>
      <c r="L629">
        <v>39</v>
      </c>
      <c r="M629">
        <v>1</v>
      </c>
      <c r="N629">
        <v>30</v>
      </c>
      <c r="O629" t="s">
        <v>1161</v>
      </c>
      <c r="P629" t="s">
        <v>75</v>
      </c>
      <c r="Q629" t="s">
        <v>117</v>
      </c>
      <c r="R629" t="s">
        <v>32</v>
      </c>
      <c r="S629" t="s">
        <v>69</v>
      </c>
      <c r="T629">
        <v>1</v>
      </c>
      <c r="U629" s="5">
        <v>505.2</v>
      </c>
      <c r="V629" s="5">
        <v>264.01</v>
      </c>
      <c r="W629">
        <v>5</v>
      </c>
      <c r="X629" t="s">
        <v>49</v>
      </c>
      <c r="Y629">
        <v>2024</v>
      </c>
      <c r="Z629" t="str">
        <f>TEXT(Table1[[#This Row],[Order Date]],"MMM")</f>
        <v>May</v>
      </c>
      <c r="AA629" s="5">
        <f>Table1[[#This Row],[Unit Price]]*Table1[[#This Row],[Quantity]]*(1-Table1[[#This Row],[Discount %]]/100)</f>
        <v>353.64</v>
      </c>
      <c r="AB629" s="5">
        <f>Table1[[#This Row],[Sales]]-Table1[[#This Row],[Cost]]</f>
        <v>89.63</v>
      </c>
    </row>
    <row r="630" spans="1:28" x14ac:dyDescent="0.3">
      <c r="A630" t="s">
        <v>1766</v>
      </c>
      <c r="B630" s="1">
        <v>45511</v>
      </c>
      <c r="C630" t="s">
        <v>1767</v>
      </c>
      <c r="D630" t="s">
        <v>3410</v>
      </c>
      <c r="E630" s="1">
        <v>45518</v>
      </c>
      <c r="F630" t="s">
        <v>68</v>
      </c>
      <c r="G630" t="s">
        <v>66</v>
      </c>
      <c r="H630" t="s">
        <v>67</v>
      </c>
      <c r="I630" t="s">
        <v>2637</v>
      </c>
      <c r="J630" t="s">
        <v>2709</v>
      </c>
      <c r="K630" t="s">
        <v>52</v>
      </c>
      <c r="L630">
        <v>65</v>
      </c>
      <c r="M630">
        <v>3</v>
      </c>
      <c r="N630">
        <v>25</v>
      </c>
      <c r="O630" t="s">
        <v>1327</v>
      </c>
      <c r="P630" t="s">
        <v>44</v>
      </c>
      <c r="Q630" t="s">
        <v>58</v>
      </c>
      <c r="R630" t="s">
        <v>62</v>
      </c>
      <c r="S630" t="s">
        <v>69</v>
      </c>
      <c r="T630">
        <v>5</v>
      </c>
      <c r="U630" s="5">
        <v>430.05</v>
      </c>
      <c r="V630" s="5">
        <v>710.73</v>
      </c>
      <c r="W630">
        <v>7</v>
      </c>
      <c r="X630" t="s">
        <v>45</v>
      </c>
      <c r="Y630">
        <v>2024</v>
      </c>
      <c r="Z630" t="str">
        <f>TEXT(Table1[[#This Row],[Order Date]],"MMM")</f>
        <v>Aug</v>
      </c>
      <c r="AA630" s="5">
        <f>Table1[[#This Row],[Unit Price]]*Table1[[#This Row],[Quantity]]*(1-Table1[[#This Row],[Discount %]]/100)</f>
        <v>967.61250000000007</v>
      </c>
      <c r="AB630" s="5">
        <f>Table1[[#This Row],[Sales]]-Table1[[#This Row],[Cost]]</f>
        <v>256.88250000000005</v>
      </c>
    </row>
    <row r="631" spans="1:28" x14ac:dyDescent="0.3">
      <c r="A631" t="s">
        <v>1768</v>
      </c>
      <c r="B631" s="1">
        <v>45428</v>
      </c>
      <c r="C631" t="s">
        <v>1769</v>
      </c>
      <c r="D631" t="s">
        <v>3411</v>
      </c>
      <c r="E631" s="1">
        <v>45434</v>
      </c>
      <c r="F631" t="s">
        <v>29</v>
      </c>
      <c r="G631" t="s">
        <v>27</v>
      </c>
      <c r="H631" t="s">
        <v>28</v>
      </c>
      <c r="I631" t="s">
        <v>2629</v>
      </c>
      <c r="J631" t="s">
        <v>2691</v>
      </c>
      <c r="K631" t="s">
        <v>52</v>
      </c>
      <c r="L631">
        <v>40</v>
      </c>
      <c r="M631">
        <v>5</v>
      </c>
      <c r="N631">
        <v>15</v>
      </c>
      <c r="O631" t="s">
        <v>78</v>
      </c>
      <c r="P631" t="s">
        <v>33</v>
      </c>
      <c r="Q631" t="s">
        <v>70</v>
      </c>
      <c r="R631" t="s">
        <v>32</v>
      </c>
      <c r="S631" t="s">
        <v>30</v>
      </c>
      <c r="T631">
        <v>1</v>
      </c>
      <c r="U631" s="5">
        <v>758.16</v>
      </c>
      <c r="V631" s="5">
        <v>2367.4499999999998</v>
      </c>
      <c r="W631">
        <v>6</v>
      </c>
      <c r="X631" t="s">
        <v>49</v>
      </c>
      <c r="Y631">
        <v>2024</v>
      </c>
      <c r="Z631" t="str">
        <f>TEXT(Table1[[#This Row],[Order Date]],"MMM")</f>
        <v>May</v>
      </c>
      <c r="AA631" s="5">
        <f>Table1[[#This Row],[Unit Price]]*Table1[[#This Row],[Quantity]]*(1-Table1[[#This Row],[Discount %]]/100)</f>
        <v>3222.18</v>
      </c>
      <c r="AB631" s="5">
        <f>Table1[[#This Row],[Sales]]-Table1[[#This Row],[Cost]]</f>
        <v>854.73</v>
      </c>
    </row>
    <row r="632" spans="1:28" x14ac:dyDescent="0.3">
      <c r="A632" t="s">
        <v>1770</v>
      </c>
      <c r="B632" s="1">
        <v>45860</v>
      </c>
      <c r="C632" t="s">
        <v>1771</v>
      </c>
      <c r="D632" t="s">
        <v>3412</v>
      </c>
      <c r="E632" s="1">
        <v>45865</v>
      </c>
      <c r="F632" t="s">
        <v>122</v>
      </c>
      <c r="G632" t="s">
        <v>120</v>
      </c>
      <c r="H632" t="s">
        <v>121</v>
      </c>
      <c r="I632" t="s">
        <v>2625</v>
      </c>
      <c r="J632" t="s">
        <v>2685</v>
      </c>
      <c r="K632" t="s">
        <v>25</v>
      </c>
      <c r="L632">
        <v>28</v>
      </c>
      <c r="M632">
        <v>2</v>
      </c>
      <c r="N632">
        <v>10</v>
      </c>
      <c r="O632" t="s">
        <v>1772</v>
      </c>
      <c r="P632" t="s">
        <v>75</v>
      </c>
      <c r="Q632" t="s">
        <v>42</v>
      </c>
      <c r="R632" t="s">
        <v>62</v>
      </c>
      <c r="S632" t="s">
        <v>123</v>
      </c>
      <c r="T632">
        <v>4</v>
      </c>
      <c r="U632" s="5">
        <v>197.3</v>
      </c>
      <c r="V632" s="5">
        <v>232.18</v>
      </c>
      <c r="W632">
        <v>5</v>
      </c>
      <c r="X632" t="s">
        <v>45</v>
      </c>
      <c r="Y632">
        <v>2025</v>
      </c>
      <c r="Z632" t="str">
        <f>TEXT(Table1[[#This Row],[Order Date]],"MMM")</f>
        <v>Jul</v>
      </c>
      <c r="AA632" s="5">
        <f>Table1[[#This Row],[Unit Price]]*Table1[[#This Row],[Quantity]]*(1-Table1[[#This Row],[Discount %]]/100)</f>
        <v>355.14000000000004</v>
      </c>
      <c r="AB632" s="5">
        <f>Table1[[#This Row],[Sales]]-Table1[[#This Row],[Cost]]</f>
        <v>122.96000000000004</v>
      </c>
    </row>
    <row r="633" spans="1:28" x14ac:dyDescent="0.3">
      <c r="A633" t="s">
        <v>1773</v>
      </c>
      <c r="B633" s="1">
        <v>45576</v>
      </c>
      <c r="C633" t="s">
        <v>1774</v>
      </c>
      <c r="D633" t="s">
        <v>3413</v>
      </c>
      <c r="E633" s="1">
        <v>45580</v>
      </c>
      <c r="F633" t="s">
        <v>128</v>
      </c>
      <c r="G633" t="s">
        <v>98</v>
      </c>
      <c r="H633" t="s">
        <v>127</v>
      </c>
      <c r="I633" t="s">
        <v>2625</v>
      </c>
      <c r="J633" t="s">
        <v>2693</v>
      </c>
      <c r="K633" t="s">
        <v>25</v>
      </c>
      <c r="L633">
        <v>26</v>
      </c>
      <c r="M633">
        <v>4</v>
      </c>
      <c r="N633">
        <v>10</v>
      </c>
      <c r="O633" t="s">
        <v>1435</v>
      </c>
      <c r="P633" t="s">
        <v>44</v>
      </c>
      <c r="Q633" t="s">
        <v>42</v>
      </c>
      <c r="R633" t="s">
        <v>43</v>
      </c>
      <c r="S633" t="s">
        <v>129</v>
      </c>
      <c r="T633">
        <v>4</v>
      </c>
      <c r="U633" s="5">
        <v>231.12</v>
      </c>
      <c r="V633" s="5">
        <v>511.65</v>
      </c>
      <c r="W633">
        <v>4</v>
      </c>
      <c r="X633" t="s">
        <v>94</v>
      </c>
      <c r="Y633">
        <v>2024</v>
      </c>
      <c r="Z633" t="str">
        <f>TEXT(Table1[[#This Row],[Order Date]],"MMM")</f>
        <v>Oct</v>
      </c>
      <c r="AA633" s="5">
        <f>Table1[[#This Row],[Unit Price]]*Table1[[#This Row],[Quantity]]*(1-Table1[[#This Row],[Discount %]]/100)</f>
        <v>832.03200000000004</v>
      </c>
      <c r="AB633" s="5">
        <f>Table1[[#This Row],[Sales]]-Table1[[#This Row],[Cost]]</f>
        <v>320.38200000000006</v>
      </c>
    </row>
    <row r="634" spans="1:28" x14ac:dyDescent="0.3">
      <c r="A634" t="s">
        <v>1775</v>
      </c>
      <c r="B634" s="1">
        <v>45889</v>
      </c>
      <c r="C634" t="s">
        <v>1776</v>
      </c>
      <c r="D634" t="s">
        <v>3414</v>
      </c>
      <c r="E634" s="1">
        <v>45892</v>
      </c>
      <c r="F634" t="s">
        <v>100</v>
      </c>
      <c r="G634" t="s">
        <v>98</v>
      </c>
      <c r="H634" t="s">
        <v>99</v>
      </c>
      <c r="I634" t="s">
        <v>2659</v>
      </c>
      <c r="J634" t="s">
        <v>2660</v>
      </c>
      <c r="K634" t="s">
        <v>25</v>
      </c>
      <c r="L634">
        <v>36</v>
      </c>
      <c r="M634">
        <v>2</v>
      </c>
      <c r="N634">
        <v>20</v>
      </c>
      <c r="O634" t="s">
        <v>1777</v>
      </c>
      <c r="P634" t="s">
        <v>33</v>
      </c>
      <c r="Q634" t="s">
        <v>58</v>
      </c>
      <c r="R634" t="s">
        <v>32</v>
      </c>
      <c r="S634" t="s">
        <v>101</v>
      </c>
      <c r="T634">
        <v>5</v>
      </c>
      <c r="U634" s="5">
        <v>829.98</v>
      </c>
      <c r="V634" s="5">
        <v>962.67</v>
      </c>
      <c r="W634">
        <v>3</v>
      </c>
      <c r="X634" t="s">
        <v>45</v>
      </c>
      <c r="Y634">
        <v>2025</v>
      </c>
      <c r="Z634" t="str">
        <f>TEXT(Table1[[#This Row],[Order Date]],"MMM")</f>
        <v>Aug</v>
      </c>
      <c r="AA634" s="5">
        <f>Table1[[#This Row],[Unit Price]]*Table1[[#This Row],[Quantity]]*(1-Table1[[#This Row],[Discount %]]/100)</f>
        <v>1327.9680000000001</v>
      </c>
      <c r="AB634" s="5">
        <f>Table1[[#This Row],[Sales]]-Table1[[#This Row],[Cost]]</f>
        <v>365.29800000000012</v>
      </c>
    </row>
    <row r="635" spans="1:28" x14ac:dyDescent="0.3">
      <c r="A635" t="s">
        <v>1778</v>
      </c>
      <c r="B635" s="1">
        <v>45597</v>
      </c>
      <c r="C635" t="s">
        <v>1779</v>
      </c>
      <c r="D635" t="s">
        <v>3415</v>
      </c>
      <c r="E635" s="1">
        <v>45604</v>
      </c>
      <c r="F635" t="s">
        <v>29</v>
      </c>
      <c r="G635" t="s">
        <v>27</v>
      </c>
      <c r="H635" t="s">
        <v>28</v>
      </c>
      <c r="I635" t="s">
        <v>2633</v>
      </c>
      <c r="J635" t="s">
        <v>2645</v>
      </c>
      <c r="K635" t="s">
        <v>52</v>
      </c>
      <c r="L635">
        <v>57</v>
      </c>
      <c r="M635">
        <v>5</v>
      </c>
      <c r="N635">
        <v>25</v>
      </c>
      <c r="O635" t="s">
        <v>1780</v>
      </c>
      <c r="P635" t="s">
        <v>44</v>
      </c>
      <c r="Q635" t="s">
        <v>70</v>
      </c>
      <c r="R635" t="s">
        <v>43</v>
      </c>
      <c r="S635" t="s">
        <v>30</v>
      </c>
      <c r="T635">
        <v>2</v>
      </c>
      <c r="U635" s="5">
        <v>943.06</v>
      </c>
      <c r="V635" s="5">
        <v>1835.78</v>
      </c>
      <c r="W635">
        <v>7</v>
      </c>
      <c r="X635" t="s">
        <v>94</v>
      </c>
      <c r="Y635">
        <v>2024</v>
      </c>
      <c r="Z635" t="str">
        <f>TEXT(Table1[[#This Row],[Order Date]],"MMM")</f>
        <v>Nov</v>
      </c>
      <c r="AA635" s="5">
        <f>Table1[[#This Row],[Unit Price]]*Table1[[#This Row],[Quantity]]*(1-Table1[[#This Row],[Discount %]]/100)</f>
        <v>3536.4749999999995</v>
      </c>
      <c r="AB635" s="5">
        <f>Table1[[#This Row],[Sales]]-Table1[[#This Row],[Cost]]</f>
        <v>1700.6949999999995</v>
      </c>
    </row>
    <row r="636" spans="1:28" x14ac:dyDescent="0.3">
      <c r="A636" t="s">
        <v>1781</v>
      </c>
      <c r="B636" s="1">
        <v>46112</v>
      </c>
      <c r="C636" t="s">
        <v>1782</v>
      </c>
      <c r="D636" t="s">
        <v>3416</v>
      </c>
      <c r="E636" s="1">
        <v>46118</v>
      </c>
      <c r="F636" t="s">
        <v>56</v>
      </c>
      <c r="G636" t="s">
        <v>54</v>
      </c>
      <c r="H636" t="s">
        <v>55</v>
      </c>
      <c r="I636" t="s">
        <v>2643</v>
      </c>
      <c r="J636" t="s">
        <v>2654</v>
      </c>
      <c r="K636" t="s">
        <v>25</v>
      </c>
      <c r="L636">
        <v>48</v>
      </c>
      <c r="M636">
        <v>5</v>
      </c>
      <c r="N636">
        <v>20</v>
      </c>
      <c r="O636" t="s">
        <v>1783</v>
      </c>
      <c r="P636" t="s">
        <v>44</v>
      </c>
      <c r="Q636" t="s">
        <v>42</v>
      </c>
      <c r="R636" t="s">
        <v>62</v>
      </c>
      <c r="S636" t="s">
        <v>57</v>
      </c>
      <c r="T636">
        <v>4</v>
      </c>
      <c r="U636" s="5">
        <v>489.83</v>
      </c>
      <c r="V636" s="5">
        <v>1533.46</v>
      </c>
      <c r="W636">
        <v>6</v>
      </c>
      <c r="X636" t="s">
        <v>34</v>
      </c>
      <c r="Y636">
        <v>2026</v>
      </c>
      <c r="Z636" t="str">
        <f>TEXT(Table1[[#This Row],[Order Date]],"MMM")</f>
        <v>Mar</v>
      </c>
      <c r="AA636" s="5">
        <f>Table1[[#This Row],[Unit Price]]*Table1[[#This Row],[Quantity]]*(1-Table1[[#This Row],[Discount %]]/100)</f>
        <v>1959.3200000000002</v>
      </c>
      <c r="AB636" s="5">
        <f>Table1[[#This Row],[Sales]]-Table1[[#This Row],[Cost]]</f>
        <v>425.86000000000013</v>
      </c>
    </row>
    <row r="637" spans="1:28" x14ac:dyDescent="0.3">
      <c r="A637" t="s">
        <v>1784</v>
      </c>
      <c r="B637" s="1">
        <v>46125</v>
      </c>
      <c r="C637" t="s">
        <v>1785</v>
      </c>
      <c r="D637" t="s">
        <v>3417</v>
      </c>
      <c r="E637" s="1">
        <v>46129</v>
      </c>
      <c r="F637" t="s">
        <v>122</v>
      </c>
      <c r="G637" t="s">
        <v>120</v>
      </c>
      <c r="H637" t="s">
        <v>121</v>
      </c>
      <c r="I637" t="s">
        <v>2630</v>
      </c>
      <c r="J637" t="s">
        <v>2710</v>
      </c>
      <c r="K637" t="s">
        <v>52</v>
      </c>
      <c r="L637">
        <v>30</v>
      </c>
      <c r="M637">
        <v>4</v>
      </c>
      <c r="N637">
        <v>15</v>
      </c>
      <c r="O637" t="s">
        <v>543</v>
      </c>
      <c r="P637" t="s">
        <v>44</v>
      </c>
      <c r="Q637" t="s">
        <v>31</v>
      </c>
      <c r="R637" t="s">
        <v>43</v>
      </c>
      <c r="S637" t="s">
        <v>123</v>
      </c>
      <c r="T637">
        <v>5</v>
      </c>
      <c r="U637" s="5">
        <v>846.78</v>
      </c>
      <c r="V637" s="5">
        <v>1799.77</v>
      </c>
      <c r="W637">
        <v>4</v>
      </c>
      <c r="X637" t="s">
        <v>49</v>
      </c>
      <c r="Y637">
        <v>2026</v>
      </c>
      <c r="Z637" t="str">
        <f>TEXT(Table1[[#This Row],[Order Date]],"MMM")</f>
        <v>Apr</v>
      </c>
      <c r="AA637" s="5">
        <f>Table1[[#This Row],[Unit Price]]*Table1[[#This Row],[Quantity]]*(1-Table1[[#This Row],[Discount %]]/100)</f>
        <v>2879.0519999999997</v>
      </c>
      <c r="AB637" s="5">
        <f>Table1[[#This Row],[Sales]]-Table1[[#This Row],[Cost]]</f>
        <v>1079.2819999999997</v>
      </c>
    </row>
    <row r="638" spans="1:28" x14ac:dyDescent="0.3">
      <c r="A638" t="s">
        <v>1786</v>
      </c>
      <c r="B638" s="1">
        <v>45782</v>
      </c>
      <c r="C638" t="s">
        <v>1787</v>
      </c>
      <c r="D638" t="s">
        <v>3418</v>
      </c>
      <c r="E638" s="1">
        <v>45787</v>
      </c>
      <c r="F638" t="s">
        <v>68</v>
      </c>
      <c r="G638" t="s">
        <v>66</v>
      </c>
      <c r="H638" t="s">
        <v>67</v>
      </c>
      <c r="I638" t="s">
        <v>2619</v>
      </c>
      <c r="J638" t="s">
        <v>2692</v>
      </c>
      <c r="K638" t="s">
        <v>52</v>
      </c>
      <c r="L638">
        <v>40</v>
      </c>
      <c r="M638">
        <v>4</v>
      </c>
      <c r="N638">
        <v>15</v>
      </c>
      <c r="O638" t="s">
        <v>1788</v>
      </c>
      <c r="P638" t="s">
        <v>33</v>
      </c>
      <c r="Q638" t="s">
        <v>42</v>
      </c>
      <c r="R638" t="s">
        <v>62</v>
      </c>
      <c r="S638" t="s">
        <v>69</v>
      </c>
      <c r="T638">
        <v>1</v>
      </c>
      <c r="U638" s="5">
        <v>732.29</v>
      </c>
      <c r="V638" s="5">
        <v>1871.67</v>
      </c>
      <c r="W638">
        <v>5</v>
      </c>
      <c r="X638" t="s">
        <v>49</v>
      </c>
      <c r="Y638">
        <v>2025</v>
      </c>
      <c r="Z638" t="str">
        <f>TEXT(Table1[[#This Row],[Order Date]],"MMM")</f>
        <v>May</v>
      </c>
      <c r="AA638" s="5">
        <f>Table1[[#This Row],[Unit Price]]*Table1[[#This Row],[Quantity]]*(1-Table1[[#This Row],[Discount %]]/100)</f>
        <v>2489.7859999999996</v>
      </c>
      <c r="AB638" s="5">
        <f>Table1[[#This Row],[Sales]]-Table1[[#This Row],[Cost]]</f>
        <v>618.11599999999953</v>
      </c>
    </row>
    <row r="639" spans="1:28" x14ac:dyDescent="0.3">
      <c r="A639" t="s">
        <v>1789</v>
      </c>
      <c r="B639" s="1">
        <v>45547</v>
      </c>
      <c r="C639" t="s">
        <v>1790</v>
      </c>
      <c r="D639" t="s">
        <v>3419</v>
      </c>
      <c r="E639" s="1">
        <v>45549</v>
      </c>
      <c r="F639" t="s">
        <v>100</v>
      </c>
      <c r="G639" t="s">
        <v>98</v>
      </c>
      <c r="H639" t="s">
        <v>99</v>
      </c>
      <c r="I639" t="s">
        <v>2675</v>
      </c>
      <c r="J639" t="s">
        <v>2681</v>
      </c>
      <c r="K639" t="s">
        <v>52</v>
      </c>
      <c r="L639">
        <v>30</v>
      </c>
      <c r="M639">
        <v>4</v>
      </c>
      <c r="N639">
        <v>20</v>
      </c>
      <c r="O639" t="s">
        <v>1791</v>
      </c>
      <c r="P639" t="s">
        <v>33</v>
      </c>
      <c r="Q639" t="s">
        <v>70</v>
      </c>
      <c r="R639" t="s">
        <v>32</v>
      </c>
      <c r="S639" t="s">
        <v>101</v>
      </c>
      <c r="T639">
        <v>3</v>
      </c>
      <c r="U639" s="5">
        <v>910</v>
      </c>
      <c r="V639" s="5">
        <v>2217.9</v>
      </c>
      <c r="W639">
        <v>2</v>
      </c>
      <c r="X639" t="s">
        <v>45</v>
      </c>
      <c r="Y639">
        <v>2024</v>
      </c>
      <c r="Z639" t="str">
        <f>TEXT(Table1[[#This Row],[Order Date]],"MMM")</f>
        <v>Sep</v>
      </c>
      <c r="AA639" s="5">
        <f>Table1[[#This Row],[Unit Price]]*Table1[[#This Row],[Quantity]]*(1-Table1[[#This Row],[Discount %]]/100)</f>
        <v>2912</v>
      </c>
      <c r="AB639" s="5">
        <f>Table1[[#This Row],[Sales]]-Table1[[#This Row],[Cost]]</f>
        <v>694.09999999999991</v>
      </c>
    </row>
    <row r="640" spans="1:28" x14ac:dyDescent="0.3">
      <c r="A640" t="s">
        <v>1792</v>
      </c>
      <c r="B640" s="1">
        <v>45846</v>
      </c>
      <c r="C640" t="s">
        <v>1793</v>
      </c>
      <c r="D640" t="s">
        <v>3420</v>
      </c>
      <c r="E640" s="1">
        <v>45849</v>
      </c>
      <c r="F640" t="s">
        <v>29</v>
      </c>
      <c r="G640" t="s">
        <v>27</v>
      </c>
      <c r="H640" t="s">
        <v>28</v>
      </c>
      <c r="I640" t="s">
        <v>2664</v>
      </c>
      <c r="J640" t="s">
        <v>2704</v>
      </c>
      <c r="K640" t="s">
        <v>52</v>
      </c>
      <c r="L640">
        <v>64</v>
      </c>
      <c r="M640">
        <v>4</v>
      </c>
      <c r="N640">
        <v>20</v>
      </c>
      <c r="O640" t="s">
        <v>889</v>
      </c>
      <c r="P640" t="s">
        <v>75</v>
      </c>
      <c r="Q640" t="s">
        <v>117</v>
      </c>
      <c r="R640" t="s">
        <v>43</v>
      </c>
      <c r="S640" t="s">
        <v>30</v>
      </c>
      <c r="T640">
        <v>5</v>
      </c>
      <c r="U640" s="5">
        <v>311.19</v>
      </c>
      <c r="V640" s="5">
        <v>656.73</v>
      </c>
      <c r="W640">
        <v>3</v>
      </c>
      <c r="X640" t="s">
        <v>45</v>
      </c>
      <c r="Y640">
        <v>2025</v>
      </c>
      <c r="Z640" t="str">
        <f>TEXT(Table1[[#This Row],[Order Date]],"MMM")</f>
        <v>Jul</v>
      </c>
      <c r="AA640" s="5">
        <f>Table1[[#This Row],[Unit Price]]*Table1[[#This Row],[Quantity]]*(1-Table1[[#This Row],[Discount %]]/100)</f>
        <v>995.80799999999999</v>
      </c>
      <c r="AB640" s="5">
        <f>Table1[[#This Row],[Sales]]-Table1[[#This Row],[Cost]]</f>
        <v>339.07799999999997</v>
      </c>
    </row>
    <row r="641" spans="1:28" x14ac:dyDescent="0.3">
      <c r="A641" t="s">
        <v>1794</v>
      </c>
      <c r="B641" s="1">
        <v>45667</v>
      </c>
      <c r="C641" t="s">
        <v>1795</v>
      </c>
      <c r="D641" t="s">
        <v>3421</v>
      </c>
      <c r="E641" s="1">
        <v>45668</v>
      </c>
      <c r="F641" t="s">
        <v>56</v>
      </c>
      <c r="G641" t="s">
        <v>54</v>
      </c>
      <c r="H641" t="s">
        <v>55</v>
      </c>
      <c r="I641" t="s">
        <v>2650</v>
      </c>
      <c r="J641" t="s">
        <v>2698</v>
      </c>
      <c r="K641" t="s">
        <v>52</v>
      </c>
      <c r="L641">
        <v>23</v>
      </c>
      <c r="M641">
        <v>5</v>
      </c>
      <c r="N641">
        <v>15</v>
      </c>
      <c r="O641" t="s">
        <v>1109</v>
      </c>
      <c r="P641" t="s">
        <v>44</v>
      </c>
      <c r="Q641" t="s">
        <v>58</v>
      </c>
      <c r="R641" t="s">
        <v>43</v>
      </c>
      <c r="S641" t="s">
        <v>57</v>
      </c>
      <c r="T641">
        <v>5</v>
      </c>
      <c r="U641" s="5">
        <v>394.96</v>
      </c>
      <c r="V641" s="5">
        <v>1286.0999999999999</v>
      </c>
      <c r="W641">
        <v>1</v>
      </c>
      <c r="X641" t="s">
        <v>34</v>
      </c>
      <c r="Y641">
        <v>2025</v>
      </c>
      <c r="Z641" t="str">
        <f>TEXT(Table1[[#This Row],[Order Date]],"MMM")</f>
        <v>Jan</v>
      </c>
      <c r="AA641" s="5">
        <f>Table1[[#This Row],[Unit Price]]*Table1[[#This Row],[Quantity]]*(1-Table1[[#This Row],[Discount %]]/100)</f>
        <v>1678.58</v>
      </c>
      <c r="AB641" s="5">
        <f>Table1[[#This Row],[Sales]]-Table1[[#This Row],[Cost]]</f>
        <v>392.48</v>
      </c>
    </row>
    <row r="642" spans="1:28" x14ac:dyDescent="0.3">
      <c r="A642" t="s">
        <v>1796</v>
      </c>
      <c r="B642" s="1">
        <v>46121</v>
      </c>
      <c r="C642" t="s">
        <v>1797</v>
      </c>
      <c r="D642" t="s">
        <v>3422</v>
      </c>
      <c r="E642" s="1">
        <v>46125</v>
      </c>
      <c r="F642" t="s">
        <v>122</v>
      </c>
      <c r="G642" t="s">
        <v>120</v>
      </c>
      <c r="H642" t="s">
        <v>121</v>
      </c>
      <c r="I642" t="s">
        <v>2664</v>
      </c>
      <c r="J642" t="s">
        <v>2678</v>
      </c>
      <c r="K642" t="s">
        <v>52</v>
      </c>
      <c r="L642">
        <v>55</v>
      </c>
      <c r="M642">
        <v>5</v>
      </c>
      <c r="N642">
        <v>10</v>
      </c>
      <c r="O642" t="s">
        <v>1059</v>
      </c>
      <c r="P642" t="s">
        <v>75</v>
      </c>
      <c r="Q642" t="s">
        <v>58</v>
      </c>
      <c r="R642" t="s">
        <v>32</v>
      </c>
      <c r="S642" t="s">
        <v>123</v>
      </c>
      <c r="T642">
        <v>3</v>
      </c>
      <c r="U642" s="5">
        <v>232.45</v>
      </c>
      <c r="V642" s="5">
        <v>547.89</v>
      </c>
      <c r="W642">
        <v>4</v>
      </c>
      <c r="X642" t="s">
        <v>49</v>
      </c>
      <c r="Y642">
        <v>2026</v>
      </c>
      <c r="Z642" t="str">
        <f>TEXT(Table1[[#This Row],[Order Date]],"MMM")</f>
        <v>Apr</v>
      </c>
      <c r="AA642" s="5">
        <f>Table1[[#This Row],[Unit Price]]*Table1[[#This Row],[Quantity]]*(1-Table1[[#This Row],[Discount %]]/100)</f>
        <v>1046.0250000000001</v>
      </c>
      <c r="AB642" s="5">
        <f>Table1[[#This Row],[Sales]]-Table1[[#This Row],[Cost]]</f>
        <v>498.1350000000001</v>
      </c>
    </row>
    <row r="643" spans="1:28" x14ac:dyDescent="0.3">
      <c r="A643" t="s">
        <v>1798</v>
      </c>
      <c r="B643" s="1">
        <v>45414</v>
      </c>
      <c r="C643" t="s">
        <v>1799</v>
      </c>
      <c r="D643" t="s">
        <v>3423</v>
      </c>
      <c r="E643" s="1">
        <v>45415</v>
      </c>
      <c r="F643" t="s">
        <v>122</v>
      </c>
      <c r="G643" t="s">
        <v>120</v>
      </c>
      <c r="H643" t="s">
        <v>121</v>
      </c>
      <c r="I643" t="s">
        <v>2657</v>
      </c>
      <c r="J643" t="s">
        <v>2667</v>
      </c>
      <c r="K643" t="s">
        <v>52</v>
      </c>
      <c r="L643">
        <v>45</v>
      </c>
      <c r="M643">
        <v>3</v>
      </c>
      <c r="N643">
        <v>0</v>
      </c>
      <c r="O643" t="s">
        <v>1669</v>
      </c>
      <c r="P643" t="s">
        <v>75</v>
      </c>
      <c r="Q643" t="s">
        <v>31</v>
      </c>
      <c r="R643" t="s">
        <v>62</v>
      </c>
      <c r="S643" t="s">
        <v>123</v>
      </c>
      <c r="T643">
        <v>2</v>
      </c>
      <c r="U643" s="5">
        <v>172.18</v>
      </c>
      <c r="V643" s="5">
        <v>348.2</v>
      </c>
      <c r="W643">
        <v>1</v>
      </c>
      <c r="X643" t="s">
        <v>49</v>
      </c>
      <c r="Y643">
        <v>2024</v>
      </c>
      <c r="Z643" t="str">
        <f>TEXT(Table1[[#This Row],[Order Date]],"MMM")</f>
        <v>May</v>
      </c>
      <c r="AA643" s="5">
        <f>Table1[[#This Row],[Unit Price]]*Table1[[#This Row],[Quantity]]*(1-Table1[[#This Row],[Discount %]]/100)</f>
        <v>516.54</v>
      </c>
      <c r="AB643" s="5">
        <f>Table1[[#This Row],[Sales]]-Table1[[#This Row],[Cost]]</f>
        <v>168.33999999999997</v>
      </c>
    </row>
    <row r="644" spans="1:28" x14ac:dyDescent="0.3">
      <c r="A644" t="s">
        <v>1800</v>
      </c>
      <c r="B644" s="1">
        <v>45536</v>
      </c>
      <c r="C644" t="s">
        <v>1801</v>
      </c>
      <c r="D644" t="s">
        <v>3424</v>
      </c>
      <c r="E644" s="1">
        <v>45541</v>
      </c>
      <c r="F644" t="s">
        <v>100</v>
      </c>
      <c r="G644" t="s">
        <v>98</v>
      </c>
      <c r="H644" t="s">
        <v>99</v>
      </c>
      <c r="I644" t="s">
        <v>2621</v>
      </c>
      <c r="J644" t="s">
        <v>2663</v>
      </c>
      <c r="K644" t="s">
        <v>25</v>
      </c>
      <c r="L644">
        <v>20</v>
      </c>
      <c r="M644">
        <v>4</v>
      </c>
      <c r="N644">
        <v>10</v>
      </c>
      <c r="O644" t="s">
        <v>1802</v>
      </c>
      <c r="P644" t="s">
        <v>75</v>
      </c>
      <c r="Q644" t="s">
        <v>58</v>
      </c>
      <c r="R644" t="s">
        <v>43</v>
      </c>
      <c r="S644" t="s">
        <v>101</v>
      </c>
      <c r="T644">
        <v>5</v>
      </c>
      <c r="U644" s="5">
        <v>272.16000000000003</v>
      </c>
      <c r="V644" s="5">
        <v>774.21</v>
      </c>
      <c r="W644">
        <v>5</v>
      </c>
      <c r="X644" t="s">
        <v>45</v>
      </c>
      <c r="Y644">
        <v>2024</v>
      </c>
      <c r="Z644" t="str">
        <f>TEXT(Table1[[#This Row],[Order Date]],"MMM")</f>
        <v>Sep</v>
      </c>
      <c r="AA644" s="5">
        <f>Table1[[#This Row],[Unit Price]]*Table1[[#This Row],[Quantity]]*(1-Table1[[#This Row],[Discount %]]/100)</f>
        <v>979.77600000000007</v>
      </c>
      <c r="AB644" s="5">
        <f>Table1[[#This Row],[Sales]]-Table1[[#This Row],[Cost]]</f>
        <v>205.56600000000003</v>
      </c>
    </row>
    <row r="645" spans="1:28" x14ac:dyDescent="0.3">
      <c r="A645" t="s">
        <v>1803</v>
      </c>
      <c r="B645" s="1">
        <v>45663</v>
      </c>
      <c r="C645" t="s">
        <v>1804</v>
      </c>
      <c r="D645" t="s">
        <v>3425</v>
      </c>
      <c r="E645" s="1">
        <v>45670</v>
      </c>
      <c r="F645" t="s">
        <v>56</v>
      </c>
      <c r="G645" t="s">
        <v>54</v>
      </c>
      <c r="H645" t="s">
        <v>55</v>
      </c>
      <c r="I645" t="s">
        <v>2628</v>
      </c>
      <c r="J645" t="s">
        <v>2641</v>
      </c>
      <c r="K645" t="s">
        <v>52</v>
      </c>
      <c r="L645">
        <v>41</v>
      </c>
      <c r="M645">
        <v>3</v>
      </c>
      <c r="N645">
        <v>30</v>
      </c>
      <c r="O645" t="s">
        <v>1805</v>
      </c>
      <c r="P645" t="s">
        <v>75</v>
      </c>
      <c r="Q645" t="s">
        <v>58</v>
      </c>
      <c r="R645" t="s">
        <v>32</v>
      </c>
      <c r="S645" t="s">
        <v>57</v>
      </c>
      <c r="T645">
        <v>3</v>
      </c>
      <c r="U645" s="5">
        <v>776.26</v>
      </c>
      <c r="V645" s="5">
        <v>1331.91</v>
      </c>
      <c r="W645">
        <v>7</v>
      </c>
      <c r="X645" t="s">
        <v>34</v>
      </c>
      <c r="Y645">
        <v>2025</v>
      </c>
      <c r="Z645" t="str">
        <f>TEXT(Table1[[#This Row],[Order Date]],"MMM")</f>
        <v>Jan</v>
      </c>
      <c r="AA645" s="5">
        <f>Table1[[#This Row],[Unit Price]]*Table1[[#This Row],[Quantity]]*(1-Table1[[#This Row],[Discount %]]/100)</f>
        <v>1630.1459999999997</v>
      </c>
      <c r="AB645" s="5">
        <f>Table1[[#This Row],[Sales]]-Table1[[#This Row],[Cost]]</f>
        <v>298.23599999999965</v>
      </c>
    </row>
    <row r="646" spans="1:28" x14ac:dyDescent="0.3">
      <c r="A646" t="s">
        <v>1806</v>
      </c>
      <c r="B646" s="1">
        <v>45749</v>
      </c>
      <c r="C646" t="s">
        <v>1807</v>
      </c>
      <c r="D646" t="s">
        <v>3426</v>
      </c>
      <c r="E646" s="1">
        <v>45753</v>
      </c>
      <c r="F646" t="s">
        <v>40</v>
      </c>
      <c r="G646" t="s">
        <v>38</v>
      </c>
      <c r="H646" t="s">
        <v>39</v>
      </c>
      <c r="I646" t="s">
        <v>2664</v>
      </c>
      <c r="J646" t="s">
        <v>2704</v>
      </c>
      <c r="K646" t="s">
        <v>52</v>
      </c>
      <c r="L646">
        <v>45</v>
      </c>
      <c r="M646">
        <v>5</v>
      </c>
      <c r="N646">
        <v>0</v>
      </c>
      <c r="O646" t="s">
        <v>1295</v>
      </c>
      <c r="P646" t="s">
        <v>44</v>
      </c>
      <c r="Q646" t="s">
        <v>70</v>
      </c>
      <c r="R646" t="s">
        <v>43</v>
      </c>
      <c r="S646" t="s">
        <v>41</v>
      </c>
      <c r="T646">
        <v>2</v>
      </c>
      <c r="U646" s="5">
        <v>770.87</v>
      </c>
      <c r="V646" s="5">
        <v>2195.36</v>
      </c>
      <c r="W646">
        <v>4</v>
      </c>
      <c r="X646" t="s">
        <v>49</v>
      </c>
      <c r="Y646">
        <v>2025</v>
      </c>
      <c r="Z646" t="str">
        <f>TEXT(Table1[[#This Row],[Order Date]],"MMM")</f>
        <v>Apr</v>
      </c>
      <c r="AA646" s="5">
        <f>Table1[[#This Row],[Unit Price]]*Table1[[#This Row],[Quantity]]*(1-Table1[[#This Row],[Discount %]]/100)</f>
        <v>3854.35</v>
      </c>
      <c r="AB646" s="5">
        <f>Table1[[#This Row],[Sales]]-Table1[[#This Row],[Cost]]</f>
        <v>1658.9899999999998</v>
      </c>
    </row>
    <row r="647" spans="1:28" x14ac:dyDescent="0.3">
      <c r="A647" t="s">
        <v>1808</v>
      </c>
      <c r="B647" s="1">
        <v>45659</v>
      </c>
      <c r="C647" t="s">
        <v>1809</v>
      </c>
      <c r="D647" t="s">
        <v>3427</v>
      </c>
      <c r="E647" s="1">
        <v>45666</v>
      </c>
      <c r="F647" t="s">
        <v>115</v>
      </c>
      <c r="G647" t="s">
        <v>66</v>
      </c>
      <c r="H647" t="s">
        <v>114</v>
      </c>
      <c r="I647" t="s">
        <v>2618</v>
      </c>
      <c r="J647" t="s">
        <v>2682</v>
      </c>
      <c r="K647" t="s">
        <v>52</v>
      </c>
      <c r="L647">
        <v>62</v>
      </c>
      <c r="M647">
        <v>4</v>
      </c>
      <c r="N647">
        <v>15</v>
      </c>
      <c r="O647" t="s">
        <v>687</v>
      </c>
      <c r="P647" t="s">
        <v>33</v>
      </c>
      <c r="Q647" t="s">
        <v>70</v>
      </c>
      <c r="R647" t="s">
        <v>43</v>
      </c>
      <c r="S647" t="s">
        <v>116</v>
      </c>
      <c r="T647">
        <v>2</v>
      </c>
      <c r="U647" s="5">
        <v>71.72</v>
      </c>
      <c r="V647" s="5">
        <v>191.49</v>
      </c>
      <c r="W647">
        <v>7</v>
      </c>
      <c r="X647" t="s">
        <v>34</v>
      </c>
      <c r="Y647">
        <v>2025</v>
      </c>
      <c r="Z647" t="str">
        <f>TEXT(Table1[[#This Row],[Order Date]],"MMM")</f>
        <v>Jan</v>
      </c>
      <c r="AA647" s="5">
        <f>Table1[[#This Row],[Unit Price]]*Table1[[#This Row],[Quantity]]*(1-Table1[[#This Row],[Discount %]]/100)</f>
        <v>243.84799999999998</v>
      </c>
      <c r="AB647" s="5">
        <f>Table1[[#This Row],[Sales]]-Table1[[#This Row],[Cost]]</f>
        <v>52.357999999999976</v>
      </c>
    </row>
    <row r="648" spans="1:28" x14ac:dyDescent="0.3">
      <c r="A648" t="s">
        <v>1810</v>
      </c>
      <c r="B648" s="1">
        <v>45461</v>
      </c>
      <c r="C648" t="s">
        <v>1811</v>
      </c>
      <c r="D648" t="s">
        <v>3428</v>
      </c>
      <c r="E648" s="1">
        <v>45466</v>
      </c>
      <c r="F648" t="s">
        <v>40</v>
      </c>
      <c r="G648" t="s">
        <v>38</v>
      </c>
      <c r="H648" t="s">
        <v>39</v>
      </c>
      <c r="I648" t="s">
        <v>2627</v>
      </c>
      <c r="J648" t="s">
        <v>2670</v>
      </c>
      <c r="K648" t="s">
        <v>52</v>
      </c>
      <c r="L648">
        <v>47</v>
      </c>
      <c r="M648">
        <v>5</v>
      </c>
      <c r="N648">
        <v>0</v>
      </c>
      <c r="O648" t="s">
        <v>347</v>
      </c>
      <c r="P648" t="s">
        <v>44</v>
      </c>
      <c r="Q648" t="s">
        <v>31</v>
      </c>
      <c r="R648" t="s">
        <v>62</v>
      </c>
      <c r="S648" t="s">
        <v>41</v>
      </c>
      <c r="T648">
        <v>1</v>
      </c>
      <c r="U648" s="5">
        <v>425.1</v>
      </c>
      <c r="V648" s="5">
        <v>1492.4</v>
      </c>
      <c r="W648">
        <v>5</v>
      </c>
      <c r="X648" t="s">
        <v>49</v>
      </c>
      <c r="Y648">
        <v>2024</v>
      </c>
      <c r="Z648" t="str">
        <f>TEXT(Table1[[#This Row],[Order Date]],"MMM")</f>
        <v>Jun</v>
      </c>
      <c r="AA648" s="5">
        <f>Table1[[#This Row],[Unit Price]]*Table1[[#This Row],[Quantity]]*(1-Table1[[#This Row],[Discount %]]/100)</f>
        <v>2125.5</v>
      </c>
      <c r="AB648" s="5">
        <f>Table1[[#This Row],[Sales]]-Table1[[#This Row],[Cost]]</f>
        <v>633.09999999999991</v>
      </c>
    </row>
    <row r="649" spans="1:28" x14ac:dyDescent="0.3">
      <c r="A649" t="s">
        <v>1812</v>
      </c>
      <c r="B649" s="1">
        <v>46163</v>
      </c>
      <c r="C649" t="s">
        <v>1813</v>
      </c>
      <c r="D649" t="s">
        <v>3429</v>
      </c>
      <c r="E649" s="1">
        <v>46164</v>
      </c>
      <c r="F649" t="s">
        <v>140</v>
      </c>
      <c r="G649" t="s">
        <v>38</v>
      </c>
      <c r="H649" t="s">
        <v>139</v>
      </c>
      <c r="I649" t="s">
        <v>2652</v>
      </c>
      <c r="J649" t="s">
        <v>2708</v>
      </c>
      <c r="K649" t="s">
        <v>52</v>
      </c>
      <c r="L649">
        <v>43</v>
      </c>
      <c r="M649">
        <v>4</v>
      </c>
      <c r="N649">
        <v>20</v>
      </c>
      <c r="O649" t="s">
        <v>1814</v>
      </c>
      <c r="P649" t="s">
        <v>33</v>
      </c>
      <c r="Q649" t="s">
        <v>31</v>
      </c>
      <c r="R649" t="s">
        <v>43</v>
      </c>
      <c r="S649" t="s">
        <v>141</v>
      </c>
      <c r="T649">
        <v>3</v>
      </c>
      <c r="U649" s="5">
        <v>499.31</v>
      </c>
      <c r="V649" s="5">
        <v>1144.54</v>
      </c>
      <c r="W649">
        <v>1</v>
      </c>
      <c r="X649" t="s">
        <v>49</v>
      </c>
      <c r="Y649">
        <v>2026</v>
      </c>
      <c r="Z649" t="str">
        <f>TEXT(Table1[[#This Row],[Order Date]],"MMM")</f>
        <v>May</v>
      </c>
      <c r="AA649" s="5">
        <f>Table1[[#This Row],[Unit Price]]*Table1[[#This Row],[Quantity]]*(1-Table1[[#This Row],[Discount %]]/100)</f>
        <v>1597.7920000000001</v>
      </c>
      <c r="AB649" s="5">
        <f>Table1[[#This Row],[Sales]]-Table1[[#This Row],[Cost]]</f>
        <v>453.25200000000018</v>
      </c>
    </row>
    <row r="650" spans="1:28" x14ac:dyDescent="0.3">
      <c r="A650" t="s">
        <v>1815</v>
      </c>
      <c r="B650" s="1">
        <v>45299</v>
      </c>
      <c r="C650" t="s">
        <v>1816</v>
      </c>
      <c r="D650" t="s">
        <v>3430</v>
      </c>
      <c r="E650" s="1">
        <v>45302</v>
      </c>
      <c r="F650" t="s">
        <v>122</v>
      </c>
      <c r="G650" t="s">
        <v>120</v>
      </c>
      <c r="H650" t="s">
        <v>121</v>
      </c>
      <c r="I650" t="s">
        <v>2675</v>
      </c>
      <c r="J650" t="s">
        <v>2681</v>
      </c>
      <c r="K650" t="s">
        <v>25</v>
      </c>
      <c r="L650">
        <v>24</v>
      </c>
      <c r="M650">
        <v>1</v>
      </c>
      <c r="N650">
        <v>15</v>
      </c>
      <c r="O650" t="s">
        <v>1059</v>
      </c>
      <c r="P650" t="s">
        <v>75</v>
      </c>
      <c r="Q650" t="s">
        <v>117</v>
      </c>
      <c r="R650" t="s">
        <v>43</v>
      </c>
      <c r="S650" t="s">
        <v>123</v>
      </c>
      <c r="T650">
        <v>1</v>
      </c>
      <c r="U650" s="5">
        <v>650.23</v>
      </c>
      <c r="V650" s="5">
        <v>338.6</v>
      </c>
      <c r="W650">
        <v>3</v>
      </c>
      <c r="X650" t="s">
        <v>34</v>
      </c>
      <c r="Y650">
        <v>2024</v>
      </c>
      <c r="Z650" t="str">
        <f>TEXT(Table1[[#This Row],[Order Date]],"MMM")</f>
        <v>Jan</v>
      </c>
      <c r="AA650" s="5">
        <f>Table1[[#This Row],[Unit Price]]*Table1[[#This Row],[Quantity]]*(1-Table1[[#This Row],[Discount %]]/100)</f>
        <v>552.69550000000004</v>
      </c>
      <c r="AB650" s="5">
        <f>Table1[[#This Row],[Sales]]-Table1[[#This Row],[Cost]]</f>
        <v>214.09550000000002</v>
      </c>
    </row>
    <row r="651" spans="1:28" x14ac:dyDescent="0.3">
      <c r="A651" t="s">
        <v>1817</v>
      </c>
      <c r="B651" s="1">
        <v>46052</v>
      </c>
      <c r="C651" t="s">
        <v>1818</v>
      </c>
      <c r="D651" t="s">
        <v>3431</v>
      </c>
      <c r="E651" s="1">
        <v>46055</v>
      </c>
      <c r="F651" t="s">
        <v>122</v>
      </c>
      <c r="G651" t="s">
        <v>120</v>
      </c>
      <c r="H651" t="s">
        <v>121</v>
      </c>
      <c r="I651" t="s">
        <v>2675</v>
      </c>
      <c r="J651" t="s">
        <v>2703</v>
      </c>
      <c r="K651" t="s">
        <v>52</v>
      </c>
      <c r="L651">
        <v>26</v>
      </c>
      <c r="M651">
        <v>2</v>
      </c>
      <c r="N651">
        <v>15</v>
      </c>
      <c r="O651" t="s">
        <v>899</v>
      </c>
      <c r="P651" t="s">
        <v>75</v>
      </c>
      <c r="Q651" t="s">
        <v>31</v>
      </c>
      <c r="R651" t="s">
        <v>62</v>
      </c>
      <c r="S651" t="s">
        <v>123</v>
      </c>
      <c r="T651">
        <v>2</v>
      </c>
      <c r="U651" s="5">
        <v>268.19</v>
      </c>
      <c r="V651" s="5">
        <v>345.97</v>
      </c>
      <c r="W651">
        <v>3</v>
      </c>
      <c r="X651" t="s">
        <v>34</v>
      </c>
      <c r="Y651">
        <v>2026</v>
      </c>
      <c r="Z651" t="str">
        <f>TEXT(Table1[[#This Row],[Order Date]],"MMM")</f>
        <v>Jan</v>
      </c>
      <c r="AA651" s="5">
        <f>Table1[[#This Row],[Unit Price]]*Table1[[#This Row],[Quantity]]*(1-Table1[[#This Row],[Discount %]]/100)</f>
        <v>455.923</v>
      </c>
      <c r="AB651" s="5">
        <f>Table1[[#This Row],[Sales]]-Table1[[#This Row],[Cost]]</f>
        <v>109.95299999999997</v>
      </c>
    </row>
    <row r="652" spans="1:28" x14ac:dyDescent="0.3">
      <c r="A652" t="s">
        <v>1819</v>
      </c>
      <c r="B652" s="1">
        <v>45802</v>
      </c>
      <c r="C652" t="s">
        <v>1820</v>
      </c>
      <c r="D652" t="s">
        <v>3432</v>
      </c>
      <c r="E652" s="1">
        <v>45807</v>
      </c>
      <c r="F652" t="s">
        <v>122</v>
      </c>
      <c r="G652" t="s">
        <v>120</v>
      </c>
      <c r="H652" t="s">
        <v>121</v>
      </c>
      <c r="I652" t="s">
        <v>2628</v>
      </c>
      <c r="J652" t="s">
        <v>2641</v>
      </c>
      <c r="K652" t="s">
        <v>52</v>
      </c>
      <c r="L652">
        <v>20</v>
      </c>
      <c r="M652">
        <v>4</v>
      </c>
      <c r="N652">
        <v>15</v>
      </c>
      <c r="O652" t="s">
        <v>1821</v>
      </c>
      <c r="P652" t="s">
        <v>75</v>
      </c>
      <c r="Q652" t="s">
        <v>42</v>
      </c>
      <c r="R652" t="s">
        <v>71</v>
      </c>
      <c r="S652" t="s">
        <v>123</v>
      </c>
      <c r="T652">
        <v>3</v>
      </c>
      <c r="U652" s="5">
        <v>796.92</v>
      </c>
      <c r="V652" s="5">
        <v>1946.25</v>
      </c>
      <c r="W652">
        <v>5</v>
      </c>
      <c r="X652" t="s">
        <v>49</v>
      </c>
      <c r="Y652">
        <v>2025</v>
      </c>
      <c r="Z652" t="str">
        <f>TEXT(Table1[[#This Row],[Order Date]],"MMM")</f>
        <v>May</v>
      </c>
      <c r="AA652" s="5">
        <f>Table1[[#This Row],[Unit Price]]*Table1[[#This Row],[Quantity]]*(1-Table1[[#This Row],[Discount %]]/100)</f>
        <v>2709.5279999999998</v>
      </c>
      <c r="AB652" s="5">
        <f>Table1[[#This Row],[Sales]]-Table1[[#This Row],[Cost]]</f>
        <v>763.27799999999979</v>
      </c>
    </row>
    <row r="653" spans="1:28" x14ac:dyDescent="0.3">
      <c r="A653" t="s">
        <v>1822</v>
      </c>
      <c r="B653" s="1">
        <v>45342</v>
      </c>
      <c r="C653" t="s">
        <v>1823</v>
      </c>
      <c r="D653" t="s">
        <v>3433</v>
      </c>
      <c r="E653" s="1">
        <v>45344</v>
      </c>
      <c r="F653" t="s">
        <v>29</v>
      </c>
      <c r="G653" t="s">
        <v>27</v>
      </c>
      <c r="H653" t="s">
        <v>28</v>
      </c>
      <c r="I653" t="s">
        <v>2628</v>
      </c>
      <c r="J653" t="s">
        <v>2641</v>
      </c>
      <c r="K653" t="s">
        <v>25</v>
      </c>
      <c r="L653">
        <v>35</v>
      </c>
      <c r="M653">
        <v>3</v>
      </c>
      <c r="N653">
        <v>20</v>
      </c>
      <c r="O653" t="s">
        <v>1180</v>
      </c>
      <c r="P653" t="s">
        <v>33</v>
      </c>
      <c r="Q653" t="s">
        <v>31</v>
      </c>
      <c r="R653" t="s">
        <v>62</v>
      </c>
      <c r="S653" t="s">
        <v>30</v>
      </c>
      <c r="T653">
        <v>4</v>
      </c>
      <c r="U653" s="5">
        <v>605.34</v>
      </c>
      <c r="V653" s="5">
        <v>1064.9000000000001</v>
      </c>
      <c r="W653">
        <v>2</v>
      </c>
      <c r="X653" t="s">
        <v>34</v>
      </c>
      <c r="Y653">
        <v>2024</v>
      </c>
      <c r="Z653" t="str">
        <f>TEXT(Table1[[#This Row],[Order Date]],"MMM")</f>
        <v>Feb</v>
      </c>
      <c r="AA653" s="5">
        <f>Table1[[#This Row],[Unit Price]]*Table1[[#This Row],[Quantity]]*(1-Table1[[#This Row],[Discount %]]/100)</f>
        <v>1452.816</v>
      </c>
      <c r="AB653" s="5">
        <f>Table1[[#This Row],[Sales]]-Table1[[#This Row],[Cost]]</f>
        <v>387.91599999999994</v>
      </c>
    </row>
    <row r="654" spans="1:28" x14ac:dyDescent="0.3">
      <c r="A654" t="s">
        <v>1824</v>
      </c>
      <c r="B654" s="1">
        <v>45968</v>
      </c>
      <c r="C654" t="s">
        <v>1825</v>
      </c>
      <c r="D654" t="s">
        <v>3434</v>
      </c>
      <c r="E654" s="1">
        <v>45975</v>
      </c>
      <c r="F654" t="s">
        <v>128</v>
      </c>
      <c r="G654" t="s">
        <v>98</v>
      </c>
      <c r="H654" t="s">
        <v>127</v>
      </c>
      <c r="I654" t="s">
        <v>2619</v>
      </c>
      <c r="J654" t="s">
        <v>2687</v>
      </c>
      <c r="K654" t="s">
        <v>52</v>
      </c>
      <c r="L654">
        <v>60</v>
      </c>
      <c r="M654">
        <v>4</v>
      </c>
      <c r="N654">
        <v>5</v>
      </c>
      <c r="O654" t="s">
        <v>291</v>
      </c>
      <c r="P654" t="s">
        <v>44</v>
      </c>
      <c r="Q654" t="s">
        <v>42</v>
      </c>
      <c r="R654" t="s">
        <v>71</v>
      </c>
      <c r="S654" t="s">
        <v>129</v>
      </c>
      <c r="T654">
        <v>3</v>
      </c>
      <c r="U654" s="5">
        <v>826.33</v>
      </c>
      <c r="V654" s="5">
        <v>2057.62</v>
      </c>
      <c r="W654">
        <v>7</v>
      </c>
      <c r="X654" t="s">
        <v>94</v>
      </c>
      <c r="Y654">
        <v>2025</v>
      </c>
      <c r="Z654" t="str">
        <f>TEXT(Table1[[#This Row],[Order Date]],"MMM")</f>
        <v>Nov</v>
      </c>
      <c r="AA654" s="5">
        <f>Table1[[#This Row],[Unit Price]]*Table1[[#This Row],[Quantity]]*(1-Table1[[#This Row],[Discount %]]/100)</f>
        <v>3140.0540000000001</v>
      </c>
      <c r="AB654" s="5">
        <f>Table1[[#This Row],[Sales]]-Table1[[#This Row],[Cost]]</f>
        <v>1082.4340000000002</v>
      </c>
    </row>
    <row r="655" spans="1:28" x14ac:dyDescent="0.3">
      <c r="A655" t="s">
        <v>1826</v>
      </c>
      <c r="B655" s="1">
        <v>45417</v>
      </c>
      <c r="C655" t="s">
        <v>1827</v>
      </c>
      <c r="D655" t="s">
        <v>3435</v>
      </c>
      <c r="E655" s="1">
        <v>45419</v>
      </c>
      <c r="F655" t="s">
        <v>122</v>
      </c>
      <c r="G655" t="s">
        <v>120</v>
      </c>
      <c r="H655" t="s">
        <v>121</v>
      </c>
      <c r="I655" t="s">
        <v>2631</v>
      </c>
      <c r="J655" t="s">
        <v>2639</v>
      </c>
      <c r="K655" t="s">
        <v>52</v>
      </c>
      <c r="L655">
        <v>21</v>
      </c>
      <c r="M655">
        <v>1</v>
      </c>
      <c r="N655">
        <v>30</v>
      </c>
      <c r="O655" t="s">
        <v>920</v>
      </c>
      <c r="P655" t="s">
        <v>44</v>
      </c>
      <c r="Q655" t="s">
        <v>70</v>
      </c>
      <c r="R655" t="s">
        <v>71</v>
      </c>
      <c r="S655" t="s">
        <v>123</v>
      </c>
      <c r="T655">
        <v>2</v>
      </c>
      <c r="U655" s="5">
        <v>355.64</v>
      </c>
      <c r="V655" s="5">
        <v>139.44</v>
      </c>
      <c r="W655">
        <v>2</v>
      </c>
      <c r="X655" t="s">
        <v>49</v>
      </c>
      <c r="Y655">
        <v>2024</v>
      </c>
      <c r="Z655" t="str">
        <f>TEXT(Table1[[#This Row],[Order Date]],"MMM")</f>
        <v>May</v>
      </c>
      <c r="AA655" s="5">
        <f>Table1[[#This Row],[Unit Price]]*Table1[[#This Row],[Quantity]]*(1-Table1[[#This Row],[Discount %]]/100)</f>
        <v>248.94799999999998</v>
      </c>
      <c r="AB655" s="5">
        <f>Table1[[#This Row],[Sales]]-Table1[[#This Row],[Cost]]</f>
        <v>109.50799999999998</v>
      </c>
    </row>
    <row r="656" spans="1:28" x14ac:dyDescent="0.3">
      <c r="A656" t="s">
        <v>1828</v>
      </c>
      <c r="B656" s="1">
        <v>45556</v>
      </c>
      <c r="C656" t="s">
        <v>1829</v>
      </c>
      <c r="D656" t="s">
        <v>3436</v>
      </c>
      <c r="E656" s="1">
        <v>45558</v>
      </c>
      <c r="F656" t="s">
        <v>29</v>
      </c>
      <c r="G656" t="s">
        <v>27</v>
      </c>
      <c r="H656" t="s">
        <v>28</v>
      </c>
      <c r="I656" t="s">
        <v>2629</v>
      </c>
      <c r="J656" t="s">
        <v>2632</v>
      </c>
      <c r="K656" t="s">
        <v>25</v>
      </c>
      <c r="L656">
        <v>33</v>
      </c>
      <c r="M656">
        <v>5</v>
      </c>
      <c r="N656">
        <v>10</v>
      </c>
      <c r="O656" t="s">
        <v>1830</v>
      </c>
      <c r="P656" t="s">
        <v>44</v>
      </c>
      <c r="Q656" t="s">
        <v>42</v>
      </c>
      <c r="R656" t="s">
        <v>62</v>
      </c>
      <c r="S656" t="s">
        <v>30</v>
      </c>
      <c r="T656">
        <v>2</v>
      </c>
      <c r="U656" s="5">
        <v>664.73</v>
      </c>
      <c r="V656" s="5">
        <v>1826.07</v>
      </c>
      <c r="W656">
        <v>2</v>
      </c>
      <c r="X656" t="s">
        <v>45</v>
      </c>
      <c r="Y656">
        <v>2024</v>
      </c>
      <c r="Z656" t="str">
        <f>TEXT(Table1[[#This Row],[Order Date]],"MMM")</f>
        <v>Sep</v>
      </c>
      <c r="AA656" s="5">
        <f>Table1[[#This Row],[Unit Price]]*Table1[[#This Row],[Quantity]]*(1-Table1[[#This Row],[Discount %]]/100)</f>
        <v>2991.2850000000003</v>
      </c>
      <c r="AB656" s="5">
        <f>Table1[[#This Row],[Sales]]-Table1[[#This Row],[Cost]]</f>
        <v>1165.2150000000004</v>
      </c>
    </row>
    <row r="657" spans="1:28" x14ac:dyDescent="0.3">
      <c r="A657" t="s">
        <v>1831</v>
      </c>
      <c r="B657" s="1">
        <v>45539</v>
      </c>
      <c r="C657" t="s">
        <v>1832</v>
      </c>
      <c r="D657" t="s">
        <v>3437</v>
      </c>
      <c r="E657" s="1">
        <v>45540</v>
      </c>
      <c r="F657" t="s">
        <v>140</v>
      </c>
      <c r="G657" t="s">
        <v>38</v>
      </c>
      <c r="H657" t="s">
        <v>139</v>
      </c>
      <c r="I657" t="s">
        <v>2627</v>
      </c>
      <c r="J657" t="s">
        <v>2690</v>
      </c>
      <c r="K657" t="s">
        <v>25</v>
      </c>
      <c r="L657">
        <v>64</v>
      </c>
      <c r="M657">
        <v>5</v>
      </c>
      <c r="N657">
        <v>5</v>
      </c>
      <c r="O657" t="s">
        <v>156</v>
      </c>
      <c r="P657" t="s">
        <v>44</v>
      </c>
      <c r="Q657" t="s">
        <v>58</v>
      </c>
      <c r="R657" t="s">
        <v>71</v>
      </c>
      <c r="S657" t="s">
        <v>141</v>
      </c>
      <c r="T657">
        <v>5</v>
      </c>
      <c r="U657" s="5">
        <v>303.98</v>
      </c>
      <c r="V657" s="5">
        <v>865.91</v>
      </c>
      <c r="W657">
        <v>1</v>
      </c>
      <c r="X657" t="s">
        <v>45</v>
      </c>
      <c r="Y657">
        <v>2024</v>
      </c>
      <c r="Z657" t="str">
        <f>TEXT(Table1[[#This Row],[Order Date]],"MMM")</f>
        <v>Sep</v>
      </c>
      <c r="AA657" s="5">
        <f>Table1[[#This Row],[Unit Price]]*Table1[[#This Row],[Quantity]]*(1-Table1[[#This Row],[Discount %]]/100)</f>
        <v>1443.905</v>
      </c>
      <c r="AB657" s="5">
        <f>Table1[[#This Row],[Sales]]-Table1[[#This Row],[Cost]]</f>
        <v>577.995</v>
      </c>
    </row>
    <row r="658" spans="1:28" x14ac:dyDescent="0.3">
      <c r="A658" t="s">
        <v>1833</v>
      </c>
      <c r="B658" s="1">
        <v>45454</v>
      </c>
      <c r="C658" t="s">
        <v>1834</v>
      </c>
      <c r="D658" t="s">
        <v>3438</v>
      </c>
      <c r="E658" s="1">
        <v>45455</v>
      </c>
      <c r="F658" t="s">
        <v>128</v>
      </c>
      <c r="G658" t="s">
        <v>98</v>
      </c>
      <c r="H658" t="s">
        <v>127</v>
      </c>
      <c r="I658" t="s">
        <v>2671</v>
      </c>
      <c r="J658" t="s">
        <v>2672</v>
      </c>
      <c r="K658" t="s">
        <v>25</v>
      </c>
      <c r="L658">
        <v>28</v>
      </c>
      <c r="M658">
        <v>2</v>
      </c>
      <c r="N658">
        <v>30</v>
      </c>
      <c r="O658" t="s">
        <v>791</v>
      </c>
      <c r="P658" t="s">
        <v>44</v>
      </c>
      <c r="Q658" t="s">
        <v>117</v>
      </c>
      <c r="R658" t="s">
        <v>62</v>
      </c>
      <c r="S658" t="s">
        <v>129</v>
      </c>
      <c r="T658">
        <v>3</v>
      </c>
      <c r="U658" s="5">
        <v>221.27</v>
      </c>
      <c r="V658" s="5">
        <v>230.44</v>
      </c>
      <c r="W658">
        <v>1</v>
      </c>
      <c r="X658" t="s">
        <v>49</v>
      </c>
      <c r="Y658">
        <v>2024</v>
      </c>
      <c r="Z658" t="str">
        <f>TEXT(Table1[[#This Row],[Order Date]],"MMM")</f>
        <v>Jun</v>
      </c>
      <c r="AA658" s="5">
        <f>Table1[[#This Row],[Unit Price]]*Table1[[#This Row],[Quantity]]*(1-Table1[[#This Row],[Discount %]]/100)</f>
        <v>309.77800000000002</v>
      </c>
      <c r="AB658" s="5">
        <f>Table1[[#This Row],[Sales]]-Table1[[#This Row],[Cost]]</f>
        <v>79.338000000000022</v>
      </c>
    </row>
    <row r="659" spans="1:28" x14ac:dyDescent="0.3">
      <c r="A659" t="s">
        <v>1835</v>
      </c>
      <c r="B659" s="1">
        <v>45908</v>
      </c>
      <c r="C659" t="s">
        <v>1836</v>
      </c>
      <c r="D659" t="s">
        <v>3439</v>
      </c>
      <c r="E659" s="1">
        <v>45909</v>
      </c>
      <c r="F659" t="s">
        <v>29</v>
      </c>
      <c r="G659" t="s">
        <v>27</v>
      </c>
      <c r="H659" t="s">
        <v>28</v>
      </c>
      <c r="I659" t="s">
        <v>2623</v>
      </c>
      <c r="J659" t="s">
        <v>2694</v>
      </c>
      <c r="K659" t="s">
        <v>52</v>
      </c>
      <c r="L659">
        <v>64</v>
      </c>
      <c r="M659">
        <v>5</v>
      </c>
      <c r="N659">
        <v>30</v>
      </c>
      <c r="O659" t="s">
        <v>1837</v>
      </c>
      <c r="P659" t="s">
        <v>75</v>
      </c>
      <c r="Q659" t="s">
        <v>42</v>
      </c>
      <c r="R659" t="s">
        <v>71</v>
      </c>
      <c r="S659" t="s">
        <v>30</v>
      </c>
      <c r="T659">
        <v>2</v>
      </c>
      <c r="U659" s="5">
        <v>245.94</v>
      </c>
      <c r="V659" s="5">
        <v>672.19</v>
      </c>
      <c r="W659">
        <v>1</v>
      </c>
      <c r="X659" t="s">
        <v>45</v>
      </c>
      <c r="Y659">
        <v>2025</v>
      </c>
      <c r="Z659" t="str">
        <f>TEXT(Table1[[#This Row],[Order Date]],"MMM")</f>
        <v>Sep</v>
      </c>
      <c r="AA659" s="5">
        <f>Table1[[#This Row],[Unit Price]]*Table1[[#This Row],[Quantity]]*(1-Table1[[#This Row],[Discount %]]/100)</f>
        <v>860.79</v>
      </c>
      <c r="AB659" s="5">
        <f>Table1[[#This Row],[Sales]]-Table1[[#This Row],[Cost]]</f>
        <v>188.59999999999991</v>
      </c>
    </row>
    <row r="660" spans="1:28" x14ac:dyDescent="0.3">
      <c r="A660" t="s">
        <v>1838</v>
      </c>
      <c r="B660" s="1">
        <v>45908</v>
      </c>
      <c r="C660" t="s">
        <v>1839</v>
      </c>
      <c r="D660" t="s">
        <v>3440</v>
      </c>
      <c r="E660" s="1">
        <v>45912</v>
      </c>
      <c r="F660" t="s">
        <v>40</v>
      </c>
      <c r="G660" t="s">
        <v>38</v>
      </c>
      <c r="H660" t="s">
        <v>39</v>
      </c>
      <c r="I660" t="s">
        <v>2627</v>
      </c>
      <c r="J660" t="s">
        <v>2670</v>
      </c>
      <c r="K660" t="s">
        <v>25</v>
      </c>
      <c r="L660">
        <v>63</v>
      </c>
      <c r="M660">
        <v>5</v>
      </c>
      <c r="N660">
        <v>30</v>
      </c>
      <c r="O660" t="s">
        <v>877</v>
      </c>
      <c r="P660" t="s">
        <v>33</v>
      </c>
      <c r="Q660" t="s">
        <v>70</v>
      </c>
      <c r="R660" t="s">
        <v>32</v>
      </c>
      <c r="S660" t="s">
        <v>41</v>
      </c>
      <c r="T660">
        <v>4</v>
      </c>
      <c r="U660" s="5">
        <v>174.85</v>
      </c>
      <c r="V660" s="5">
        <v>386.74</v>
      </c>
      <c r="W660">
        <v>4</v>
      </c>
      <c r="X660" t="s">
        <v>45</v>
      </c>
      <c r="Y660">
        <v>2025</v>
      </c>
      <c r="Z660" t="str">
        <f>TEXT(Table1[[#This Row],[Order Date]],"MMM")</f>
        <v>Sep</v>
      </c>
      <c r="AA660" s="5">
        <f>Table1[[#This Row],[Unit Price]]*Table1[[#This Row],[Quantity]]*(1-Table1[[#This Row],[Discount %]]/100)</f>
        <v>611.97499999999991</v>
      </c>
      <c r="AB660" s="5">
        <f>Table1[[#This Row],[Sales]]-Table1[[#This Row],[Cost]]</f>
        <v>225.2349999999999</v>
      </c>
    </row>
    <row r="661" spans="1:28" x14ac:dyDescent="0.3">
      <c r="A661" t="s">
        <v>1840</v>
      </c>
      <c r="B661" s="1">
        <v>46032</v>
      </c>
      <c r="C661" t="s">
        <v>1841</v>
      </c>
      <c r="D661" t="s">
        <v>3441</v>
      </c>
      <c r="E661" s="1">
        <v>46035</v>
      </c>
      <c r="F661" t="s">
        <v>115</v>
      </c>
      <c r="G661" t="s">
        <v>66</v>
      </c>
      <c r="H661" t="s">
        <v>114</v>
      </c>
      <c r="I661" t="s">
        <v>2664</v>
      </c>
      <c r="J661" t="s">
        <v>2704</v>
      </c>
      <c r="K661" t="s">
        <v>52</v>
      </c>
      <c r="L661">
        <v>19</v>
      </c>
      <c r="M661">
        <v>5</v>
      </c>
      <c r="N661">
        <v>5</v>
      </c>
      <c r="O661" t="s">
        <v>583</v>
      </c>
      <c r="P661" t="s">
        <v>44</v>
      </c>
      <c r="Q661" t="s">
        <v>42</v>
      </c>
      <c r="R661" t="s">
        <v>32</v>
      </c>
      <c r="S661" t="s">
        <v>116</v>
      </c>
      <c r="T661">
        <v>2</v>
      </c>
      <c r="U661" s="5">
        <v>608.64</v>
      </c>
      <c r="V661" s="5">
        <v>2056.52</v>
      </c>
      <c r="W661">
        <v>3</v>
      </c>
      <c r="X661" t="s">
        <v>34</v>
      </c>
      <c r="Y661">
        <v>2026</v>
      </c>
      <c r="Z661" t="str">
        <f>TEXT(Table1[[#This Row],[Order Date]],"MMM")</f>
        <v>Jan</v>
      </c>
      <c r="AA661" s="5">
        <f>Table1[[#This Row],[Unit Price]]*Table1[[#This Row],[Quantity]]*(1-Table1[[#This Row],[Discount %]]/100)</f>
        <v>2891.0399999999995</v>
      </c>
      <c r="AB661" s="5">
        <f>Table1[[#This Row],[Sales]]-Table1[[#This Row],[Cost]]</f>
        <v>834.51999999999953</v>
      </c>
    </row>
    <row r="662" spans="1:28" x14ac:dyDescent="0.3">
      <c r="A662" t="s">
        <v>1842</v>
      </c>
      <c r="B662" s="1">
        <v>45299</v>
      </c>
      <c r="C662" t="s">
        <v>1843</v>
      </c>
      <c r="D662" t="s">
        <v>3442</v>
      </c>
      <c r="E662" s="1">
        <v>45300</v>
      </c>
      <c r="F662" t="s">
        <v>140</v>
      </c>
      <c r="G662" t="s">
        <v>38</v>
      </c>
      <c r="H662" t="s">
        <v>139</v>
      </c>
      <c r="I662" t="s">
        <v>2618</v>
      </c>
      <c r="J662" t="s">
        <v>2618</v>
      </c>
      <c r="K662" t="s">
        <v>52</v>
      </c>
      <c r="L662">
        <v>62</v>
      </c>
      <c r="M662">
        <v>5</v>
      </c>
      <c r="N662">
        <v>10</v>
      </c>
      <c r="O662" t="s">
        <v>1155</v>
      </c>
      <c r="P662" t="s">
        <v>33</v>
      </c>
      <c r="Q662" t="s">
        <v>70</v>
      </c>
      <c r="R662" t="s">
        <v>71</v>
      </c>
      <c r="S662" t="s">
        <v>141</v>
      </c>
      <c r="T662">
        <v>3</v>
      </c>
      <c r="U662" s="5">
        <v>581.39</v>
      </c>
      <c r="V662" s="5">
        <v>1680.44</v>
      </c>
      <c r="W662">
        <v>1</v>
      </c>
      <c r="X662" t="s">
        <v>34</v>
      </c>
      <c r="Y662">
        <v>2024</v>
      </c>
      <c r="Z662" t="str">
        <f>TEXT(Table1[[#This Row],[Order Date]],"MMM")</f>
        <v>Jan</v>
      </c>
      <c r="AA662" s="5">
        <f>Table1[[#This Row],[Unit Price]]*Table1[[#This Row],[Quantity]]*(1-Table1[[#This Row],[Discount %]]/100)</f>
        <v>2616.2550000000001</v>
      </c>
      <c r="AB662" s="5">
        <f>Table1[[#This Row],[Sales]]-Table1[[#This Row],[Cost]]</f>
        <v>935.81500000000005</v>
      </c>
    </row>
    <row r="663" spans="1:28" x14ac:dyDescent="0.3">
      <c r="A663" t="s">
        <v>1844</v>
      </c>
      <c r="B663" s="1">
        <v>45497</v>
      </c>
      <c r="C663" t="s">
        <v>1845</v>
      </c>
      <c r="D663" t="s">
        <v>3443</v>
      </c>
      <c r="E663" s="1">
        <v>45502</v>
      </c>
      <c r="F663" t="s">
        <v>40</v>
      </c>
      <c r="G663" t="s">
        <v>38</v>
      </c>
      <c r="H663" t="s">
        <v>39</v>
      </c>
      <c r="I663" t="s">
        <v>2659</v>
      </c>
      <c r="J663" t="s">
        <v>2666</v>
      </c>
      <c r="K663" t="s">
        <v>52</v>
      </c>
      <c r="L663">
        <v>23</v>
      </c>
      <c r="M663">
        <v>1</v>
      </c>
      <c r="N663">
        <v>0</v>
      </c>
      <c r="O663" t="s">
        <v>1610</v>
      </c>
      <c r="P663" t="s">
        <v>75</v>
      </c>
      <c r="Q663" t="s">
        <v>117</v>
      </c>
      <c r="R663" t="s">
        <v>62</v>
      </c>
      <c r="S663" t="s">
        <v>41</v>
      </c>
      <c r="T663">
        <v>1</v>
      </c>
      <c r="U663" s="5">
        <v>927.18</v>
      </c>
      <c r="V663" s="5">
        <v>759.06</v>
      </c>
      <c r="W663">
        <v>5</v>
      </c>
      <c r="X663" t="s">
        <v>45</v>
      </c>
      <c r="Y663">
        <v>2024</v>
      </c>
      <c r="Z663" t="str">
        <f>TEXT(Table1[[#This Row],[Order Date]],"MMM")</f>
        <v>Jul</v>
      </c>
      <c r="AA663" s="5">
        <f>Table1[[#This Row],[Unit Price]]*Table1[[#This Row],[Quantity]]*(1-Table1[[#This Row],[Discount %]]/100)</f>
        <v>927.18</v>
      </c>
      <c r="AB663" s="5">
        <f>Table1[[#This Row],[Sales]]-Table1[[#This Row],[Cost]]</f>
        <v>168.12</v>
      </c>
    </row>
    <row r="664" spans="1:28" x14ac:dyDescent="0.3">
      <c r="A664" t="s">
        <v>1846</v>
      </c>
      <c r="B664" s="1">
        <v>45983</v>
      </c>
      <c r="C664" t="s">
        <v>1847</v>
      </c>
      <c r="D664" t="s">
        <v>3444</v>
      </c>
      <c r="E664" s="1">
        <v>45990</v>
      </c>
      <c r="F664" t="s">
        <v>100</v>
      </c>
      <c r="G664" t="s">
        <v>98</v>
      </c>
      <c r="H664" t="s">
        <v>99</v>
      </c>
      <c r="I664" t="s">
        <v>2627</v>
      </c>
      <c r="J664" t="s">
        <v>2707</v>
      </c>
      <c r="K664" t="s">
        <v>52</v>
      </c>
      <c r="L664">
        <v>56</v>
      </c>
      <c r="M664">
        <v>2</v>
      </c>
      <c r="N664">
        <v>10</v>
      </c>
      <c r="O664" t="s">
        <v>1848</v>
      </c>
      <c r="P664" t="s">
        <v>33</v>
      </c>
      <c r="Q664" t="s">
        <v>117</v>
      </c>
      <c r="R664" t="s">
        <v>71</v>
      </c>
      <c r="S664" t="s">
        <v>101</v>
      </c>
      <c r="T664">
        <v>2</v>
      </c>
      <c r="U664" s="5">
        <v>746.92</v>
      </c>
      <c r="V664" s="5">
        <v>968.73</v>
      </c>
      <c r="W664">
        <v>7</v>
      </c>
      <c r="X664" t="s">
        <v>94</v>
      </c>
      <c r="Y664">
        <v>2025</v>
      </c>
      <c r="Z664" t="str">
        <f>TEXT(Table1[[#This Row],[Order Date]],"MMM")</f>
        <v>Nov</v>
      </c>
      <c r="AA664" s="5">
        <f>Table1[[#This Row],[Unit Price]]*Table1[[#This Row],[Quantity]]*(1-Table1[[#This Row],[Discount %]]/100)</f>
        <v>1344.4559999999999</v>
      </c>
      <c r="AB664" s="5">
        <f>Table1[[#This Row],[Sales]]-Table1[[#This Row],[Cost]]</f>
        <v>375.72599999999989</v>
      </c>
    </row>
    <row r="665" spans="1:28" x14ac:dyDescent="0.3">
      <c r="A665" t="s">
        <v>1849</v>
      </c>
      <c r="B665" s="1">
        <v>45637</v>
      </c>
      <c r="C665" t="s">
        <v>1850</v>
      </c>
      <c r="D665" t="s">
        <v>3445</v>
      </c>
      <c r="E665" s="1">
        <v>45641</v>
      </c>
      <c r="F665" t="s">
        <v>56</v>
      </c>
      <c r="G665" t="s">
        <v>54</v>
      </c>
      <c r="H665" t="s">
        <v>55</v>
      </c>
      <c r="I665" t="s">
        <v>2628</v>
      </c>
      <c r="J665" t="s">
        <v>2642</v>
      </c>
      <c r="K665" t="s">
        <v>25</v>
      </c>
      <c r="L665">
        <v>57</v>
      </c>
      <c r="M665">
        <v>2</v>
      </c>
      <c r="N665">
        <v>10</v>
      </c>
      <c r="O665" t="s">
        <v>1689</v>
      </c>
      <c r="P665" t="s">
        <v>75</v>
      </c>
      <c r="Q665" t="s">
        <v>58</v>
      </c>
      <c r="R665" t="s">
        <v>32</v>
      </c>
      <c r="S665" t="s">
        <v>57</v>
      </c>
      <c r="T665">
        <v>1</v>
      </c>
      <c r="U665" s="5">
        <v>398.73</v>
      </c>
      <c r="V665" s="5">
        <v>601.52</v>
      </c>
      <c r="W665">
        <v>4</v>
      </c>
      <c r="X665" t="s">
        <v>94</v>
      </c>
      <c r="Y665">
        <v>2024</v>
      </c>
      <c r="Z665" t="str">
        <f>TEXT(Table1[[#This Row],[Order Date]],"MMM")</f>
        <v>Dec</v>
      </c>
      <c r="AA665" s="5">
        <f>Table1[[#This Row],[Unit Price]]*Table1[[#This Row],[Quantity]]*(1-Table1[[#This Row],[Discount %]]/100)</f>
        <v>717.71400000000006</v>
      </c>
      <c r="AB665" s="5">
        <f>Table1[[#This Row],[Sales]]-Table1[[#This Row],[Cost]]</f>
        <v>116.19400000000007</v>
      </c>
    </row>
    <row r="666" spans="1:28" x14ac:dyDescent="0.3">
      <c r="A666" t="s">
        <v>1851</v>
      </c>
      <c r="B666" s="1">
        <v>46133</v>
      </c>
      <c r="C666" t="s">
        <v>213</v>
      </c>
      <c r="D666" t="s">
        <v>3446</v>
      </c>
      <c r="E666" s="1">
        <v>46134</v>
      </c>
      <c r="F666" t="s">
        <v>56</v>
      </c>
      <c r="G666" t="s">
        <v>54</v>
      </c>
      <c r="H666" t="s">
        <v>55</v>
      </c>
      <c r="I666" t="s">
        <v>2631</v>
      </c>
      <c r="J666" t="s">
        <v>2673</v>
      </c>
      <c r="K666" t="s">
        <v>25</v>
      </c>
      <c r="L666">
        <v>32</v>
      </c>
      <c r="M666">
        <v>1</v>
      </c>
      <c r="N666">
        <v>5</v>
      </c>
      <c r="O666" t="s">
        <v>316</v>
      </c>
      <c r="P666" t="s">
        <v>75</v>
      </c>
      <c r="Q666" t="s">
        <v>42</v>
      </c>
      <c r="R666" t="s">
        <v>32</v>
      </c>
      <c r="S666" t="s">
        <v>57</v>
      </c>
      <c r="T666">
        <v>3</v>
      </c>
      <c r="U666" s="5">
        <v>434.86</v>
      </c>
      <c r="V666" s="5">
        <v>288.44</v>
      </c>
      <c r="W666">
        <v>1</v>
      </c>
      <c r="X666" t="s">
        <v>49</v>
      </c>
      <c r="Y666">
        <v>2026</v>
      </c>
      <c r="Z666" t="str">
        <f>TEXT(Table1[[#This Row],[Order Date]],"MMM")</f>
        <v>Apr</v>
      </c>
      <c r="AA666" s="5">
        <f>Table1[[#This Row],[Unit Price]]*Table1[[#This Row],[Quantity]]*(1-Table1[[#This Row],[Discount %]]/100)</f>
        <v>413.11700000000002</v>
      </c>
      <c r="AB666" s="5">
        <f>Table1[[#This Row],[Sales]]-Table1[[#This Row],[Cost]]</f>
        <v>124.67700000000002</v>
      </c>
    </row>
    <row r="667" spans="1:28" x14ac:dyDescent="0.3">
      <c r="A667" t="s">
        <v>1852</v>
      </c>
      <c r="B667" s="1">
        <v>46068</v>
      </c>
      <c r="C667" t="s">
        <v>1853</v>
      </c>
      <c r="D667" t="s">
        <v>3447</v>
      </c>
      <c r="E667" s="1">
        <v>46072</v>
      </c>
      <c r="F667" t="s">
        <v>29</v>
      </c>
      <c r="G667" t="s">
        <v>27</v>
      </c>
      <c r="H667" t="s">
        <v>28</v>
      </c>
      <c r="I667" t="s">
        <v>2630</v>
      </c>
      <c r="J667" t="s">
        <v>2710</v>
      </c>
      <c r="K667" t="s">
        <v>25</v>
      </c>
      <c r="L667">
        <v>26</v>
      </c>
      <c r="M667">
        <v>3</v>
      </c>
      <c r="N667">
        <v>25</v>
      </c>
      <c r="O667" t="s">
        <v>1854</v>
      </c>
      <c r="P667" t="s">
        <v>75</v>
      </c>
      <c r="Q667" t="s">
        <v>117</v>
      </c>
      <c r="R667" t="s">
        <v>43</v>
      </c>
      <c r="S667" t="s">
        <v>30</v>
      </c>
      <c r="T667">
        <v>4</v>
      </c>
      <c r="U667" s="5">
        <v>617.23</v>
      </c>
      <c r="V667" s="5">
        <v>956.1</v>
      </c>
      <c r="W667">
        <v>4</v>
      </c>
      <c r="X667" t="s">
        <v>34</v>
      </c>
      <c r="Y667">
        <v>2026</v>
      </c>
      <c r="Z667" t="str">
        <f>TEXT(Table1[[#This Row],[Order Date]],"MMM")</f>
        <v>Feb</v>
      </c>
      <c r="AA667" s="5">
        <f>Table1[[#This Row],[Unit Price]]*Table1[[#This Row],[Quantity]]*(1-Table1[[#This Row],[Discount %]]/100)</f>
        <v>1388.7674999999999</v>
      </c>
      <c r="AB667" s="5">
        <f>Table1[[#This Row],[Sales]]-Table1[[#This Row],[Cost]]</f>
        <v>432.6674999999999</v>
      </c>
    </row>
    <row r="668" spans="1:28" x14ac:dyDescent="0.3">
      <c r="A668" t="s">
        <v>1855</v>
      </c>
      <c r="B668" s="1">
        <v>45578</v>
      </c>
      <c r="C668" t="s">
        <v>1856</v>
      </c>
      <c r="D668" t="s">
        <v>3448</v>
      </c>
      <c r="E668" s="1">
        <v>45580</v>
      </c>
      <c r="F668" t="s">
        <v>40</v>
      </c>
      <c r="G668" t="s">
        <v>38</v>
      </c>
      <c r="H668" t="s">
        <v>39</v>
      </c>
      <c r="I668" t="s">
        <v>2630</v>
      </c>
      <c r="J668" t="s">
        <v>2710</v>
      </c>
      <c r="K668" t="s">
        <v>25</v>
      </c>
      <c r="L668">
        <v>18</v>
      </c>
      <c r="M668">
        <v>3</v>
      </c>
      <c r="N668">
        <v>0</v>
      </c>
      <c r="O668" t="s">
        <v>1857</v>
      </c>
      <c r="P668" t="s">
        <v>75</v>
      </c>
      <c r="Q668" t="s">
        <v>117</v>
      </c>
      <c r="R668" t="s">
        <v>62</v>
      </c>
      <c r="S668" t="s">
        <v>41</v>
      </c>
      <c r="T668">
        <v>5</v>
      </c>
      <c r="U668" s="5">
        <v>353.12</v>
      </c>
      <c r="V668" s="5">
        <v>684.62</v>
      </c>
      <c r="W668">
        <v>2</v>
      </c>
      <c r="X668" t="s">
        <v>94</v>
      </c>
      <c r="Y668">
        <v>2024</v>
      </c>
      <c r="Z668" t="str">
        <f>TEXT(Table1[[#This Row],[Order Date]],"MMM")</f>
        <v>Oct</v>
      </c>
      <c r="AA668" s="5">
        <f>Table1[[#This Row],[Unit Price]]*Table1[[#This Row],[Quantity]]*(1-Table1[[#This Row],[Discount %]]/100)</f>
        <v>1059.3600000000001</v>
      </c>
      <c r="AB668" s="5">
        <f>Table1[[#This Row],[Sales]]-Table1[[#This Row],[Cost]]</f>
        <v>374.74000000000012</v>
      </c>
    </row>
    <row r="669" spans="1:28" x14ac:dyDescent="0.3">
      <c r="A669" t="s">
        <v>1858</v>
      </c>
      <c r="B669" s="1">
        <v>45802</v>
      </c>
      <c r="C669" t="s">
        <v>1859</v>
      </c>
      <c r="D669" t="s">
        <v>3449</v>
      </c>
      <c r="E669" s="1">
        <v>45807</v>
      </c>
      <c r="F669" t="s">
        <v>122</v>
      </c>
      <c r="G669" t="s">
        <v>120</v>
      </c>
      <c r="H669" t="s">
        <v>121</v>
      </c>
      <c r="I669" t="s">
        <v>2625</v>
      </c>
      <c r="J669" t="s">
        <v>2626</v>
      </c>
      <c r="K669" t="s">
        <v>52</v>
      </c>
      <c r="L669">
        <v>52</v>
      </c>
      <c r="M669">
        <v>2</v>
      </c>
      <c r="N669">
        <v>0</v>
      </c>
      <c r="O669" t="s">
        <v>1751</v>
      </c>
      <c r="P669" t="s">
        <v>44</v>
      </c>
      <c r="Q669" t="s">
        <v>117</v>
      </c>
      <c r="R669" t="s">
        <v>32</v>
      </c>
      <c r="S669" t="s">
        <v>123</v>
      </c>
      <c r="T669">
        <v>5</v>
      </c>
      <c r="U669" s="5">
        <v>221.86</v>
      </c>
      <c r="V669" s="5">
        <v>292.18</v>
      </c>
      <c r="W669">
        <v>5</v>
      </c>
      <c r="X669" t="s">
        <v>49</v>
      </c>
      <c r="Y669">
        <v>2025</v>
      </c>
      <c r="Z669" t="str">
        <f>TEXT(Table1[[#This Row],[Order Date]],"MMM")</f>
        <v>May</v>
      </c>
      <c r="AA669" s="5">
        <f>Table1[[#This Row],[Unit Price]]*Table1[[#This Row],[Quantity]]*(1-Table1[[#This Row],[Discount %]]/100)</f>
        <v>443.72</v>
      </c>
      <c r="AB669" s="5">
        <f>Table1[[#This Row],[Sales]]-Table1[[#This Row],[Cost]]</f>
        <v>151.54000000000002</v>
      </c>
    </row>
    <row r="670" spans="1:28" x14ac:dyDescent="0.3">
      <c r="A670" t="s">
        <v>1860</v>
      </c>
      <c r="B670" s="1">
        <v>45603</v>
      </c>
      <c r="C670" t="s">
        <v>1861</v>
      </c>
      <c r="D670" t="s">
        <v>3450</v>
      </c>
      <c r="E670" s="1">
        <v>45608</v>
      </c>
      <c r="F670" t="s">
        <v>40</v>
      </c>
      <c r="G670" t="s">
        <v>38</v>
      </c>
      <c r="H670" t="s">
        <v>39</v>
      </c>
      <c r="I670" t="s">
        <v>2629</v>
      </c>
      <c r="J670" t="s">
        <v>2674</v>
      </c>
      <c r="K670" t="s">
        <v>52</v>
      </c>
      <c r="L670">
        <v>55</v>
      </c>
      <c r="M670">
        <v>2</v>
      </c>
      <c r="N670">
        <v>5</v>
      </c>
      <c r="O670" t="s">
        <v>1862</v>
      </c>
      <c r="P670" t="s">
        <v>44</v>
      </c>
      <c r="Q670" t="s">
        <v>58</v>
      </c>
      <c r="R670" t="s">
        <v>71</v>
      </c>
      <c r="S670" t="s">
        <v>41</v>
      </c>
      <c r="T670">
        <v>4</v>
      </c>
      <c r="U670" s="5">
        <v>698.81</v>
      </c>
      <c r="V670" s="5">
        <v>1105.3399999999999</v>
      </c>
      <c r="W670">
        <v>5</v>
      </c>
      <c r="X670" t="s">
        <v>94</v>
      </c>
      <c r="Y670">
        <v>2024</v>
      </c>
      <c r="Z670" t="str">
        <f>TEXT(Table1[[#This Row],[Order Date]],"MMM")</f>
        <v>Nov</v>
      </c>
      <c r="AA670" s="5">
        <f>Table1[[#This Row],[Unit Price]]*Table1[[#This Row],[Quantity]]*(1-Table1[[#This Row],[Discount %]]/100)</f>
        <v>1327.7389999999998</v>
      </c>
      <c r="AB670" s="5">
        <f>Table1[[#This Row],[Sales]]-Table1[[#This Row],[Cost]]</f>
        <v>222.39899999999989</v>
      </c>
    </row>
    <row r="671" spans="1:28" x14ac:dyDescent="0.3">
      <c r="A671" t="s">
        <v>1863</v>
      </c>
      <c r="B671" s="1">
        <v>45624</v>
      </c>
      <c r="C671" t="s">
        <v>1864</v>
      </c>
      <c r="D671" t="s">
        <v>3451</v>
      </c>
      <c r="E671" s="1">
        <v>45630</v>
      </c>
      <c r="F671" t="s">
        <v>115</v>
      </c>
      <c r="G671" t="s">
        <v>66</v>
      </c>
      <c r="H671" t="s">
        <v>114</v>
      </c>
      <c r="I671" t="s">
        <v>2625</v>
      </c>
      <c r="J671" t="s">
        <v>2705</v>
      </c>
      <c r="K671" t="s">
        <v>25</v>
      </c>
      <c r="L671">
        <v>49</v>
      </c>
      <c r="M671">
        <v>4</v>
      </c>
      <c r="N671">
        <v>30</v>
      </c>
      <c r="O671" t="s">
        <v>1865</v>
      </c>
      <c r="P671" t="s">
        <v>33</v>
      </c>
      <c r="Q671" t="s">
        <v>58</v>
      </c>
      <c r="R671" t="s">
        <v>62</v>
      </c>
      <c r="S671" t="s">
        <v>116</v>
      </c>
      <c r="T671">
        <v>1</v>
      </c>
      <c r="U671" s="5">
        <v>717.13</v>
      </c>
      <c r="V671" s="5">
        <v>1225.32</v>
      </c>
      <c r="W671">
        <v>6</v>
      </c>
      <c r="X671" t="s">
        <v>94</v>
      </c>
      <c r="Y671">
        <v>2024</v>
      </c>
      <c r="Z671" t="str">
        <f>TEXT(Table1[[#This Row],[Order Date]],"MMM")</f>
        <v>Nov</v>
      </c>
      <c r="AA671" s="5">
        <f>Table1[[#This Row],[Unit Price]]*Table1[[#This Row],[Quantity]]*(1-Table1[[#This Row],[Discount %]]/100)</f>
        <v>2007.9639999999999</v>
      </c>
      <c r="AB671" s="5">
        <f>Table1[[#This Row],[Sales]]-Table1[[#This Row],[Cost]]</f>
        <v>782.64400000000001</v>
      </c>
    </row>
    <row r="672" spans="1:28" x14ac:dyDescent="0.3">
      <c r="A672" t="s">
        <v>1866</v>
      </c>
      <c r="B672" s="1">
        <v>46095</v>
      </c>
      <c r="C672" t="s">
        <v>1867</v>
      </c>
      <c r="D672" t="s">
        <v>3452</v>
      </c>
      <c r="E672" s="1">
        <v>46100</v>
      </c>
      <c r="F672" t="s">
        <v>140</v>
      </c>
      <c r="G672" t="s">
        <v>38</v>
      </c>
      <c r="H672" t="s">
        <v>139</v>
      </c>
      <c r="I672" t="s">
        <v>2652</v>
      </c>
      <c r="J672" t="s">
        <v>2679</v>
      </c>
      <c r="K672" t="s">
        <v>25</v>
      </c>
      <c r="L672">
        <v>36</v>
      </c>
      <c r="M672">
        <v>5</v>
      </c>
      <c r="N672">
        <v>20</v>
      </c>
      <c r="O672" t="s">
        <v>1868</v>
      </c>
      <c r="P672" t="s">
        <v>33</v>
      </c>
      <c r="Q672" t="s">
        <v>70</v>
      </c>
      <c r="R672" t="s">
        <v>71</v>
      </c>
      <c r="S672" t="s">
        <v>141</v>
      </c>
      <c r="T672">
        <v>5</v>
      </c>
      <c r="U672" s="5">
        <v>789.81</v>
      </c>
      <c r="V672" s="5">
        <v>2237.56</v>
      </c>
      <c r="W672">
        <v>5</v>
      </c>
      <c r="X672" t="s">
        <v>34</v>
      </c>
      <c r="Y672">
        <v>2026</v>
      </c>
      <c r="Z672" t="str">
        <f>TEXT(Table1[[#This Row],[Order Date]],"MMM")</f>
        <v>Mar</v>
      </c>
      <c r="AA672" s="5">
        <f>Table1[[#This Row],[Unit Price]]*Table1[[#This Row],[Quantity]]*(1-Table1[[#This Row],[Discount %]]/100)</f>
        <v>3159.24</v>
      </c>
      <c r="AB672" s="5">
        <f>Table1[[#This Row],[Sales]]-Table1[[#This Row],[Cost]]</f>
        <v>921.67999999999984</v>
      </c>
    </row>
    <row r="673" spans="1:28" x14ac:dyDescent="0.3">
      <c r="A673" t="s">
        <v>1869</v>
      </c>
      <c r="B673" s="1">
        <v>45889</v>
      </c>
      <c r="C673" t="s">
        <v>1870</v>
      </c>
      <c r="D673" t="s">
        <v>3453</v>
      </c>
      <c r="E673" s="1">
        <v>45892</v>
      </c>
      <c r="F673" t="s">
        <v>128</v>
      </c>
      <c r="G673" t="s">
        <v>98</v>
      </c>
      <c r="H673" t="s">
        <v>127</v>
      </c>
      <c r="I673" t="s">
        <v>2619</v>
      </c>
      <c r="J673" t="s">
        <v>2620</v>
      </c>
      <c r="K673" t="s">
        <v>25</v>
      </c>
      <c r="L673">
        <v>51</v>
      </c>
      <c r="M673">
        <v>2</v>
      </c>
      <c r="N673">
        <v>5</v>
      </c>
      <c r="O673" t="s">
        <v>698</v>
      </c>
      <c r="P673" t="s">
        <v>75</v>
      </c>
      <c r="Q673" t="s">
        <v>31</v>
      </c>
      <c r="R673" t="s">
        <v>71</v>
      </c>
      <c r="S673" t="s">
        <v>129</v>
      </c>
      <c r="T673">
        <v>3</v>
      </c>
      <c r="U673" s="5">
        <v>827.88</v>
      </c>
      <c r="V673" s="5">
        <v>1106.07</v>
      </c>
      <c r="W673">
        <v>3</v>
      </c>
      <c r="X673" t="s">
        <v>45</v>
      </c>
      <c r="Y673">
        <v>2025</v>
      </c>
      <c r="Z673" t="str">
        <f>TEXT(Table1[[#This Row],[Order Date]],"MMM")</f>
        <v>Aug</v>
      </c>
      <c r="AA673" s="5">
        <f>Table1[[#This Row],[Unit Price]]*Table1[[#This Row],[Quantity]]*(1-Table1[[#This Row],[Discount %]]/100)</f>
        <v>1572.972</v>
      </c>
      <c r="AB673" s="5">
        <f>Table1[[#This Row],[Sales]]-Table1[[#This Row],[Cost]]</f>
        <v>466.90200000000004</v>
      </c>
    </row>
    <row r="674" spans="1:28" x14ac:dyDescent="0.3">
      <c r="A674" t="s">
        <v>1871</v>
      </c>
      <c r="B674" s="1">
        <v>45665</v>
      </c>
      <c r="C674" t="s">
        <v>1872</v>
      </c>
      <c r="D674" t="s">
        <v>3454</v>
      </c>
      <c r="E674" s="1">
        <v>45671</v>
      </c>
      <c r="F674" t="s">
        <v>56</v>
      </c>
      <c r="G674" t="s">
        <v>54</v>
      </c>
      <c r="H674" t="s">
        <v>55</v>
      </c>
      <c r="I674" t="s">
        <v>2661</v>
      </c>
      <c r="J674" t="s">
        <v>2689</v>
      </c>
      <c r="K674" t="s">
        <v>25</v>
      </c>
      <c r="L674">
        <v>34</v>
      </c>
      <c r="M674">
        <v>4</v>
      </c>
      <c r="N674">
        <v>0</v>
      </c>
      <c r="O674" t="s">
        <v>1449</v>
      </c>
      <c r="P674" t="s">
        <v>33</v>
      </c>
      <c r="Q674" t="s">
        <v>31</v>
      </c>
      <c r="R674" t="s">
        <v>62</v>
      </c>
      <c r="S674" t="s">
        <v>57</v>
      </c>
      <c r="T674">
        <v>3</v>
      </c>
      <c r="U674" s="5">
        <v>142.11000000000001</v>
      </c>
      <c r="V674" s="5">
        <v>315.64</v>
      </c>
      <c r="W674">
        <v>6</v>
      </c>
      <c r="X674" t="s">
        <v>34</v>
      </c>
      <c r="Y674">
        <v>2025</v>
      </c>
      <c r="Z674" t="str">
        <f>TEXT(Table1[[#This Row],[Order Date]],"MMM")</f>
        <v>Jan</v>
      </c>
      <c r="AA674" s="5">
        <f>Table1[[#This Row],[Unit Price]]*Table1[[#This Row],[Quantity]]*(1-Table1[[#This Row],[Discount %]]/100)</f>
        <v>568.44000000000005</v>
      </c>
      <c r="AB674" s="5">
        <f>Table1[[#This Row],[Sales]]-Table1[[#This Row],[Cost]]</f>
        <v>252.80000000000007</v>
      </c>
    </row>
    <row r="675" spans="1:28" x14ac:dyDescent="0.3">
      <c r="A675" t="s">
        <v>1873</v>
      </c>
      <c r="B675" s="1">
        <v>45488</v>
      </c>
      <c r="C675" t="s">
        <v>1874</v>
      </c>
      <c r="D675" t="s">
        <v>3455</v>
      </c>
      <c r="E675" s="1">
        <v>45494</v>
      </c>
      <c r="F675" t="s">
        <v>29</v>
      </c>
      <c r="G675" t="s">
        <v>27</v>
      </c>
      <c r="H675" t="s">
        <v>28</v>
      </c>
      <c r="I675" t="s">
        <v>2631</v>
      </c>
      <c r="J675" t="s">
        <v>2673</v>
      </c>
      <c r="K675" t="s">
        <v>52</v>
      </c>
      <c r="L675">
        <v>27</v>
      </c>
      <c r="M675">
        <v>2</v>
      </c>
      <c r="N675">
        <v>15</v>
      </c>
      <c r="O675" t="s">
        <v>1117</v>
      </c>
      <c r="P675" t="s">
        <v>75</v>
      </c>
      <c r="Q675" t="s">
        <v>117</v>
      </c>
      <c r="R675" t="s">
        <v>43</v>
      </c>
      <c r="S675" t="s">
        <v>30</v>
      </c>
      <c r="T675">
        <v>5</v>
      </c>
      <c r="U675" s="5">
        <v>301.06</v>
      </c>
      <c r="V675" s="5">
        <v>367.54</v>
      </c>
      <c r="W675">
        <v>6</v>
      </c>
      <c r="X675" t="s">
        <v>45</v>
      </c>
      <c r="Y675">
        <v>2024</v>
      </c>
      <c r="Z675" t="str">
        <f>TEXT(Table1[[#This Row],[Order Date]],"MMM")</f>
        <v>Jul</v>
      </c>
      <c r="AA675" s="5">
        <f>Table1[[#This Row],[Unit Price]]*Table1[[#This Row],[Quantity]]*(1-Table1[[#This Row],[Discount %]]/100)</f>
        <v>511.80199999999996</v>
      </c>
      <c r="AB675" s="5">
        <f>Table1[[#This Row],[Sales]]-Table1[[#This Row],[Cost]]</f>
        <v>144.26199999999994</v>
      </c>
    </row>
    <row r="676" spans="1:28" x14ac:dyDescent="0.3">
      <c r="A676" t="s">
        <v>1875</v>
      </c>
      <c r="B676" s="1">
        <v>45451</v>
      </c>
      <c r="C676" t="s">
        <v>1876</v>
      </c>
      <c r="D676" t="s">
        <v>3456</v>
      </c>
      <c r="E676" s="1">
        <v>45452</v>
      </c>
      <c r="F676" t="s">
        <v>100</v>
      </c>
      <c r="G676" t="s">
        <v>98</v>
      </c>
      <c r="H676" t="s">
        <v>99</v>
      </c>
      <c r="I676" t="s">
        <v>2618</v>
      </c>
      <c r="J676" t="s">
        <v>2701</v>
      </c>
      <c r="K676" t="s">
        <v>52</v>
      </c>
      <c r="L676">
        <v>42</v>
      </c>
      <c r="M676">
        <v>3</v>
      </c>
      <c r="N676">
        <v>15</v>
      </c>
      <c r="O676" t="s">
        <v>1324</v>
      </c>
      <c r="P676" t="s">
        <v>33</v>
      </c>
      <c r="Q676" t="s">
        <v>70</v>
      </c>
      <c r="R676" t="s">
        <v>43</v>
      </c>
      <c r="S676" t="s">
        <v>101</v>
      </c>
      <c r="T676">
        <v>5</v>
      </c>
      <c r="U676" s="5">
        <v>498.64</v>
      </c>
      <c r="V676" s="5">
        <v>829.27</v>
      </c>
      <c r="W676">
        <v>1</v>
      </c>
      <c r="X676" t="s">
        <v>49</v>
      </c>
      <c r="Y676">
        <v>2024</v>
      </c>
      <c r="Z676" t="str">
        <f>TEXT(Table1[[#This Row],[Order Date]],"MMM")</f>
        <v>Jun</v>
      </c>
      <c r="AA676" s="5">
        <f>Table1[[#This Row],[Unit Price]]*Table1[[#This Row],[Quantity]]*(1-Table1[[#This Row],[Discount %]]/100)</f>
        <v>1271.5319999999999</v>
      </c>
      <c r="AB676" s="5">
        <f>Table1[[#This Row],[Sales]]-Table1[[#This Row],[Cost]]</f>
        <v>442.26199999999994</v>
      </c>
    </row>
    <row r="677" spans="1:28" x14ac:dyDescent="0.3">
      <c r="A677" t="s">
        <v>1877</v>
      </c>
      <c r="B677" s="1">
        <v>46006</v>
      </c>
      <c r="C677" t="s">
        <v>1878</v>
      </c>
      <c r="D677" t="s">
        <v>3457</v>
      </c>
      <c r="E677" s="1">
        <v>46008</v>
      </c>
      <c r="F677" t="s">
        <v>115</v>
      </c>
      <c r="G677" t="s">
        <v>66</v>
      </c>
      <c r="H677" t="s">
        <v>114</v>
      </c>
      <c r="I677" t="s">
        <v>2629</v>
      </c>
      <c r="J677" t="s">
        <v>2632</v>
      </c>
      <c r="K677" t="s">
        <v>52</v>
      </c>
      <c r="L677">
        <v>23</v>
      </c>
      <c r="M677">
        <v>4</v>
      </c>
      <c r="N677">
        <v>30</v>
      </c>
      <c r="O677" t="s">
        <v>815</v>
      </c>
      <c r="P677" t="s">
        <v>75</v>
      </c>
      <c r="Q677" t="s">
        <v>31</v>
      </c>
      <c r="R677" t="s">
        <v>62</v>
      </c>
      <c r="S677" t="s">
        <v>116</v>
      </c>
      <c r="T677">
        <v>4</v>
      </c>
      <c r="U677" s="5">
        <v>912.41</v>
      </c>
      <c r="V677" s="5">
        <v>1281.1099999999999</v>
      </c>
      <c r="W677">
        <v>2</v>
      </c>
      <c r="X677" t="s">
        <v>94</v>
      </c>
      <c r="Y677">
        <v>2025</v>
      </c>
      <c r="Z677" t="str">
        <f>TEXT(Table1[[#This Row],[Order Date]],"MMM")</f>
        <v>Dec</v>
      </c>
      <c r="AA677" s="5">
        <f>Table1[[#This Row],[Unit Price]]*Table1[[#This Row],[Quantity]]*(1-Table1[[#This Row],[Discount %]]/100)</f>
        <v>2554.7479999999996</v>
      </c>
      <c r="AB677" s="5">
        <f>Table1[[#This Row],[Sales]]-Table1[[#This Row],[Cost]]</f>
        <v>1273.6379999999997</v>
      </c>
    </row>
    <row r="678" spans="1:28" x14ac:dyDescent="0.3">
      <c r="A678" t="s">
        <v>1879</v>
      </c>
      <c r="B678" s="1">
        <v>45953</v>
      </c>
      <c r="C678" t="s">
        <v>1880</v>
      </c>
      <c r="D678" t="s">
        <v>3458</v>
      </c>
      <c r="E678" s="1">
        <v>45956</v>
      </c>
      <c r="F678" t="s">
        <v>29</v>
      </c>
      <c r="G678" t="s">
        <v>27</v>
      </c>
      <c r="H678" t="s">
        <v>28</v>
      </c>
      <c r="I678" t="s">
        <v>2627</v>
      </c>
      <c r="J678" t="s">
        <v>2707</v>
      </c>
      <c r="K678" t="s">
        <v>25</v>
      </c>
      <c r="L678">
        <v>37</v>
      </c>
      <c r="M678">
        <v>1</v>
      </c>
      <c r="N678">
        <v>10</v>
      </c>
      <c r="O678" t="s">
        <v>1233</v>
      </c>
      <c r="P678" t="s">
        <v>44</v>
      </c>
      <c r="Q678" t="s">
        <v>31</v>
      </c>
      <c r="R678" t="s">
        <v>62</v>
      </c>
      <c r="S678" t="s">
        <v>30</v>
      </c>
      <c r="T678">
        <v>4</v>
      </c>
      <c r="U678" s="5">
        <v>14.73</v>
      </c>
      <c r="V678" s="5">
        <v>9.7200000000000006</v>
      </c>
      <c r="W678">
        <v>3</v>
      </c>
      <c r="X678" t="s">
        <v>94</v>
      </c>
      <c r="Y678">
        <v>2025</v>
      </c>
      <c r="Z678" t="str">
        <f>TEXT(Table1[[#This Row],[Order Date]],"MMM")</f>
        <v>Oct</v>
      </c>
      <c r="AA678" s="5">
        <f>Table1[[#This Row],[Unit Price]]*Table1[[#This Row],[Quantity]]*(1-Table1[[#This Row],[Discount %]]/100)</f>
        <v>13.257000000000001</v>
      </c>
      <c r="AB678" s="5">
        <f>Table1[[#This Row],[Sales]]-Table1[[#This Row],[Cost]]</f>
        <v>3.5370000000000008</v>
      </c>
    </row>
    <row r="679" spans="1:28" x14ac:dyDescent="0.3">
      <c r="A679" t="s">
        <v>1881</v>
      </c>
      <c r="B679" s="1">
        <v>45992</v>
      </c>
      <c r="C679" t="s">
        <v>1882</v>
      </c>
      <c r="D679" t="s">
        <v>3459</v>
      </c>
      <c r="E679" s="1">
        <v>45998</v>
      </c>
      <c r="F679" t="s">
        <v>122</v>
      </c>
      <c r="G679" t="s">
        <v>120</v>
      </c>
      <c r="H679" t="s">
        <v>121</v>
      </c>
      <c r="I679" t="s">
        <v>2630</v>
      </c>
      <c r="J679" t="s">
        <v>2710</v>
      </c>
      <c r="K679" t="s">
        <v>52</v>
      </c>
      <c r="L679">
        <v>49</v>
      </c>
      <c r="M679">
        <v>1</v>
      </c>
      <c r="N679">
        <v>30</v>
      </c>
      <c r="O679" t="s">
        <v>1883</v>
      </c>
      <c r="P679" t="s">
        <v>44</v>
      </c>
      <c r="Q679" t="s">
        <v>70</v>
      </c>
      <c r="R679" t="s">
        <v>71</v>
      </c>
      <c r="S679" t="s">
        <v>123</v>
      </c>
      <c r="T679">
        <v>4</v>
      </c>
      <c r="U679" s="5">
        <v>336.29</v>
      </c>
      <c r="V679" s="5">
        <v>132.62</v>
      </c>
      <c r="W679">
        <v>6</v>
      </c>
      <c r="X679" t="s">
        <v>94</v>
      </c>
      <c r="Y679">
        <v>2025</v>
      </c>
      <c r="Z679" t="str">
        <f>TEXT(Table1[[#This Row],[Order Date]],"MMM")</f>
        <v>Dec</v>
      </c>
      <c r="AA679" s="5">
        <f>Table1[[#This Row],[Unit Price]]*Table1[[#This Row],[Quantity]]*(1-Table1[[#This Row],[Discount %]]/100)</f>
        <v>235.40299999999999</v>
      </c>
      <c r="AB679" s="5">
        <f>Table1[[#This Row],[Sales]]-Table1[[#This Row],[Cost]]</f>
        <v>102.78299999999999</v>
      </c>
    </row>
    <row r="680" spans="1:28" x14ac:dyDescent="0.3">
      <c r="A680" t="s">
        <v>1884</v>
      </c>
      <c r="B680" s="1">
        <v>45704</v>
      </c>
      <c r="C680" t="s">
        <v>1885</v>
      </c>
      <c r="D680" t="s">
        <v>3460</v>
      </c>
      <c r="E680" s="1">
        <v>45710</v>
      </c>
      <c r="F680" t="s">
        <v>29</v>
      </c>
      <c r="G680" t="s">
        <v>27</v>
      </c>
      <c r="H680" t="s">
        <v>28</v>
      </c>
      <c r="I680" t="s">
        <v>2618</v>
      </c>
      <c r="J680" t="s">
        <v>2700</v>
      </c>
      <c r="K680" t="s">
        <v>52</v>
      </c>
      <c r="L680">
        <v>28</v>
      </c>
      <c r="M680">
        <v>5</v>
      </c>
      <c r="N680">
        <v>10</v>
      </c>
      <c r="O680" t="s">
        <v>1082</v>
      </c>
      <c r="P680" t="s">
        <v>33</v>
      </c>
      <c r="Q680" t="s">
        <v>70</v>
      </c>
      <c r="R680" t="s">
        <v>43</v>
      </c>
      <c r="S680" t="s">
        <v>30</v>
      </c>
      <c r="T680">
        <v>1</v>
      </c>
      <c r="U680" s="5">
        <v>757.59</v>
      </c>
      <c r="V680" s="5">
        <v>2867.46</v>
      </c>
      <c r="W680">
        <v>6</v>
      </c>
      <c r="X680" t="s">
        <v>34</v>
      </c>
      <c r="Y680">
        <v>2025</v>
      </c>
      <c r="Z680" t="str">
        <f>TEXT(Table1[[#This Row],[Order Date]],"MMM")</f>
        <v>Feb</v>
      </c>
      <c r="AA680" s="5">
        <f>Table1[[#This Row],[Unit Price]]*Table1[[#This Row],[Quantity]]*(1-Table1[[#This Row],[Discount %]]/100)</f>
        <v>3409.1550000000002</v>
      </c>
      <c r="AB680" s="5">
        <f>Table1[[#This Row],[Sales]]-Table1[[#This Row],[Cost]]</f>
        <v>541.69500000000016</v>
      </c>
    </row>
    <row r="681" spans="1:28" x14ac:dyDescent="0.3">
      <c r="A681" t="s">
        <v>1886</v>
      </c>
      <c r="B681" s="1">
        <v>45771</v>
      </c>
      <c r="C681" t="s">
        <v>1887</v>
      </c>
      <c r="D681" t="s">
        <v>3461</v>
      </c>
      <c r="E681" s="1">
        <v>45774</v>
      </c>
      <c r="F681" t="s">
        <v>122</v>
      </c>
      <c r="G681" t="s">
        <v>120</v>
      </c>
      <c r="H681" t="s">
        <v>121</v>
      </c>
      <c r="I681" t="s">
        <v>2643</v>
      </c>
      <c r="J681" t="s">
        <v>2717</v>
      </c>
      <c r="K681" t="s">
        <v>25</v>
      </c>
      <c r="L681">
        <v>55</v>
      </c>
      <c r="M681">
        <v>1</v>
      </c>
      <c r="N681">
        <v>25</v>
      </c>
      <c r="O681" t="s">
        <v>1888</v>
      </c>
      <c r="P681" t="s">
        <v>33</v>
      </c>
      <c r="Q681" t="s">
        <v>117</v>
      </c>
      <c r="R681" t="s">
        <v>62</v>
      </c>
      <c r="S681" t="s">
        <v>123</v>
      </c>
      <c r="T681">
        <v>5</v>
      </c>
      <c r="U681" s="5">
        <v>803.83</v>
      </c>
      <c r="V681" s="5">
        <v>468.61</v>
      </c>
      <c r="W681">
        <v>3</v>
      </c>
      <c r="X681" t="s">
        <v>49</v>
      </c>
      <c r="Y681">
        <v>2025</v>
      </c>
      <c r="Z681" t="str">
        <f>TEXT(Table1[[#This Row],[Order Date]],"MMM")</f>
        <v>Apr</v>
      </c>
      <c r="AA681" s="5">
        <f>Table1[[#This Row],[Unit Price]]*Table1[[#This Row],[Quantity]]*(1-Table1[[#This Row],[Discount %]]/100)</f>
        <v>602.87250000000006</v>
      </c>
      <c r="AB681" s="5">
        <f>Table1[[#This Row],[Sales]]-Table1[[#This Row],[Cost]]</f>
        <v>134.26250000000005</v>
      </c>
    </row>
    <row r="682" spans="1:28" x14ac:dyDescent="0.3">
      <c r="A682" t="s">
        <v>1889</v>
      </c>
      <c r="B682" s="1">
        <v>45350</v>
      </c>
      <c r="C682" t="s">
        <v>1890</v>
      </c>
      <c r="D682" t="s">
        <v>3462</v>
      </c>
      <c r="E682" s="1">
        <v>45351</v>
      </c>
      <c r="F682" t="s">
        <v>115</v>
      </c>
      <c r="G682" t="s">
        <v>66</v>
      </c>
      <c r="H682" t="s">
        <v>114</v>
      </c>
      <c r="I682" t="s">
        <v>2628</v>
      </c>
      <c r="J682" t="s">
        <v>2711</v>
      </c>
      <c r="K682" t="s">
        <v>25</v>
      </c>
      <c r="L682">
        <v>39</v>
      </c>
      <c r="M682">
        <v>2</v>
      </c>
      <c r="N682">
        <v>25</v>
      </c>
      <c r="O682" t="s">
        <v>332</v>
      </c>
      <c r="P682" t="s">
        <v>75</v>
      </c>
      <c r="Q682" t="s">
        <v>58</v>
      </c>
      <c r="R682" t="s">
        <v>32</v>
      </c>
      <c r="S682" t="s">
        <v>116</v>
      </c>
      <c r="T682">
        <v>1</v>
      </c>
      <c r="U682" s="5">
        <v>235.71</v>
      </c>
      <c r="V682" s="5">
        <v>200.21</v>
      </c>
      <c r="W682">
        <v>1</v>
      </c>
      <c r="X682" t="s">
        <v>34</v>
      </c>
      <c r="Y682">
        <v>2024</v>
      </c>
      <c r="Z682" t="str">
        <f>TEXT(Table1[[#This Row],[Order Date]],"MMM")</f>
        <v>Feb</v>
      </c>
      <c r="AA682" s="5">
        <f>Table1[[#This Row],[Unit Price]]*Table1[[#This Row],[Quantity]]*(1-Table1[[#This Row],[Discount %]]/100)</f>
        <v>353.565</v>
      </c>
      <c r="AB682" s="5">
        <f>Table1[[#This Row],[Sales]]-Table1[[#This Row],[Cost]]</f>
        <v>153.35499999999999</v>
      </c>
    </row>
    <row r="683" spans="1:28" x14ac:dyDescent="0.3">
      <c r="A683" t="s">
        <v>1891</v>
      </c>
      <c r="B683" s="1">
        <v>45659</v>
      </c>
      <c r="C683" t="s">
        <v>1892</v>
      </c>
      <c r="D683" t="s">
        <v>3463</v>
      </c>
      <c r="E683" s="1">
        <v>45664</v>
      </c>
      <c r="F683" t="s">
        <v>68</v>
      </c>
      <c r="G683" t="s">
        <v>66</v>
      </c>
      <c r="H683" t="s">
        <v>67</v>
      </c>
      <c r="I683" t="s">
        <v>2623</v>
      </c>
      <c r="J683" t="s">
        <v>2713</v>
      </c>
      <c r="K683" t="s">
        <v>52</v>
      </c>
      <c r="L683">
        <v>30</v>
      </c>
      <c r="M683">
        <v>5</v>
      </c>
      <c r="N683">
        <v>0</v>
      </c>
      <c r="O683" t="s">
        <v>332</v>
      </c>
      <c r="P683" t="s">
        <v>44</v>
      </c>
      <c r="Q683" t="s">
        <v>31</v>
      </c>
      <c r="R683" t="s">
        <v>32</v>
      </c>
      <c r="S683" t="s">
        <v>69</v>
      </c>
      <c r="T683">
        <v>4</v>
      </c>
      <c r="U683" s="5">
        <v>541.01</v>
      </c>
      <c r="V683" s="5">
        <v>1873.33</v>
      </c>
      <c r="W683">
        <v>5</v>
      </c>
      <c r="X683" t="s">
        <v>34</v>
      </c>
      <c r="Y683">
        <v>2025</v>
      </c>
      <c r="Z683" t="str">
        <f>TEXT(Table1[[#This Row],[Order Date]],"MMM")</f>
        <v>Jan</v>
      </c>
      <c r="AA683" s="5">
        <f>Table1[[#This Row],[Unit Price]]*Table1[[#This Row],[Quantity]]*(1-Table1[[#This Row],[Discount %]]/100)</f>
        <v>2705.05</v>
      </c>
      <c r="AB683" s="5">
        <f>Table1[[#This Row],[Sales]]-Table1[[#This Row],[Cost]]</f>
        <v>831.72000000000025</v>
      </c>
    </row>
    <row r="684" spans="1:28" x14ac:dyDescent="0.3">
      <c r="A684" t="s">
        <v>1893</v>
      </c>
      <c r="B684" s="1">
        <v>45386</v>
      </c>
      <c r="C684" t="s">
        <v>1894</v>
      </c>
      <c r="D684" t="s">
        <v>3464</v>
      </c>
      <c r="E684" s="1">
        <v>45387</v>
      </c>
      <c r="F684" t="s">
        <v>29</v>
      </c>
      <c r="G684" t="s">
        <v>27</v>
      </c>
      <c r="H684" t="s">
        <v>28</v>
      </c>
      <c r="I684" t="s">
        <v>2657</v>
      </c>
      <c r="J684" t="s">
        <v>2667</v>
      </c>
      <c r="K684" t="s">
        <v>25</v>
      </c>
      <c r="L684">
        <v>18</v>
      </c>
      <c r="M684">
        <v>4</v>
      </c>
      <c r="N684">
        <v>20</v>
      </c>
      <c r="O684" t="s">
        <v>273</v>
      </c>
      <c r="P684" t="s">
        <v>44</v>
      </c>
      <c r="Q684" t="s">
        <v>58</v>
      </c>
      <c r="R684" t="s">
        <v>43</v>
      </c>
      <c r="S684" t="s">
        <v>30</v>
      </c>
      <c r="T684">
        <v>4</v>
      </c>
      <c r="U684" s="5">
        <v>590.83000000000004</v>
      </c>
      <c r="V684" s="5">
        <v>1335.62</v>
      </c>
      <c r="W684">
        <v>1</v>
      </c>
      <c r="X684" t="s">
        <v>49</v>
      </c>
      <c r="Y684">
        <v>2024</v>
      </c>
      <c r="Z684" t="str">
        <f>TEXT(Table1[[#This Row],[Order Date]],"MMM")</f>
        <v>Apr</v>
      </c>
      <c r="AA684" s="5">
        <f>Table1[[#This Row],[Unit Price]]*Table1[[#This Row],[Quantity]]*(1-Table1[[#This Row],[Discount %]]/100)</f>
        <v>1890.6560000000002</v>
      </c>
      <c r="AB684" s="5">
        <f>Table1[[#This Row],[Sales]]-Table1[[#This Row],[Cost]]</f>
        <v>555.03600000000029</v>
      </c>
    </row>
    <row r="685" spans="1:28" x14ac:dyDescent="0.3">
      <c r="A685" t="s">
        <v>1895</v>
      </c>
      <c r="B685" s="1">
        <v>45655</v>
      </c>
      <c r="C685" t="s">
        <v>1896</v>
      </c>
      <c r="D685" t="s">
        <v>3465</v>
      </c>
      <c r="E685" s="1">
        <v>45657</v>
      </c>
      <c r="F685" t="s">
        <v>68</v>
      </c>
      <c r="G685" t="s">
        <v>66</v>
      </c>
      <c r="H685" t="s">
        <v>67</v>
      </c>
      <c r="I685" t="s">
        <v>2618</v>
      </c>
      <c r="J685" t="s">
        <v>2618</v>
      </c>
      <c r="K685" t="s">
        <v>52</v>
      </c>
      <c r="L685">
        <v>23</v>
      </c>
      <c r="M685">
        <v>4</v>
      </c>
      <c r="N685">
        <v>15</v>
      </c>
      <c r="O685" t="s">
        <v>1897</v>
      </c>
      <c r="P685" t="s">
        <v>75</v>
      </c>
      <c r="Q685" t="s">
        <v>70</v>
      </c>
      <c r="R685" t="s">
        <v>71</v>
      </c>
      <c r="S685" t="s">
        <v>69</v>
      </c>
      <c r="T685">
        <v>1</v>
      </c>
      <c r="U685" s="5">
        <v>38.200000000000003</v>
      </c>
      <c r="V685" s="5">
        <v>103.74</v>
      </c>
      <c r="W685">
        <v>2</v>
      </c>
      <c r="X685" t="s">
        <v>94</v>
      </c>
      <c r="Y685">
        <v>2024</v>
      </c>
      <c r="Z685" t="str">
        <f>TEXT(Table1[[#This Row],[Order Date]],"MMM")</f>
        <v>Dec</v>
      </c>
      <c r="AA685" s="5">
        <f>Table1[[#This Row],[Unit Price]]*Table1[[#This Row],[Quantity]]*(1-Table1[[#This Row],[Discount %]]/100)</f>
        <v>129.88</v>
      </c>
      <c r="AB685" s="5">
        <f>Table1[[#This Row],[Sales]]-Table1[[#This Row],[Cost]]</f>
        <v>26.14</v>
      </c>
    </row>
    <row r="686" spans="1:28" x14ac:dyDescent="0.3">
      <c r="A686" t="s">
        <v>1898</v>
      </c>
      <c r="B686" s="1">
        <v>45874</v>
      </c>
      <c r="C686" t="s">
        <v>1899</v>
      </c>
      <c r="D686" t="s">
        <v>3466</v>
      </c>
      <c r="E686" s="1">
        <v>45875</v>
      </c>
      <c r="F686" t="s">
        <v>128</v>
      </c>
      <c r="G686" t="s">
        <v>98</v>
      </c>
      <c r="H686" t="s">
        <v>127</v>
      </c>
      <c r="I686" t="s">
        <v>2648</v>
      </c>
      <c r="J686" t="s">
        <v>2649</v>
      </c>
      <c r="K686" t="s">
        <v>52</v>
      </c>
      <c r="L686">
        <v>30</v>
      </c>
      <c r="M686">
        <v>3</v>
      </c>
      <c r="N686">
        <v>0</v>
      </c>
      <c r="O686" t="s">
        <v>1059</v>
      </c>
      <c r="P686" t="s">
        <v>75</v>
      </c>
      <c r="Q686" t="s">
        <v>70</v>
      </c>
      <c r="R686" t="s">
        <v>71</v>
      </c>
      <c r="S686" t="s">
        <v>129</v>
      </c>
      <c r="T686">
        <v>3</v>
      </c>
      <c r="U686" s="5">
        <v>660.69</v>
      </c>
      <c r="V686" s="5">
        <v>1140.33</v>
      </c>
      <c r="W686">
        <v>1</v>
      </c>
      <c r="X686" t="s">
        <v>45</v>
      </c>
      <c r="Y686">
        <v>2025</v>
      </c>
      <c r="Z686" t="str">
        <f>TEXT(Table1[[#This Row],[Order Date]],"MMM")</f>
        <v>Aug</v>
      </c>
      <c r="AA686" s="5">
        <f>Table1[[#This Row],[Unit Price]]*Table1[[#This Row],[Quantity]]*(1-Table1[[#This Row],[Discount %]]/100)</f>
        <v>1982.0700000000002</v>
      </c>
      <c r="AB686" s="5">
        <f>Table1[[#This Row],[Sales]]-Table1[[#This Row],[Cost]]</f>
        <v>841.74000000000024</v>
      </c>
    </row>
    <row r="687" spans="1:28" x14ac:dyDescent="0.3">
      <c r="A687" t="s">
        <v>1900</v>
      </c>
      <c r="B687" s="1">
        <v>45858</v>
      </c>
      <c r="C687" t="s">
        <v>1901</v>
      </c>
      <c r="D687" t="s">
        <v>3467</v>
      </c>
      <c r="E687" s="1">
        <v>45865</v>
      </c>
      <c r="F687" t="s">
        <v>122</v>
      </c>
      <c r="G687" t="s">
        <v>120</v>
      </c>
      <c r="H687" t="s">
        <v>121</v>
      </c>
      <c r="I687" t="s">
        <v>2625</v>
      </c>
      <c r="J687" t="s">
        <v>2705</v>
      </c>
      <c r="K687" t="s">
        <v>25</v>
      </c>
      <c r="L687">
        <v>62</v>
      </c>
      <c r="M687">
        <v>1</v>
      </c>
      <c r="N687">
        <v>25</v>
      </c>
      <c r="O687" t="s">
        <v>1096</v>
      </c>
      <c r="P687" t="s">
        <v>44</v>
      </c>
      <c r="Q687" t="s">
        <v>70</v>
      </c>
      <c r="R687" t="s">
        <v>62</v>
      </c>
      <c r="S687" t="s">
        <v>123</v>
      </c>
      <c r="T687">
        <v>3</v>
      </c>
      <c r="U687" s="5">
        <v>60.12</v>
      </c>
      <c r="V687" s="5">
        <v>37.19</v>
      </c>
      <c r="W687">
        <v>7</v>
      </c>
      <c r="X687" t="s">
        <v>45</v>
      </c>
      <c r="Y687">
        <v>2025</v>
      </c>
      <c r="Z687" t="str">
        <f>TEXT(Table1[[#This Row],[Order Date]],"MMM")</f>
        <v>Jul</v>
      </c>
      <c r="AA687" s="5">
        <f>Table1[[#This Row],[Unit Price]]*Table1[[#This Row],[Quantity]]*(1-Table1[[#This Row],[Discount %]]/100)</f>
        <v>45.089999999999996</v>
      </c>
      <c r="AB687" s="5">
        <f>Table1[[#This Row],[Sales]]-Table1[[#This Row],[Cost]]</f>
        <v>7.8999999999999986</v>
      </c>
    </row>
    <row r="688" spans="1:28" x14ac:dyDescent="0.3">
      <c r="A688" t="s">
        <v>1902</v>
      </c>
      <c r="B688" s="1">
        <v>45970</v>
      </c>
      <c r="C688" t="s">
        <v>1903</v>
      </c>
      <c r="D688" t="s">
        <v>3468</v>
      </c>
      <c r="E688" s="1">
        <v>45977</v>
      </c>
      <c r="F688" t="s">
        <v>122</v>
      </c>
      <c r="G688" t="s">
        <v>120</v>
      </c>
      <c r="H688" t="s">
        <v>121</v>
      </c>
      <c r="I688" t="s">
        <v>2619</v>
      </c>
      <c r="J688" t="s">
        <v>2687</v>
      </c>
      <c r="K688" t="s">
        <v>52</v>
      </c>
      <c r="L688">
        <v>64</v>
      </c>
      <c r="M688">
        <v>5</v>
      </c>
      <c r="N688">
        <v>10</v>
      </c>
      <c r="O688" t="s">
        <v>138</v>
      </c>
      <c r="P688" t="s">
        <v>75</v>
      </c>
      <c r="Q688" t="s">
        <v>70</v>
      </c>
      <c r="R688" t="s">
        <v>71</v>
      </c>
      <c r="S688" t="s">
        <v>123</v>
      </c>
      <c r="T688">
        <v>1</v>
      </c>
      <c r="U688" s="5">
        <v>730.79</v>
      </c>
      <c r="V688" s="5">
        <v>2188.42</v>
      </c>
      <c r="W688">
        <v>7</v>
      </c>
      <c r="X688" t="s">
        <v>94</v>
      </c>
      <c r="Y688">
        <v>2025</v>
      </c>
      <c r="Z688" t="str">
        <f>TEXT(Table1[[#This Row],[Order Date]],"MMM")</f>
        <v>Nov</v>
      </c>
      <c r="AA688" s="5">
        <f>Table1[[#This Row],[Unit Price]]*Table1[[#This Row],[Quantity]]*(1-Table1[[#This Row],[Discount %]]/100)</f>
        <v>3288.5549999999998</v>
      </c>
      <c r="AB688" s="5">
        <f>Table1[[#This Row],[Sales]]-Table1[[#This Row],[Cost]]</f>
        <v>1100.1349999999998</v>
      </c>
    </row>
    <row r="689" spans="1:28" x14ac:dyDescent="0.3">
      <c r="A689" t="s">
        <v>1904</v>
      </c>
      <c r="B689" s="1">
        <v>46115</v>
      </c>
      <c r="C689" t="s">
        <v>1905</v>
      </c>
      <c r="D689" t="s">
        <v>3469</v>
      </c>
      <c r="E689" s="1">
        <v>46122</v>
      </c>
      <c r="F689" t="s">
        <v>100</v>
      </c>
      <c r="G689" t="s">
        <v>98</v>
      </c>
      <c r="H689" t="s">
        <v>99</v>
      </c>
      <c r="I689" t="s">
        <v>2655</v>
      </c>
      <c r="J689" t="s">
        <v>2714</v>
      </c>
      <c r="K689" t="s">
        <v>52</v>
      </c>
      <c r="L689">
        <v>64</v>
      </c>
      <c r="M689">
        <v>4</v>
      </c>
      <c r="N689">
        <v>30</v>
      </c>
      <c r="O689" t="s">
        <v>1386</v>
      </c>
      <c r="P689" t="s">
        <v>33</v>
      </c>
      <c r="Q689" t="s">
        <v>70</v>
      </c>
      <c r="R689" t="s">
        <v>43</v>
      </c>
      <c r="S689" t="s">
        <v>101</v>
      </c>
      <c r="T689">
        <v>3</v>
      </c>
      <c r="U689" s="5">
        <v>506.53</v>
      </c>
      <c r="V689" s="5">
        <v>1024.24</v>
      </c>
      <c r="W689">
        <v>7</v>
      </c>
      <c r="X689" t="s">
        <v>49</v>
      </c>
      <c r="Y689">
        <v>2026</v>
      </c>
      <c r="Z689" t="str">
        <f>TEXT(Table1[[#This Row],[Order Date]],"MMM")</f>
        <v>Apr</v>
      </c>
      <c r="AA689" s="5">
        <f>Table1[[#This Row],[Unit Price]]*Table1[[#This Row],[Quantity]]*(1-Table1[[#This Row],[Discount %]]/100)</f>
        <v>1418.2839999999999</v>
      </c>
      <c r="AB689" s="5">
        <f>Table1[[#This Row],[Sales]]-Table1[[#This Row],[Cost]]</f>
        <v>394.04399999999987</v>
      </c>
    </row>
    <row r="690" spans="1:28" x14ac:dyDescent="0.3">
      <c r="A690" t="s">
        <v>1906</v>
      </c>
      <c r="B690" s="1">
        <v>45957</v>
      </c>
      <c r="C690" t="s">
        <v>1907</v>
      </c>
      <c r="D690" t="s">
        <v>3470</v>
      </c>
      <c r="E690" s="1">
        <v>45961</v>
      </c>
      <c r="F690" t="s">
        <v>100</v>
      </c>
      <c r="G690" t="s">
        <v>98</v>
      </c>
      <c r="H690" t="s">
        <v>99</v>
      </c>
      <c r="I690" t="s">
        <v>2619</v>
      </c>
      <c r="J690" t="s">
        <v>2697</v>
      </c>
      <c r="K690" t="s">
        <v>25</v>
      </c>
      <c r="L690">
        <v>36</v>
      </c>
      <c r="M690">
        <v>4</v>
      </c>
      <c r="N690">
        <v>5</v>
      </c>
      <c r="O690" t="s">
        <v>506</v>
      </c>
      <c r="P690" t="s">
        <v>75</v>
      </c>
      <c r="Q690" t="s">
        <v>31</v>
      </c>
      <c r="R690" t="s">
        <v>43</v>
      </c>
      <c r="S690" t="s">
        <v>101</v>
      </c>
      <c r="T690">
        <v>3</v>
      </c>
      <c r="U690" s="5">
        <v>627.46</v>
      </c>
      <c r="V690" s="5">
        <v>1669.33</v>
      </c>
      <c r="W690">
        <v>4</v>
      </c>
      <c r="X690" t="s">
        <v>94</v>
      </c>
      <c r="Y690">
        <v>2025</v>
      </c>
      <c r="Z690" t="str">
        <f>TEXT(Table1[[#This Row],[Order Date]],"MMM")</f>
        <v>Oct</v>
      </c>
      <c r="AA690" s="5">
        <f>Table1[[#This Row],[Unit Price]]*Table1[[#This Row],[Quantity]]*(1-Table1[[#This Row],[Discount %]]/100)</f>
        <v>2384.348</v>
      </c>
      <c r="AB690" s="5">
        <f>Table1[[#This Row],[Sales]]-Table1[[#This Row],[Cost]]</f>
        <v>715.01800000000003</v>
      </c>
    </row>
    <row r="691" spans="1:28" x14ac:dyDescent="0.3">
      <c r="A691" t="s">
        <v>1908</v>
      </c>
      <c r="B691" s="1">
        <v>46045</v>
      </c>
      <c r="C691" t="s">
        <v>1909</v>
      </c>
      <c r="D691" t="s">
        <v>3471</v>
      </c>
      <c r="E691" s="1">
        <v>46050</v>
      </c>
      <c r="F691" t="s">
        <v>100</v>
      </c>
      <c r="G691" t="s">
        <v>98</v>
      </c>
      <c r="H691" t="s">
        <v>99</v>
      </c>
      <c r="I691" t="s">
        <v>2629</v>
      </c>
      <c r="J691" t="s">
        <v>2632</v>
      </c>
      <c r="K691" t="s">
        <v>52</v>
      </c>
      <c r="L691">
        <v>64</v>
      </c>
      <c r="M691">
        <v>4</v>
      </c>
      <c r="N691">
        <v>25</v>
      </c>
      <c r="O691" t="s">
        <v>899</v>
      </c>
      <c r="P691" t="s">
        <v>33</v>
      </c>
      <c r="Q691" t="s">
        <v>117</v>
      </c>
      <c r="R691" t="s">
        <v>62</v>
      </c>
      <c r="S691" t="s">
        <v>101</v>
      </c>
      <c r="T691">
        <v>5</v>
      </c>
      <c r="U691" s="5">
        <v>658.88</v>
      </c>
      <c r="V691" s="5">
        <v>1521.92</v>
      </c>
      <c r="W691">
        <v>5</v>
      </c>
      <c r="X691" t="s">
        <v>34</v>
      </c>
      <c r="Y691">
        <v>2026</v>
      </c>
      <c r="Z691" t="str">
        <f>TEXT(Table1[[#This Row],[Order Date]],"MMM")</f>
        <v>Jan</v>
      </c>
      <c r="AA691" s="5">
        <f>Table1[[#This Row],[Unit Price]]*Table1[[#This Row],[Quantity]]*(1-Table1[[#This Row],[Discount %]]/100)</f>
        <v>1976.6399999999999</v>
      </c>
      <c r="AB691" s="5">
        <f>Table1[[#This Row],[Sales]]-Table1[[#This Row],[Cost]]</f>
        <v>454.7199999999998</v>
      </c>
    </row>
    <row r="692" spans="1:28" x14ac:dyDescent="0.3">
      <c r="A692" t="s">
        <v>1910</v>
      </c>
      <c r="B692" s="1">
        <v>45649</v>
      </c>
      <c r="C692" t="s">
        <v>1911</v>
      </c>
      <c r="D692" t="s">
        <v>3472</v>
      </c>
      <c r="E692" s="1">
        <v>45650</v>
      </c>
      <c r="F692" t="s">
        <v>122</v>
      </c>
      <c r="G692" t="s">
        <v>120</v>
      </c>
      <c r="H692" t="s">
        <v>121</v>
      </c>
      <c r="I692" t="s">
        <v>2633</v>
      </c>
      <c r="J692" t="s">
        <v>2634</v>
      </c>
      <c r="K692" t="s">
        <v>25</v>
      </c>
      <c r="L692">
        <v>58</v>
      </c>
      <c r="M692">
        <v>5</v>
      </c>
      <c r="N692">
        <v>20</v>
      </c>
      <c r="O692" t="s">
        <v>1912</v>
      </c>
      <c r="P692" t="s">
        <v>75</v>
      </c>
      <c r="Q692" t="s">
        <v>117</v>
      </c>
      <c r="R692" t="s">
        <v>71</v>
      </c>
      <c r="S692" t="s">
        <v>123</v>
      </c>
      <c r="T692">
        <v>2</v>
      </c>
      <c r="U692" s="5">
        <v>168.5</v>
      </c>
      <c r="V692" s="5">
        <v>350.07</v>
      </c>
      <c r="W692">
        <v>1</v>
      </c>
      <c r="X692" t="s">
        <v>94</v>
      </c>
      <c r="Y692">
        <v>2024</v>
      </c>
      <c r="Z692" t="str">
        <f>TEXT(Table1[[#This Row],[Order Date]],"MMM")</f>
        <v>Dec</v>
      </c>
      <c r="AA692" s="5">
        <f>Table1[[#This Row],[Unit Price]]*Table1[[#This Row],[Quantity]]*(1-Table1[[#This Row],[Discount %]]/100)</f>
        <v>674</v>
      </c>
      <c r="AB692" s="5">
        <f>Table1[[#This Row],[Sales]]-Table1[[#This Row],[Cost]]</f>
        <v>323.93</v>
      </c>
    </row>
    <row r="693" spans="1:28" x14ac:dyDescent="0.3">
      <c r="A693" t="s">
        <v>1913</v>
      </c>
      <c r="B693" s="1">
        <v>45504</v>
      </c>
      <c r="C693" t="s">
        <v>1914</v>
      </c>
      <c r="D693" t="s">
        <v>3473</v>
      </c>
      <c r="E693" s="1">
        <v>45510</v>
      </c>
      <c r="F693" t="s">
        <v>56</v>
      </c>
      <c r="G693" t="s">
        <v>54</v>
      </c>
      <c r="H693" t="s">
        <v>55</v>
      </c>
      <c r="I693" t="s">
        <v>2643</v>
      </c>
      <c r="J693" t="s">
        <v>2644</v>
      </c>
      <c r="K693" t="s">
        <v>25</v>
      </c>
      <c r="L693">
        <v>53</v>
      </c>
      <c r="M693">
        <v>3</v>
      </c>
      <c r="N693">
        <v>15</v>
      </c>
      <c r="O693" t="s">
        <v>1047</v>
      </c>
      <c r="P693" t="s">
        <v>44</v>
      </c>
      <c r="Q693" t="s">
        <v>58</v>
      </c>
      <c r="R693" t="s">
        <v>43</v>
      </c>
      <c r="S693" t="s">
        <v>57</v>
      </c>
      <c r="T693">
        <v>1</v>
      </c>
      <c r="U693" s="5">
        <v>138.05000000000001</v>
      </c>
      <c r="V693" s="5">
        <v>189.96</v>
      </c>
      <c r="W693">
        <v>6</v>
      </c>
      <c r="X693" t="s">
        <v>45</v>
      </c>
      <c r="Y693">
        <v>2024</v>
      </c>
      <c r="Z693" t="str">
        <f>TEXT(Table1[[#This Row],[Order Date]],"MMM")</f>
        <v>Jul</v>
      </c>
      <c r="AA693" s="5">
        <f>Table1[[#This Row],[Unit Price]]*Table1[[#This Row],[Quantity]]*(1-Table1[[#This Row],[Discount %]]/100)</f>
        <v>352.02750000000003</v>
      </c>
      <c r="AB693" s="5">
        <f>Table1[[#This Row],[Sales]]-Table1[[#This Row],[Cost]]</f>
        <v>162.06750000000002</v>
      </c>
    </row>
    <row r="694" spans="1:28" x14ac:dyDescent="0.3">
      <c r="A694" t="s">
        <v>1915</v>
      </c>
      <c r="B694" s="1">
        <v>45489</v>
      </c>
      <c r="C694" t="s">
        <v>1916</v>
      </c>
      <c r="D694" t="s">
        <v>3474</v>
      </c>
      <c r="E694" s="1">
        <v>45495</v>
      </c>
      <c r="F694" t="s">
        <v>128</v>
      </c>
      <c r="G694" t="s">
        <v>98</v>
      </c>
      <c r="H694" t="s">
        <v>127</v>
      </c>
      <c r="I694" t="s">
        <v>2657</v>
      </c>
      <c r="J694" t="s">
        <v>2667</v>
      </c>
      <c r="K694" t="s">
        <v>52</v>
      </c>
      <c r="L694">
        <v>53</v>
      </c>
      <c r="M694">
        <v>3</v>
      </c>
      <c r="N694">
        <v>5</v>
      </c>
      <c r="O694" t="s">
        <v>1324</v>
      </c>
      <c r="P694" t="s">
        <v>33</v>
      </c>
      <c r="Q694" t="s">
        <v>58</v>
      </c>
      <c r="R694" t="s">
        <v>62</v>
      </c>
      <c r="S694" t="s">
        <v>129</v>
      </c>
      <c r="T694">
        <v>1</v>
      </c>
      <c r="U694" s="5">
        <v>43.7</v>
      </c>
      <c r="V694" s="5">
        <v>78.819999999999993</v>
      </c>
      <c r="W694">
        <v>6</v>
      </c>
      <c r="X694" t="s">
        <v>45</v>
      </c>
      <c r="Y694">
        <v>2024</v>
      </c>
      <c r="Z694" t="str">
        <f>TEXT(Table1[[#This Row],[Order Date]],"MMM")</f>
        <v>Jul</v>
      </c>
      <c r="AA694" s="5">
        <f>Table1[[#This Row],[Unit Price]]*Table1[[#This Row],[Quantity]]*(1-Table1[[#This Row],[Discount %]]/100)</f>
        <v>124.54500000000002</v>
      </c>
      <c r="AB694" s="5">
        <f>Table1[[#This Row],[Sales]]-Table1[[#This Row],[Cost]]</f>
        <v>45.725000000000023</v>
      </c>
    </row>
    <row r="695" spans="1:28" x14ac:dyDescent="0.3">
      <c r="A695" t="s">
        <v>1917</v>
      </c>
      <c r="B695" s="1">
        <v>46026</v>
      </c>
      <c r="C695" t="s">
        <v>1918</v>
      </c>
      <c r="D695" t="s">
        <v>3475</v>
      </c>
      <c r="E695" s="1">
        <v>46027</v>
      </c>
      <c r="F695" t="s">
        <v>122</v>
      </c>
      <c r="G695" t="s">
        <v>120</v>
      </c>
      <c r="H695" t="s">
        <v>121</v>
      </c>
      <c r="I695" t="s">
        <v>2671</v>
      </c>
      <c r="J695" t="s">
        <v>2672</v>
      </c>
      <c r="K695" t="s">
        <v>25</v>
      </c>
      <c r="L695">
        <v>51</v>
      </c>
      <c r="M695">
        <v>4</v>
      </c>
      <c r="N695">
        <v>30</v>
      </c>
      <c r="O695" t="s">
        <v>1919</v>
      </c>
      <c r="P695" t="s">
        <v>75</v>
      </c>
      <c r="Q695" t="s">
        <v>58</v>
      </c>
      <c r="R695" t="s">
        <v>62</v>
      </c>
      <c r="S695" t="s">
        <v>123</v>
      </c>
      <c r="T695">
        <v>1</v>
      </c>
      <c r="U695" s="5">
        <v>820.17</v>
      </c>
      <c r="V695" s="5">
        <v>1767.55</v>
      </c>
      <c r="W695">
        <v>1</v>
      </c>
      <c r="X695" t="s">
        <v>34</v>
      </c>
      <c r="Y695">
        <v>2026</v>
      </c>
      <c r="Z695" t="str">
        <f>TEXT(Table1[[#This Row],[Order Date]],"MMM")</f>
        <v>Jan</v>
      </c>
      <c r="AA695" s="5">
        <f>Table1[[#This Row],[Unit Price]]*Table1[[#This Row],[Quantity]]*(1-Table1[[#This Row],[Discount %]]/100)</f>
        <v>2296.4759999999997</v>
      </c>
      <c r="AB695" s="5">
        <f>Table1[[#This Row],[Sales]]-Table1[[#This Row],[Cost]]</f>
        <v>528.9259999999997</v>
      </c>
    </row>
    <row r="696" spans="1:28" x14ac:dyDescent="0.3">
      <c r="A696" t="s">
        <v>1920</v>
      </c>
      <c r="B696" s="1">
        <v>45905</v>
      </c>
      <c r="C696" t="s">
        <v>1921</v>
      </c>
      <c r="D696" t="s">
        <v>3476</v>
      </c>
      <c r="E696" s="1">
        <v>45911</v>
      </c>
      <c r="F696" t="s">
        <v>122</v>
      </c>
      <c r="G696" t="s">
        <v>120</v>
      </c>
      <c r="H696" t="s">
        <v>121</v>
      </c>
      <c r="I696" t="s">
        <v>2629</v>
      </c>
      <c r="J696" t="s">
        <v>2632</v>
      </c>
      <c r="K696" t="s">
        <v>25</v>
      </c>
      <c r="L696">
        <v>37</v>
      </c>
      <c r="M696">
        <v>3</v>
      </c>
      <c r="N696">
        <v>0</v>
      </c>
      <c r="O696" t="s">
        <v>774</v>
      </c>
      <c r="P696" t="s">
        <v>33</v>
      </c>
      <c r="Q696" t="s">
        <v>42</v>
      </c>
      <c r="R696" t="s">
        <v>43</v>
      </c>
      <c r="S696" t="s">
        <v>123</v>
      </c>
      <c r="T696">
        <v>1</v>
      </c>
      <c r="U696" s="5">
        <v>582.80999999999995</v>
      </c>
      <c r="V696" s="5">
        <v>1385.29</v>
      </c>
      <c r="W696">
        <v>6</v>
      </c>
      <c r="X696" t="s">
        <v>45</v>
      </c>
      <c r="Y696">
        <v>2025</v>
      </c>
      <c r="Z696" t="str">
        <f>TEXT(Table1[[#This Row],[Order Date]],"MMM")</f>
        <v>Sep</v>
      </c>
      <c r="AA696" s="5">
        <f>Table1[[#This Row],[Unit Price]]*Table1[[#This Row],[Quantity]]*(1-Table1[[#This Row],[Discount %]]/100)</f>
        <v>1748.4299999999998</v>
      </c>
      <c r="AB696" s="5">
        <f>Table1[[#This Row],[Sales]]-Table1[[#This Row],[Cost]]</f>
        <v>363.13999999999987</v>
      </c>
    </row>
    <row r="697" spans="1:28" x14ac:dyDescent="0.3">
      <c r="A697" t="s">
        <v>1922</v>
      </c>
      <c r="B697" s="1">
        <v>46059</v>
      </c>
      <c r="C697" t="s">
        <v>1923</v>
      </c>
      <c r="D697" t="s">
        <v>3477</v>
      </c>
      <c r="E697" s="1">
        <v>46064</v>
      </c>
      <c r="F697" t="s">
        <v>100</v>
      </c>
      <c r="G697" t="s">
        <v>98</v>
      </c>
      <c r="H697" t="s">
        <v>99</v>
      </c>
      <c r="I697" t="s">
        <v>2657</v>
      </c>
      <c r="J697" t="s">
        <v>2667</v>
      </c>
      <c r="K697" t="s">
        <v>25</v>
      </c>
      <c r="L697">
        <v>18</v>
      </c>
      <c r="M697">
        <v>4</v>
      </c>
      <c r="N697">
        <v>0</v>
      </c>
      <c r="O697" t="s">
        <v>414</v>
      </c>
      <c r="P697" t="s">
        <v>33</v>
      </c>
      <c r="Q697" t="s">
        <v>31</v>
      </c>
      <c r="R697" t="s">
        <v>71</v>
      </c>
      <c r="S697" t="s">
        <v>101</v>
      </c>
      <c r="T697">
        <v>2</v>
      </c>
      <c r="U697" s="5">
        <v>19.149999999999999</v>
      </c>
      <c r="V697" s="5">
        <v>38.4</v>
      </c>
      <c r="W697">
        <v>5</v>
      </c>
      <c r="X697" t="s">
        <v>34</v>
      </c>
      <c r="Y697">
        <v>2026</v>
      </c>
      <c r="Z697" t="str">
        <f>TEXT(Table1[[#This Row],[Order Date]],"MMM")</f>
        <v>Feb</v>
      </c>
      <c r="AA697" s="5">
        <f>Table1[[#This Row],[Unit Price]]*Table1[[#This Row],[Quantity]]*(1-Table1[[#This Row],[Discount %]]/100)</f>
        <v>76.599999999999994</v>
      </c>
      <c r="AB697" s="5">
        <f>Table1[[#This Row],[Sales]]-Table1[[#This Row],[Cost]]</f>
        <v>38.199999999999996</v>
      </c>
    </row>
    <row r="698" spans="1:28" x14ac:dyDescent="0.3">
      <c r="A698" t="s">
        <v>1924</v>
      </c>
      <c r="B698" s="1">
        <v>45407</v>
      </c>
      <c r="C698" t="s">
        <v>1925</v>
      </c>
      <c r="D698" t="s">
        <v>3478</v>
      </c>
      <c r="E698" s="1">
        <v>45411</v>
      </c>
      <c r="F698" t="s">
        <v>140</v>
      </c>
      <c r="G698" t="s">
        <v>38</v>
      </c>
      <c r="H698" t="s">
        <v>139</v>
      </c>
      <c r="I698" t="s">
        <v>2629</v>
      </c>
      <c r="J698" t="s">
        <v>2691</v>
      </c>
      <c r="K698" t="s">
        <v>52</v>
      </c>
      <c r="L698">
        <v>65</v>
      </c>
      <c r="M698">
        <v>5</v>
      </c>
      <c r="N698">
        <v>15</v>
      </c>
      <c r="O698" t="s">
        <v>1926</v>
      </c>
      <c r="P698" t="s">
        <v>44</v>
      </c>
      <c r="Q698" t="s">
        <v>117</v>
      </c>
      <c r="R698" t="s">
        <v>62</v>
      </c>
      <c r="S698" t="s">
        <v>141</v>
      </c>
      <c r="T698">
        <v>5</v>
      </c>
      <c r="U698" s="5">
        <v>284.62</v>
      </c>
      <c r="V698" s="5">
        <v>758.61</v>
      </c>
      <c r="W698">
        <v>4</v>
      </c>
      <c r="X698" t="s">
        <v>49</v>
      </c>
      <c r="Y698">
        <v>2024</v>
      </c>
      <c r="Z698" t="str">
        <f>TEXT(Table1[[#This Row],[Order Date]],"MMM")</f>
        <v>Apr</v>
      </c>
      <c r="AA698" s="5">
        <f>Table1[[#This Row],[Unit Price]]*Table1[[#This Row],[Quantity]]*(1-Table1[[#This Row],[Discount %]]/100)</f>
        <v>1209.635</v>
      </c>
      <c r="AB698" s="5">
        <f>Table1[[#This Row],[Sales]]-Table1[[#This Row],[Cost]]</f>
        <v>451.02499999999998</v>
      </c>
    </row>
    <row r="699" spans="1:28" x14ac:dyDescent="0.3">
      <c r="A699" t="s">
        <v>1927</v>
      </c>
      <c r="B699" s="1">
        <v>45430</v>
      </c>
      <c r="C699" t="s">
        <v>1928</v>
      </c>
      <c r="D699" t="s">
        <v>3479</v>
      </c>
      <c r="E699" s="1">
        <v>45434</v>
      </c>
      <c r="F699" t="s">
        <v>68</v>
      </c>
      <c r="G699" t="s">
        <v>66</v>
      </c>
      <c r="H699" t="s">
        <v>67</v>
      </c>
      <c r="I699" t="s">
        <v>2675</v>
      </c>
      <c r="J699" t="s">
        <v>2703</v>
      </c>
      <c r="K699" t="s">
        <v>52</v>
      </c>
      <c r="L699">
        <v>36</v>
      </c>
      <c r="M699">
        <v>1</v>
      </c>
      <c r="N699">
        <v>10</v>
      </c>
      <c r="O699" t="s">
        <v>93</v>
      </c>
      <c r="P699" t="s">
        <v>44</v>
      </c>
      <c r="Q699" t="s">
        <v>58</v>
      </c>
      <c r="R699" t="s">
        <v>43</v>
      </c>
      <c r="S699" t="s">
        <v>69</v>
      </c>
      <c r="T699">
        <v>5</v>
      </c>
      <c r="U699" s="5">
        <v>350.09</v>
      </c>
      <c r="V699" s="5">
        <v>185.55</v>
      </c>
      <c r="W699">
        <v>4</v>
      </c>
      <c r="X699" t="s">
        <v>49</v>
      </c>
      <c r="Y699">
        <v>2024</v>
      </c>
      <c r="Z699" t="str">
        <f>TEXT(Table1[[#This Row],[Order Date]],"MMM")</f>
        <v>May</v>
      </c>
      <c r="AA699" s="5">
        <f>Table1[[#This Row],[Unit Price]]*Table1[[#This Row],[Quantity]]*(1-Table1[[#This Row],[Discount %]]/100)</f>
        <v>315.08099999999996</v>
      </c>
      <c r="AB699" s="5">
        <f>Table1[[#This Row],[Sales]]-Table1[[#This Row],[Cost]]</f>
        <v>129.53099999999995</v>
      </c>
    </row>
    <row r="700" spans="1:28" x14ac:dyDescent="0.3">
      <c r="A700" t="s">
        <v>1929</v>
      </c>
      <c r="B700" s="1">
        <v>45721</v>
      </c>
      <c r="C700" t="s">
        <v>838</v>
      </c>
      <c r="D700" t="s">
        <v>3480</v>
      </c>
      <c r="E700" s="1">
        <v>45727</v>
      </c>
      <c r="F700" t="s">
        <v>40</v>
      </c>
      <c r="G700" t="s">
        <v>38</v>
      </c>
      <c r="H700" t="s">
        <v>39</v>
      </c>
      <c r="I700" t="s">
        <v>2618</v>
      </c>
      <c r="J700" t="s">
        <v>2682</v>
      </c>
      <c r="K700" t="s">
        <v>52</v>
      </c>
      <c r="L700">
        <v>25</v>
      </c>
      <c r="M700">
        <v>5</v>
      </c>
      <c r="N700">
        <v>5</v>
      </c>
      <c r="O700" t="s">
        <v>1930</v>
      </c>
      <c r="P700" t="s">
        <v>44</v>
      </c>
      <c r="Q700" t="s">
        <v>31</v>
      </c>
      <c r="R700" t="s">
        <v>43</v>
      </c>
      <c r="S700" t="s">
        <v>41</v>
      </c>
      <c r="T700">
        <v>5</v>
      </c>
      <c r="U700" s="5">
        <v>296.92</v>
      </c>
      <c r="V700" s="5">
        <v>815.62</v>
      </c>
      <c r="W700">
        <v>6</v>
      </c>
      <c r="X700" t="s">
        <v>34</v>
      </c>
      <c r="Y700">
        <v>2025</v>
      </c>
      <c r="Z700" t="str">
        <f>TEXT(Table1[[#This Row],[Order Date]],"MMM")</f>
        <v>Mar</v>
      </c>
      <c r="AA700" s="5">
        <f>Table1[[#This Row],[Unit Price]]*Table1[[#This Row],[Quantity]]*(1-Table1[[#This Row],[Discount %]]/100)</f>
        <v>1410.3700000000001</v>
      </c>
      <c r="AB700" s="5">
        <f>Table1[[#This Row],[Sales]]-Table1[[#This Row],[Cost]]</f>
        <v>594.75000000000011</v>
      </c>
    </row>
    <row r="701" spans="1:28" x14ac:dyDescent="0.3">
      <c r="A701" t="s">
        <v>1931</v>
      </c>
      <c r="B701" s="1">
        <v>45412</v>
      </c>
      <c r="C701" t="s">
        <v>1932</v>
      </c>
      <c r="D701" t="s">
        <v>3481</v>
      </c>
      <c r="E701" s="1">
        <v>45418</v>
      </c>
      <c r="F701" t="s">
        <v>128</v>
      </c>
      <c r="G701" t="s">
        <v>98</v>
      </c>
      <c r="H701" t="s">
        <v>127</v>
      </c>
      <c r="I701" t="s">
        <v>2619</v>
      </c>
      <c r="J701" t="s">
        <v>2620</v>
      </c>
      <c r="K701" t="s">
        <v>52</v>
      </c>
      <c r="L701">
        <v>47</v>
      </c>
      <c r="M701">
        <v>5</v>
      </c>
      <c r="N701">
        <v>5</v>
      </c>
      <c r="O701" t="s">
        <v>1933</v>
      </c>
      <c r="P701" t="s">
        <v>33</v>
      </c>
      <c r="Q701" t="s">
        <v>117</v>
      </c>
      <c r="R701" t="s">
        <v>62</v>
      </c>
      <c r="S701" t="s">
        <v>129</v>
      </c>
      <c r="T701">
        <v>3</v>
      </c>
      <c r="U701" s="5">
        <v>677.06</v>
      </c>
      <c r="V701" s="5">
        <v>1656.89</v>
      </c>
      <c r="W701">
        <v>6</v>
      </c>
      <c r="X701" t="s">
        <v>49</v>
      </c>
      <c r="Y701">
        <v>2024</v>
      </c>
      <c r="Z701" t="str">
        <f>TEXT(Table1[[#This Row],[Order Date]],"MMM")</f>
        <v>Apr</v>
      </c>
      <c r="AA701" s="5">
        <f>Table1[[#This Row],[Unit Price]]*Table1[[#This Row],[Quantity]]*(1-Table1[[#This Row],[Discount %]]/100)</f>
        <v>3216.0349999999994</v>
      </c>
      <c r="AB701" s="5">
        <f>Table1[[#This Row],[Sales]]-Table1[[#This Row],[Cost]]</f>
        <v>1559.1449999999993</v>
      </c>
    </row>
    <row r="702" spans="1:28" x14ac:dyDescent="0.3">
      <c r="A702" t="s">
        <v>1934</v>
      </c>
      <c r="B702" s="1">
        <v>45448</v>
      </c>
      <c r="C702" t="s">
        <v>170</v>
      </c>
      <c r="D702" t="s">
        <v>3482</v>
      </c>
      <c r="E702" s="1">
        <v>45449</v>
      </c>
      <c r="F702" t="s">
        <v>29</v>
      </c>
      <c r="G702" t="s">
        <v>27</v>
      </c>
      <c r="H702" t="s">
        <v>28</v>
      </c>
      <c r="I702" t="s">
        <v>2625</v>
      </c>
      <c r="J702" t="s">
        <v>2705</v>
      </c>
      <c r="K702" t="s">
        <v>25</v>
      </c>
      <c r="L702">
        <v>47</v>
      </c>
      <c r="M702">
        <v>5</v>
      </c>
      <c r="N702">
        <v>0</v>
      </c>
      <c r="O702" t="s">
        <v>1935</v>
      </c>
      <c r="P702" t="s">
        <v>44</v>
      </c>
      <c r="Q702" t="s">
        <v>117</v>
      </c>
      <c r="R702" t="s">
        <v>71</v>
      </c>
      <c r="S702" t="s">
        <v>30</v>
      </c>
      <c r="T702">
        <v>4</v>
      </c>
      <c r="U702" s="5">
        <v>152.76</v>
      </c>
      <c r="V702" s="5">
        <v>477.5</v>
      </c>
      <c r="W702">
        <v>1</v>
      </c>
      <c r="X702" t="s">
        <v>49</v>
      </c>
      <c r="Y702">
        <v>2024</v>
      </c>
      <c r="Z702" t="str">
        <f>TEXT(Table1[[#This Row],[Order Date]],"MMM")</f>
        <v>Jun</v>
      </c>
      <c r="AA702" s="5">
        <f>Table1[[#This Row],[Unit Price]]*Table1[[#This Row],[Quantity]]*(1-Table1[[#This Row],[Discount %]]/100)</f>
        <v>763.8</v>
      </c>
      <c r="AB702" s="5">
        <f>Table1[[#This Row],[Sales]]-Table1[[#This Row],[Cost]]</f>
        <v>286.29999999999995</v>
      </c>
    </row>
    <row r="703" spans="1:28" x14ac:dyDescent="0.3">
      <c r="A703" t="s">
        <v>1936</v>
      </c>
      <c r="B703" s="1">
        <v>45565</v>
      </c>
      <c r="C703" t="s">
        <v>1937</v>
      </c>
      <c r="D703" t="s">
        <v>2719</v>
      </c>
      <c r="E703" s="1">
        <v>45572</v>
      </c>
      <c r="F703" t="s">
        <v>29</v>
      </c>
      <c r="G703" t="s">
        <v>27</v>
      </c>
      <c r="H703" t="s">
        <v>28</v>
      </c>
      <c r="I703" t="s">
        <v>2652</v>
      </c>
      <c r="J703" t="s">
        <v>2679</v>
      </c>
      <c r="K703" t="s">
        <v>25</v>
      </c>
      <c r="L703">
        <v>48</v>
      </c>
      <c r="M703">
        <v>3</v>
      </c>
      <c r="N703">
        <v>10</v>
      </c>
      <c r="O703" t="s">
        <v>1938</v>
      </c>
      <c r="P703" t="s">
        <v>75</v>
      </c>
      <c r="Q703" t="s">
        <v>31</v>
      </c>
      <c r="R703" t="s">
        <v>71</v>
      </c>
      <c r="S703" t="s">
        <v>30</v>
      </c>
      <c r="T703">
        <v>3</v>
      </c>
      <c r="U703" s="5">
        <v>916.38</v>
      </c>
      <c r="V703" s="5">
        <v>1759.09</v>
      </c>
      <c r="W703">
        <v>7</v>
      </c>
      <c r="X703" t="s">
        <v>45</v>
      </c>
      <c r="Y703">
        <v>2024</v>
      </c>
      <c r="Z703" t="str">
        <f>TEXT(Table1[[#This Row],[Order Date]],"MMM")</f>
        <v>Sep</v>
      </c>
      <c r="AA703" s="5">
        <f>Table1[[#This Row],[Unit Price]]*Table1[[#This Row],[Quantity]]*(1-Table1[[#This Row],[Discount %]]/100)</f>
        <v>2474.2260000000001</v>
      </c>
      <c r="AB703" s="5">
        <f>Table1[[#This Row],[Sales]]-Table1[[#This Row],[Cost]]</f>
        <v>715.13600000000019</v>
      </c>
    </row>
    <row r="704" spans="1:28" x14ac:dyDescent="0.3">
      <c r="A704" t="s">
        <v>1939</v>
      </c>
      <c r="B704" s="1">
        <v>45457</v>
      </c>
      <c r="C704" t="s">
        <v>1940</v>
      </c>
      <c r="D704" t="s">
        <v>3483</v>
      </c>
      <c r="E704" s="1">
        <v>45463</v>
      </c>
      <c r="F704" t="s">
        <v>115</v>
      </c>
      <c r="G704" t="s">
        <v>66</v>
      </c>
      <c r="H704" t="s">
        <v>114</v>
      </c>
      <c r="I704" t="s">
        <v>2619</v>
      </c>
      <c r="J704" t="s">
        <v>2692</v>
      </c>
      <c r="K704" t="s">
        <v>52</v>
      </c>
      <c r="L704">
        <v>58</v>
      </c>
      <c r="M704">
        <v>2</v>
      </c>
      <c r="N704">
        <v>0</v>
      </c>
      <c r="O704" t="s">
        <v>634</v>
      </c>
      <c r="P704" t="s">
        <v>33</v>
      </c>
      <c r="Q704" t="s">
        <v>70</v>
      </c>
      <c r="R704" t="s">
        <v>43</v>
      </c>
      <c r="S704" t="s">
        <v>116</v>
      </c>
      <c r="T704">
        <v>5</v>
      </c>
      <c r="U704" s="5">
        <v>724.75</v>
      </c>
      <c r="V704" s="5">
        <v>1202.3699999999999</v>
      </c>
      <c r="W704">
        <v>6</v>
      </c>
      <c r="X704" t="s">
        <v>49</v>
      </c>
      <c r="Y704">
        <v>2024</v>
      </c>
      <c r="Z704" t="str">
        <f>TEXT(Table1[[#This Row],[Order Date]],"MMM")</f>
        <v>Jun</v>
      </c>
      <c r="AA704" s="5">
        <f>Table1[[#This Row],[Unit Price]]*Table1[[#This Row],[Quantity]]*(1-Table1[[#This Row],[Discount %]]/100)</f>
        <v>1449.5</v>
      </c>
      <c r="AB704" s="5">
        <f>Table1[[#This Row],[Sales]]-Table1[[#This Row],[Cost]]</f>
        <v>247.13000000000011</v>
      </c>
    </row>
    <row r="705" spans="1:28" x14ac:dyDescent="0.3">
      <c r="A705" t="s">
        <v>1941</v>
      </c>
      <c r="B705" s="1">
        <v>45503</v>
      </c>
      <c r="C705" t="s">
        <v>1942</v>
      </c>
      <c r="D705" t="s">
        <v>3484</v>
      </c>
      <c r="E705" s="1">
        <v>45509</v>
      </c>
      <c r="F705" t="s">
        <v>128</v>
      </c>
      <c r="G705" t="s">
        <v>98</v>
      </c>
      <c r="H705" t="s">
        <v>127</v>
      </c>
      <c r="I705" t="s">
        <v>2650</v>
      </c>
      <c r="J705" t="s">
        <v>2651</v>
      </c>
      <c r="K705" t="s">
        <v>52</v>
      </c>
      <c r="L705">
        <v>24</v>
      </c>
      <c r="M705">
        <v>4</v>
      </c>
      <c r="N705">
        <v>5</v>
      </c>
      <c r="O705" t="s">
        <v>135</v>
      </c>
      <c r="P705" t="s">
        <v>75</v>
      </c>
      <c r="Q705" t="s">
        <v>42</v>
      </c>
      <c r="R705" t="s">
        <v>62</v>
      </c>
      <c r="S705" t="s">
        <v>129</v>
      </c>
      <c r="T705">
        <v>5</v>
      </c>
      <c r="U705" s="5">
        <v>984.72</v>
      </c>
      <c r="V705" s="5">
        <v>2731.21</v>
      </c>
      <c r="W705">
        <v>6</v>
      </c>
      <c r="X705" t="s">
        <v>45</v>
      </c>
      <c r="Y705">
        <v>2024</v>
      </c>
      <c r="Z705" t="str">
        <f>TEXT(Table1[[#This Row],[Order Date]],"MMM")</f>
        <v>Jul</v>
      </c>
      <c r="AA705" s="5">
        <f>Table1[[#This Row],[Unit Price]]*Table1[[#This Row],[Quantity]]*(1-Table1[[#This Row],[Discount %]]/100)</f>
        <v>3741.9360000000001</v>
      </c>
      <c r="AB705" s="5">
        <f>Table1[[#This Row],[Sales]]-Table1[[#This Row],[Cost]]</f>
        <v>1010.7260000000001</v>
      </c>
    </row>
    <row r="706" spans="1:28" x14ac:dyDescent="0.3">
      <c r="A706" t="s">
        <v>1943</v>
      </c>
      <c r="B706" s="1">
        <v>45760</v>
      </c>
      <c r="C706" t="s">
        <v>1944</v>
      </c>
      <c r="D706" t="s">
        <v>3485</v>
      </c>
      <c r="E706" s="1">
        <v>45761</v>
      </c>
      <c r="F706" t="s">
        <v>56</v>
      </c>
      <c r="G706" t="s">
        <v>54</v>
      </c>
      <c r="H706" t="s">
        <v>55</v>
      </c>
      <c r="I706" t="s">
        <v>2635</v>
      </c>
      <c r="J706" t="s">
        <v>2636</v>
      </c>
      <c r="K706" t="s">
        <v>52</v>
      </c>
      <c r="L706">
        <v>58</v>
      </c>
      <c r="M706">
        <v>1</v>
      </c>
      <c r="N706">
        <v>20</v>
      </c>
      <c r="O706" t="s">
        <v>649</v>
      </c>
      <c r="P706" t="s">
        <v>44</v>
      </c>
      <c r="Q706" t="s">
        <v>58</v>
      </c>
      <c r="R706" t="s">
        <v>32</v>
      </c>
      <c r="S706" t="s">
        <v>57</v>
      </c>
      <c r="T706">
        <v>2</v>
      </c>
      <c r="U706" s="5">
        <v>841.61</v>
      </c>
      <c r="V706" s="5">
        <v>349.68</v>
      </c>
      <c r="W706">
        <v>1</v>
      </c>
      <c r="X706" t="s">
        <v>49</v>
      </c>
      <c r="Y706">
        <v>2025</v>
      </c>
      <c r="Z706" t="str">
        <f>TEXT(Table1[[#This Row],[Order Date]],"MMM")</f>
        <v>Apr</v>
      </c>
      <c r="AA706" s="5">
        <f>Table1[[#This Row],[Unit Price]]*Table1[[#This Row],[Quantity]]*(1-Table1[[#This Row],[Discount %]]/100)</f>
        <v>673.28800000000001</v>
      </c>
      <c r="AB706" s="5">
        <f>Table1[[#This Row],[Sales]]-Table1[[#This Row],[Cost]]</f>
        <v>323.608</v>
      </c>
    </row>
    <row r="707" spans="1:28" x14ac:dyDescent="0.3">
      <c r="A707" t="s">
        <v>1945</v>
      </c>
      <c r="B707" s="1">
        <v>45563</v>
      </c>
      <c r="C707" t="s">
        <v>1946</v>
      </c>
      <c r="D707" t="s">
        <v>3486</v>
      </c>
      <c r="E707" s="1">
        <v>45569</v>
      </c>
      <c r="F707" t="s">
        <v>115</v>
      </c>
      <c r="G707" t="s">
        <v>66</v>
      </c>
      <c r="H707" t="s">
        <v>114</v>
      </c>
      <c r="I707" t="s">
        <v>2631</v>
      </c>
      <c r="J707" t="s">
        <v>2639</v>
      </c>
      <c r="K707" t="s">
        <v>25</v>
      </c>
      <c r="L707">
        <v>58</v>
      </c>
      <c r="M707">
        <v>4</v>
      </c>
      <c r="N707">
        <v>0</v>
      </c>
      <c r="O707" t="s">
        <v>431</v>
      </c>
      <c r="P707" t="s">
        <v>44</v>
      </c>
      <c r="Q707" t="s">
        <v>70</v>
      </c>
      <c r="R707" t="s">
        <v>43</v>
      </c>
      <c r="S707" t="s">
        <v>116</v>
      </c>
      <c r="T707">
        <v>4</v>
      </c>
      <c r="U707" s="5">
        <v>200.79</v>
      </c>
      <c r="V707" s="5">
        <v>658.72</v>
      </c>
      <c r="W707">
        <v>6</v>
      </c>
      <c r="X707" t="s">
        <v>45</v>
      </c>
      <c r="Y707">
        <v>2024</v>
      </c>
      <c r="Z707" t="str">
        <f>TEXT(Table1[[#This Row],[Order Date]],"MMM")</f>
        <v>Sep</v>
      </c>
      <c r="AA707" s="5">
        <f>Table1[[#This Row],[Unit Price]]*Table1[[#This Row],[Quantity]]*(1-Table1[[#This Row],[Discount %]]/100)</f>
        <v>803.16</v>
      </c>
      <c r="AB707" s="5">
        <f>Table1[[#This Row],[Sales]]-Table1[[#This Row],[Cost]]</f>
        <v>144.43999999999994</v>
      </c>
    </row>
    <row r="708" spans="1:28" x14ac:dyDescent="0.3">
      <c r="A708" t="s">
        <v>1947</v>
      </c>
      <c r="B708" s="1">
        <v>46069</v>
      </c>
      <c r="C708" t="s">
        <v>1948</v>
      </c>
      <c r="D708" t="s">
        <v>3487</v>
      </c>
      <c r="E708" s="1">
        <v>46072</v>
      </c>
      <c r="F708" t="s">
        <v>68</v>
      </c>
      <c r="G708" t="s">
        <v>66</v>
      </c>
      <c r="H708" t="s">
        <v>67</v>
      </c>
      <c r="I708" t="s">
        <v>2627</v>
      </c>
      <c r="J708" t="s">
        <v>2707</v>
      </c>
      <c r="K708" t="s">
        <v>52</v>
      </c>
      <c r="L708">
        <v>21</v>
      </c>
      <c r="M708">
        <v>4</v>
      </c>
      <c r="N708">
        <v>10</v>
      </c>
      <c r="O708" t="s">
        <v>1949</v>
      </c>
      <c r="P708" t="s">
        <v>44</v>
      </c>
      <c r="Q708" t="s">
        <v>58</v>
      </c>
      <c r="R708" t="s">
        <v>43</v>
      </c>
      <c r="S708" t="s">
        <v>69</v>
      </c>
      <c r="T708">
        <v>3</v>
      </c>
      <c r="U708" s="5">
        <v>782.13</v>
      </c>
      <c r="V708" s="5">
        <v>1720.97</v>
      </c>
      <c r="W708">
        <v>3</v>
      </c>
      <c r="X708" t="s">
        <v>34</v>
      </c>
      <c r="Y708">
        <v>2026</v>
      </c>
      <c r="Z708" t="str">
        <f>TEXT(Table1[[#This Row],[Order Date]],"MMM")</f>
        <v>Feb</v>
      </c>
      <c r="AA708" s="5">
        <f>Table1[[#This Row],[Unit Price]]*Table1[[#This Row],[Quantity]]*(1-Table1[[#This Row],[Discount %]]/100)</f>
        <v>2815.6680000000001</v>
      </c>
      <c r="AB708" s="5">
        <f>Table1[[#This Row],[Sales]]-Table1[[#This Row],[Cost]]</f>
        <v>1094.6980000000001</v>
      </c>
    </row>
    <row r="709" spans="1:28" x14ac:dyDescent="0.3">
      <c r="A709" t="s">
        <v>1950</v>
      </c>
      <c r="B709" s="1">
        <v>45856</v>
      </c>
      <c r="C709" t="s">
        <v>1951</v>
      </c>
      <c r="D709" t="s">
        <v>3488</v>
      </c>
      <c r="E709" s="1">
        <v>45857</v>
      </c>
      <c r="F709" t="s">
        <v>40</v>
      </c>
      <c r="G709" t="s">
        <v>38</v>
      </c>
      <c r="H709" t="s">
        <v>39</v>
      </c>
      <c r="I709" t="s">
        <v>2621</v>
      </c>
      <c r="J709" t="s">
        <v>2622</v>
      </c>
      <c r="K709" t="s">
        <v>25</v>
      </c>
      <c r="L709">
        <v>34</v>
      </c>
      <c r="M709">
        <v>4</v>
      </c>
      <c r="N709">
        <v>0</v>
      </c>
      <c r="O709" t="s">
        <v>1952</v>
      </c>
      <c r="P709" t="s">
        <v>75</v>
      </c>
      <c r="Q709" t="s">
        <v>117</v>
      </c>
      <c r="R709" t="s">
        <v>43</v>
      </c>
      <c r="S709" t="s">
        <v>41</v>
      </c>
      <c r="T709">
        <v>3</v>
      </c>
      <c r="U709" s="5">
        <v>813.44</v>
      </c>
      <c r="V709" s="5">
        <v>2082.17</v>
      </c>
      <c r="W709">
        <v>1</v>
      </c>
      <c r="X709" t="s">
        <v>45</v>
      </c>
      <c r="Y709">
        <v>2025</v>
      </c>
      <c r="Z709" t="str">
        <f>TEXT(Table1[[#This Row],[Order Date]],"MMM")</f>
        <v>Jul</v>
      </c>
      <c r="AA709" s="5">
        <f>Table1[[#This Row],[Unit Price]]*Table1[[#This Row],[Quantity]]*(1-Table1[[#This Row],[Discount %]]/100)</f>
        <v>3253.76</v>
      </c>
      <c r="AB709" s="5">
        <f>Table1[[#This Row],[Sales]]-Table1[[#This Row],[Cost]]</f>
        <v>1171.5900000000001</v>
      </c>
    </row>
    <row r="710" spans="1:28" x14ac:dyDescent="0.3">
      <c r="A710" t="s">
        <v>1953</v>
      </c>
      <c r="B710" s="1">
        <v>45680</v>
      </c>
      <c r="C710" t="s">
        <v>1954</v>
      </c>
      <c r="D710" t="s">
        <v>3489</v>
      </c>
      <c r="E710" s="1">
        <v>45683</v>
      </c>
      <c r="F710" t="s">
        <v>115</v>
      </c>
      <c r="G710" t="s">
        <v>66</v>
      </c>
      <c r="H710" t="s">
        <v>114</v>
      </c>
      <c r="I710" t="s">
        <v>2621</v>
      </c>
      <c r="J710" t="s">
        <v>2663</v>
      </c>
      <c r="K710" t="s">
        <v>25</v>
      </c>
      <c r="L710">
        <v>61</v>
      </c>
      <c r="M710">
        <v>3</v>
      </c>
      <c r="N710">
        <v>5</v>
      </c>
      <c r="O710" t="s">
        <v>449</v>
      </c>
      <c r="P710" t="s">
        <v>44</v>
      </c>
      <c r="Q710" t="s">
        <v>42</v>
      </c>
      <c r="R710" t="s">
        <v>62</v>
      </c>
      <c r="S710" t="s">
        <v>116</v>
      </c>
      <c r="T710">
        <v>5</v>
      </c>
      <c r="U710" s="5">
        <v>738.98</v>
      </c>
      <c r="V710" s="5">
        <v>1610.18</v>
      </c>
      <c r="W710">
        <v>3</v>
      </c>
      <c r="X710" t="s">
        <v>34</v>
      </c>
      <c r="Y710">
        <v>2025</v>
      </c>
      <c r="Z710" t="str">
        <f>TEXT(Table1[[#This Row],[Order Date]],"MMM")</f>
        <v>Jan</v>
      </c>
      <c r="AA710" s="5">
        <f>Table1[[#This Row],[Unit Price]]*Table1[[#This Row],[Quantity]]*(1-Table1[[#This Row],[Discount %]]/100)</f>
        <v>2106.0929999999998</v>
      </c>
      <c r="AB710" s="5">
        <f>Table1[[#This Row],[Sales]]-Table1[[#This Row],[Cost]]</f>
        <v>495.91299999999978</v>
      </c>
    </row>
    <row r="711" spans="1:28" x14ac:dyDescent="0.3">
      <c r="A711" t="s">
        <v>1955</v>
      </c>
      <c r="B711" s="1">
        <v>45515</v>
      </c>
      <c r="C711" t="s">
        <v>1956</v>
      </c>
      <c r="D711" t="s">
        <v>3490</v>
      </c>
      <c r="E711" s="1">
        <v>45519</v>
      </c>
      <c r="F711" t="s">
        <v>68</v>
      </c>
      <c r="G711" t="s">
        <v>66</v>
      </c>
      <c r="H711" t="s">
        <v>67</v>
      </c>
      <c r="I711" t="s">
        <v>2628</v>
      </c>
      <c r="J711" t="s">
        <v>2641</v>
      </c>
      <c r="K711" t="s">
        <v>25</v>
      </c>
      <c r="L711">
        <v>23</v>
      </c>
      <c r="M711">
        <v>4</v>
      </c>
      <c r="N711">
        <v>30</v>
      </c>
      <c r="O711" t="s">
        <v>1957</v>
      </c>
      <c r="P711" t="s">
        <v>75</v>
      </c>
      <c r="Q711" t="s">
        <v>58</v>
      </c>
      <c r="R711" t="s">
        <v>62</v>
      </c>
      <c r="S711" t="s">
        <v>69</v>
      </c>
      <c r="T711">
        <v>3</v>
      </c>
      <c r="U711" s="5">
        <v>373.04</v>
      </c>
      <c r="V711" s="5">
        <v>641.64</v>
      </c>
      <c r="W711">
        <v>4</v>
      </c>
      <c r="X711" t="s">
        <v>45</v>
      </c>
      <c r="Y711">
        <v>2024</v>
      </c>
      <c r="Z711" t="str">
        <f>TEXT(Table1[[#This Row],[Order Date]],"MMM")</f>
        <v>Aug</v>
      </c>
      <c r="AA711" s="5">
        <f>Table1[[#This Row],[Unit Price]]*Table1[[#This Row],[Quantity]]*(1-Table1[[#This Row],[Discount %]]/100)</f>
        <v>1044.5119999999999</v>
      </c>
      <c r="AB711" s="5">
        <f>Table1[[#This Row],[Sales]]-Table1[[#This Row],[Cost]]</f>
        <v>402.87199999999996</v>
      </c>
    </row>
    <row r="712" spans="1:28" x14ac:dyDescent="0.3">
      <c r="A712" t="s">
        <v>1958</v>
      </c>
      <c r="B712" s="1">
        <v>46069</v>
      </c>
      <c r="C712" t="s">
        <v>1959</v>
      </c>
      <c r="D712" t="s">
        <v>3491</v>
      </c>
      <c r="E712" s="1">
        <v>46071</v>
      </c>
      <c r="F712" t="s">
        <v>56</v>
      </c>
      <c r="G712" t="s">
        <v>54</v>
      </c>
      <c r="H712" t="s">
        <v>55</v>
      </c>
      <c r="I712" t="s">
        <v>2621</v>
      </c>
      <c r="J712" t="s">
        <v>2647</v>
      </c>
      <c r="K712" t="s">
        <v>25</v>
      </c>
      <c r="L712">
        <v>30</v>
      </c>
      <c r="M712">
        <v>4</v>
      </c>
      <c r="N712">
        <v>30</v>
      </c>
      <c r="O712" t="s">
        <v>1315</v>
      </c>
      <c r="P712" t="s">
        <v>75</v>
      </c>
      <c r="Q712" t="s">
        <v>117</v>
      </c>
      <c r="R712" t="s">
        <v>32</v>
      </c>
      <c r="S712" t="s">
        <v>57</v>
      </c>
      <c r="T712">
        <v>5</v>
      </c>
      <c r="U712" s="5">
        <v>145.71</v>
      </c>
      <c r="V712" s="5">
        <v>337.83</v>
      </c>
      <c r="W712">
        <v>2</v>
      </c>
      <c r="X712" t="s">
        <v>34</v>
      </c>
      <c r="Y712">
        <v>2026</v>
      </c>
      <c r="Z712" t="str">
        <f>TEXT(Table1[[#This Row],[Order Date]],"MMM")</f>
        <v>Feb</v>
      </c>
      <c r="AA712" s="5">
        <f>Table1[[#This Row],[Unit Price]]*Table1[[#This Row],[Quantity]]*(1-Table1[[#This Row],[Discount %]]/100)</f>
        <v>407.988</v>
      </c>
      <c r="AB712" s="5">
        <f>Table1[[#This Row],[Sales]]-Table1[[#This Row],[Cost]]</f>
        <v>70.158000000000015</v>
      </c>
    </row>
    <row r="713" spans="1:28" x14ac:dyDescent="0.3">
      <c r="A713" t="s">
        <v>1960</v>
      </c>
      <c r="B713" s="1">
        <v>45431</v>
      </c>
      <c r="C713" t="s">
        <v>1961</v>
      </c>
      <c r="D713" t="s">
        <v>3492</v>
      </c>
      <c r="E713" s="1">
        <v>45435</v>
      </c>
      <c r="F713" t="s">
        <v>115</v>
      </c>
      <c r="G713" t="s">
        <v>66</v>
      </c>
      <c r="H713" t="s">
        <v>114</v>
      </c>
      <c r="I713" t="s">
        <v>2635</v>
      </c>
      <c r="J713" t="s">
        <v>2683</v>
      </c>
      <c r="K713" t="s">
        <v>25</v>
      </c>
      <c r="L713">
        <v>54</v>
      </c>
      <c r="M713">
        <v>3</v>
      </c>
      <c r="N713">
        <v>20</v>
      </c>
      <c r="O713" t="s">
        <v>1962</v>
      </c>
      <c r="P713" t="s">
        <v>75</v>
      </c>
      <c r="Q713" t="s">
        <v>70</v>
      </c>
      <c r="R713" t="s">
        <v>62</v>
      </c>
      <c r="S713" t="s">
        <v>116</v>
      </c>
      <c r="T713">
        <v>1</v>
      </c>
      <c r="U713" s="5">
        <v>152.07</v>
      </c>
      <c r="V713" s="5">
        <v>299.64999999999998</v>
      </c>
      <c r="W713">
        <v>4</v>
      </c>
      <c r="X713" t="s">
        <v>49</v>
      </c>
      <c r="Y713">
        <v>2024</v>
      </c>
      <c r="Z713" t="str">
        <f>TEXT(Table1[[#This Row],[Order Date]],"MMM")</f>
        <v>May</v>
      </c>
      <c r="AA713" s="5">
        <f>Table1[[#This Row],[Unit Price]]*Table1[[#This Row],[Quantity]]*(1-Table1[[#This Row],[Discount %]]/100)</f>
        <v>364.96800000000002</v>
      </c>
      <c r="AB713" s="5">
        <f>Table1[[#This Row],[Sales]]-Table1[[#This Row],[Cost]]</f>
        <v>65.31800000000004</v>
      </c>
    </row>
    <row r="714" spans="1:28" x14ac:dyDescent="0.3">
      <c r="A714" t="s">
        <v>1963</v>
      </c>
      <c r="B714" s="1">
        <v>45501</v>
      </c>
      <c r="C714" t="s">
        <v>1964</v>
      </c>
      <c r="D714" t="s">
        <v>3493</v>
      </c>
      <c r="E714" s="1">
        <v>45507</v>
      </c>
      <c r="F714" t="s">
        <v>29</v>
      </c>
      <c r="G714" t="s">
        <v>27</v>
      </c>
      <c r="H714" t="s">
        <v>28</v>
      </c>
      <c r="I714" t="s">
        <v>2625</v>
      </c>
      <c r="J714" t="s">
        <v>2693</v>
      </c>
      <c r="K714" t="s">
        <v>52</v>
      </c>
      <c r="L714">
        <v>40</v>
      </c>
      <c r="M714">
        <v>2</v>
      </c>
      <c r="N714">
        <v>5</v>
      </c>
      <c r="O714" t="s">
        <v>1848</v>
      </c>
      <c r="P714" t="s">
        <v>44</v>
      </c>
      <c r="Q714" t="s">
        <v>42</v>
      </c>
      <c r="R714" t="s">
        <v>62</v>
      </c>
      <c r="S714" t="s">
        <v>30</v>
      </c>
      <c r="T714">
        <v>4</v>
      </c>
      <c r="U714" s="5">
        <v>680.52</v>
      </c>
      <c r="V714" s="5">
        <v>904.63</v>
      </c>
      <c r="W714">
        <v>6</v>
      </c>
      <c r="X714" t="s">
        <v>45</v>
      </c>
      <c r="Y714">
        <v>2024</v>
      </c>
      <c r="Z714" t="str">
        <f>TEXT(Table1[[#This Row],[Order Date]],"MMM")</f>
        <v>Jul</v>
      </c>
      <c r="AA714" s="5">
        <f>Table1[[#This Row],[Unit Price]]*Table1[[#This Row],[Quantity]]*(1-Table1[[#This Row],[Discount %]]/100)</f>
        <v>1292.9879999999998</v>
      </c>
      <c r="AB714" s="5">
        <f>Table1[[#This Row],[Sales]]-Table1[[#This Row],[Cost]]</f>
        <v>388.35799999999983</v>
      </c>
    </row>
    <row r="715" spans="1:28" x14ac:dyDescent="0.3">
      <c r="A715" t="s">
        <v>1965</v>
      </c>
      <c r="B715" s="1">
        <v>45683</v>
      </c>
      <c r="C715" t="s">
        <v>1966</v>
      </c>
      <c r="D715" t="s">
        <v>3494</v>
      </c>
      <c r="E715" s="1">
        <v>45689</v>
      </c>
      <c r="F715" t="s">
        <v>100</v>
      </c>
      <c r="G715" t="s">
        <v>98</v>
      </c>
      <c r="H715" t="s">
        <v>99</v>
      </c>
      <c r="I715" t="s">
        <v>2657</v>
      </c>
      <c r="J715" t="s">
        <v>2667</v>
      </c>
      <c r="K715" t="s">
        <v>52</v>
      </c>
      <c r="L715">
        <v>25</v>
      </c>
      <c r="M715">
        <v>1</v>
      </c>
      <c r="N715">
        <v>25</v>
      </c>
      <c r="O715" t="s">
        <v>1967</v>
      </c>
      <c r="P715" t="s">
        <v>33</v>
      </c>
      <c r="Q715" t="s">
        <v>117</v>
      </c>
      <c r="R715" t="s">
        <v>32</v>
      </c>
      <c r="S715" t="s">
        <v>101</v>
      </c>
      <c r="T715">
        <v>5</v>
      </c>
      <c r="U715" s="5">
        <v>871.18</v>
      </c>
      <c r="V715" s="5">
        <v>417.43</v>
      </c>
      <c r="W715">
        <v>6</v>
      </c>
      <c r="X715" t="s">
        <v>34</v>
      </c>
      <c r="Y715">
        <v>2025</v>
      </c>
      <c r="Z715" t="str">
        <f>TEXT(Table1[[#This Row],[Order Date]],"MMM")</f>
        <v>Jan</v>
      </c>
      <c r="AA715" s="5">
        <f>Table1[[#This Row],[Unit Price]]*Table1[[#This Row],[Quantity]]*(1-Table1[[#This Row],[Discount %]]/100)</f>
        <v>653.38499999999999</v>
      </c>
      <c r="AB715" s="5">
        <f>Table1[[#This Row],[Sales]]-Table1[[#This Row],[Cost]]</f>
        <v>235.95499999999998</v>
      </c>
    </row>
    <row r="716" spans="1:28" x14ac:dyDescent="0.3">
      <c r="A716" t="s">
        <v>1968</v>
      </c>
      <c r="B716" s="1">
        <v>45597</v>
      </c>
      <c r="C716" t="s">
        <v>1969</v>
      </c>
      <c r="D716" t="s">
        <v>3495</v>
      </c>
      <c r="E716" s="1">
        <v>45602</v>
      </c>
      <c r="F716" t="s">
        <v>29</v>
      </c>
      <c r="G716" t="s">
        <v>27</v>
      </c>
      <c r="H716" t="s">
        <v>28</v>
      </c>
      <c r="I716" t="s">
        <v>2621</v>
      </c>
      <c r="J716" t="s">
        <v>2622</v>
      </c>
      <c r="K716" t="s">
        <v>52</v>
      </c>
      <c r="L716">
        <v>45</v>
      </c>
      <c r="M716">
        <v>2</v>
      </c>
      <c r="N716">
        <v>5</v>
      </c>
      <c r="O716" t="s">
        <v>1219</v>
      </c>
      <c r="P716" t="s">
        <v>75</v>
      </c>
      <c r="Q716" t="s">
        <v>31</v>
      </c>
      <c r="R716" t="s">
        <v>71</v>
      </c>
      <c r="S716" t="s">
        <v>30</v>
      </c>
      <c r="T716">
        <v>4</v>
      </c>
      <c r="U716" s="5">
        <v>16.71</v>
      </c>
      <c r="V716" s="5">
        <v>25.61</v>
      </c>
      <c r="W716">
        <v>5</v>
      </c>
      <c r="X716" t="s">
        <v>94</v>
      </c>
      <c r="Y716">
        <v>2024</v>
      </c>
      <c r="Z716" t="str">
        <f>TEXT(Table1[[#This Row],[Order Date]],"MMM")</f>
        <v>Nov</v>
      </c>
      <c r="AA716" s="5">
        <f>Table1[[#This Row],[Unit Price]]*Table1[[#This Row],[Quantity]]*(1-Table1[[#This Row],[Discount %]]/100)</f>
        <v>31.748999999999999</v>
      </c>
      <c r="AB716" s="5">
        <f>Table1[[#This Row],[Sales]]-Table1[[#This Row],[Cost]]</f>
        <v>6.1389999999999993</v>
      </c>
    </row>
    <row r="717" spans="1:28" x14ac:dyDescent="0.3">
      <c r="A717" t="s">
        <v>1970</v>
      </c>
      <c r="B717" s="1">
        <v>45873</v>
      </c>
      <c r="C717" t="s">
        <v>1971</v>
      </c>
      <c r="D717" t="s">
        <v>3496</v>
      </c>
      <c r="E717" s="1">
        <v>45874</v>
      </c>
      <c r="F717" t="s">
        <v>128</v>
      </c>
      <c r="G717" t="s">
        <v>98</v>
      </c>
      <c r="H717" t="s">
        <v>127</v>
      </c>
      <c r="I717" t="s">
        <v>2631</v>
      </c>
      <c r="J717" t="s">
        <v>2673</v>
      </c>
      <c r="K717" t="s">
        <v>25</v>
      </c>
      <c r="L717">
        <v>57</v>
      </c>
      <c r="M717">
        <v>4</v>
      </c>
      <c r="N717">
        <v>30</v>
      </c>
      <c r="O717" t="s">
        <v>1161</v>
      </c>
      <c r="P717" t="s">
        <v>75</v>
      </c>
      <c r="Q717" t="s">
        <v>117</v>
      </c>
      <c r="R717" t="s">
        <v>43</v>
      </c>
      <c r="S717" t="s">
        <v>129</v>
      </c>
      <c r="T717">
        <v>5</v>
      </c>
      <c r="U717" s="5">
        <v>513.17999999999995</v>
      </c>
      <c r="V717" s="5">
        <v>780.54</v>
      </c>
      <c r="W717">
        <v>1</v>
      </c>
      <c r="X717" t="s">
        <v>45</v>
      </c>
      <c r="Y717">
        <v>2025</v>
      </c>
      <c r="Z717" t="str">
        <f>TEXT(Table1[[#This Row],[Order Date]],"MMM")</f>
        <v>Aug</v>
      </c>
      <c r="AA717" s="5">
        <f>Table1[[#This Row],[Unit Price]]*Table1[[#This Row],[Quantity]]*(1-Table1[[#This Row],[Discount %]]/100)</f>
        <v>1436.9039999999998</v>
      </c>
      <c r="AB717" s="5">
        <f>Table1[[#This Row],[Sales]]-Table1[[#This Row],[Cost]]</f>
        <v>656.36399999999981</v>
      </c>
    </row>
    <row r="718" spans="1:28" x14ac:dyDescent="0.3">
      <c r="A718" t="s">
        <v>1972</v>
      </c>
      <c r="B718" s="1">
        <v>45466</v>
      </c>
      <c r="C718" t="s">
        <v>1973</v>
      </c>
      <c r="D718" t="s">
        <v>2725</v>
      </c>
      <c r="E718" s="1">
        <v>45471</v>
      </c>
      <c r="F718" t="s">
        <v>68</v>
      </c>
      <c r="G718" t="s">
        <v>66</v>
      </c>
      <c r="H718" t="s">
        <v>67</v>
      </c>
      <c r="I718" t="s">
        <v>2619</v>
      </c>
      <c r="J718" t="s">
        <v>2697</v>
      </c>
      <c r="K718" t="s">
        <v>52</v>
      </c>
      <c r="L718">
        <v>18</v>
      </c>
      <c r="M718">
        <v>4</v>
      </c>
      <c r="N718">
        <v>30</v>
      </c>
      <c r="O718" t="s">
        <v>1370</v>
      </c>
      <c r="P718" t="s">
        <v>33</v>
      </c>
      <c r="Q718" t="s">
        <v>42</v>
      </c>
      <c r="R718" t="s">
        <v>62</v>
      </c>
      <c r="S718" t="s">
        <v>69</v>
      </c>
      <c r="T718">
        <v>5</v>
      </c>
      <c r="U718" s="5">
        <v>629.49</v>
      </c>
      <c r="V718" s="5">
        <v>1186.05</v>
      </c>
      <c r="W718">
        <v>5</v>
      </c>
      <c r="X718" t="s">
        <v>49</v>
      </c>
      <c r="Y718">
        <v>2024</v>
      </c>
      <c r="Z718" t="str">
        <f>TEXT(Table1[[#This Row],[Order Date]],"MMM")</f>
        <v>Jun</v>
      </c>
      <c r="AA718" s="5">
        <f>Table1[[#This Row],[Unit Price]]*Table1[[#This Row],[Quantity]]*(1-Table1[[#This Row],[Discount %]]/100)</f>
        <v>1762.5719999999999</v>
      </c>
      <c r="AB718" s="5">
        <f>Table1[[#This Row],[Sales]]-Table1[[#This Row],[Cost]]</f>
        <v>576.52199999999993</v>
      </c>
    </row>
    <row r="719" spans="1:28" x14ac:dyDescent="0.3">
      <c r="A719" t="s">
        <v>1974</v>
      </c>
      <c r="B719" s="1">
        <v>45870</v>
      </c>
      <c r="C719" t="s">
        <v>1975</v>
      </c>
      <c r="D719" t="s">
        <v>2724</v>
      </c>
      <c r="E719" s="1">
        <v>45877</v>
      </c>
      <c r="F719" t="s">
        <v>56</v>
      </c>
      <c r="G719" t="s">
        <v>54</v>
      </c>
      <c r="H719" t="s">
        <v>55</v>
      </c>
      <c r="I719" t="s">
        <v>2621</v>
      </c>
      <c r="J719" t="s">
        <v>2647</v>
      </c>
      <c r="K719" t="s">
        <v>25</v>
      </c>
      <c r="L719">
        <v>44</v>
      </c>
      <c r="M719">
        <v>3</v>
      </c>
      <c r="N719">
        <v>30</v>
      </c>
      <c r="O719" t="s">
        <v>316</v>
      </c>
      <c r="P719" t="s">
        <v>75</v>
      </c>
      <c r="Q719" t="s">
        <v>42</v>
      </c>
      <c r="R719" t="s">
        <v>71</v>
      </c>
      <c r="S719" t="s">
        <v>57</v>
      </c>
      <c r="T719">
        <v>2</v>
      </c>
      <c r="U719" s="5">
        <v>742.65</v>
      </c>
      <c r="V719" s="5">
        <v>852.28</v>
      </c>
      <c r="W719">
        <v>7</v>
      </c>
      <c r="X719" t="s">
        <v>45</v>
      </c>
      <c r="Y719">
        <v>2025</v>
      </c>
      <c r="Z719" t="str">
        <f>TEXT(Table1[[#This Row],[Order Date]],"MMM")</f>
        <v>Aug</v>
      </c>
      <c r="AA719" s="5">
        <f>Table1[[#This Row],[Unit Price]]*Table1[[#This Row],[Quantity]]*(1-Table1[[#This Row],[Discount %]]/100)</f>
        <v>1559.5649999999998</v>
      </c>
      <c r="AB719" s="5">
        <f>Table1[[#This Row],[Sales]]-Table1[[#This Row],[Cost]]</f>
        <v>707.28499999999985</v>
      </c>
    </row>
    <row r="720" spans="1:28" x14ac:dyDescent="0.3">
      <c r="A720" t="s">
        <v>1976</v>
      </c>
      <c r="B720" s="1">
        <v>45892</v>
      </c>
      <c r="C720" t="s">
        <v>1977</v>
      </c>
      <c r="D720" t="s">
        <v>3497</v>
      </c>
      <c r="E720" s="1">
        <v>45893</v>
      </c>
      <c r="F720" t="s">
        <v>40</v>
      </c>
      <c r="G720" t="s">
        <v>38</v>
      </c>
      <c r="H720" t="s">
        <v>39</v>
      </c>
      <c r="I720" t="s">
        <v>2625</v>
      </c>
      <c r="J720" t="s">
        <v>2693</v>
      </c>
      <c r="K720" t="s">
        <v>52</v>
      </c>
      <c r="L720">
        <v>49</v>
      </c>
      <c r="M720">
        <v>4</v>
      </c>
      <c r="N720">
        <v>20</v>
      </c>
      <c r="O720" t="s">
        <v>1978</v>
      </c>
      <c r="P720" t="s">
        <v>44</v>
      </c>
      <c r="Q720" t="s">
        <v>42</v>
      </c>
      <c r="R720" t="s">
        <v>71</v>
      </c>
      <c r="S720" t="s">
        <v>41</v>
      </c>
      <c r="T720">
        <v>3</v>
      </c>
      <c r="U720" s="5">
        <v>245.4</v>
      </c>
      <c r="V720" s="5">
        <v>658.94</v>
      </c>
      <c r="W720">
        <v>1</v>
      </c>
      <c r="X720" t="s">
        <v>45</v>
      </c>
      <c r="Y720">
        <v>2025</v>
      </c>
      <c r="Z720" t="str">
        <f>TEXT(Table1[[#This Row],[Order Date]],"MMM")</f>
        <v>Aug</v>
      </c>
      <c r="AA720" s="5">
        <f>Table1[[#This Row],[Unit Price]]*Table1[[#This Row],[Quantity]]*(1-Table1[[#This Row],[Discount %]]/100)</f>
        <v>785.28000000000009</v>
      </c>
      <c r="AB720" s="5">
        <f>Table1[[#This Row],[Sales]]-Table1[[#This Row],[Cost]]</f>
        <v>126.34000000000003</v>
      </c>
    </row>
    <row r="721" spans="1:28" x14ac:dyDescent="0.3">
      <c r="A721" t="s">
        <v>1979</v>
      </c>
      <c r="B721" s="1">
        <v>45376</v>
      </c>
      <c r="C721" t="s">
        <v>1980</v>
      </c>
      <c r="D721" t="s">
        <v>3498</v>
      </c>
      <c r="E721" s="1">
        <v>45377</v>
      </c>
      <c r="F721" t="s">
        <v>56</v>
      </c>
      <c r="G721" t="s">
        <v>54</v>
      </c>
      <c r="H721" t="s">
        <v>55</v>
      </c>
      <c r="I721" t="s">
        <v>2627</v>
      </c>
      <c r="J721" t="s">
        <v>2690</v>
      </c>
      <c r="K721" t="s">
        <v>52</v>
      </c>
      <c r="L721">
        <v>65</v>
      </c>
      <c r="M721">
        <v>1</v>
      </c>
      <c r="N721">
        <v>25</v>
      </c>
      <c r="O721" t="s">
        <v>631</v>
      </c>
      <c r="P721" t="s">
        <v>75</v>
      </c>
      <c r="Q721" t="s">
        <v>58</v>
      </c>
      <c r="R721" t="s">
        <v>32</v>
      </c>
      <c r="S721" t="s">
        <v>57</v>
      </c>
      <c r="T721">
        <v>3</v>
      </c>
      <c r="U721" s="5">
        <v>27.2</v>
      </c>
      <c r="V721" s="5">
        <v>16.14</v>
      </c>
      <c r="W721">
        <v>1</v>
      </c>
      <c r="X721" t="s">
        <v>34</v>
      </c>
      <c r="Y721">
        <v>2024</v>
      </c>
      <c r="Z721" t="str">
        <f>TEXT(Table1[[#This Row],[Order Date]],"MMM")</f>
        <v>Mar</v>
      </c>
      <c r="AA721" s="5">
        <f>Table1[[#This Row],[Unit Price]]*Table1[[#This Row],[Quantity]]*(1-Table1[[#This Row],[Discount %]]/100)</f>
        <v>20.399999999999999</v>
      </c>
      <c r="AB721" s="5">
        <f>Table1[[#This Row],[Sales]]-Table1[[#This Row],[Cost]]</f>
        <v>4.259999999999998</v>
      </c>
    </row>
    <row r="722" spans="1:28" x14ac:dyDescent="0.3">
      <c r="A722" t="s">
        <v>1981</v>
      </c>
      <c r="B722" s="1">
        <v>45901</v>
      </c>
      <c r="C722" t="s">
        <v>1982</v>
      </c>
      <c r="D722" t="s">
        <v>3499</v>
      </c>
      <c r="E722" s="1">
        <v>45905</v>
      </c>
      <c r="F722" t="s">
        <v>122</v>
      </c>
      <c r="G722" t="s">
        <v>120</v>
      </c>
      <c r="H722" t="s">
        <v>121</v>
      </c>
      <c r="I722" t="s">
        <v>2618</v>
      </c>
      <c r="J722" t="s">
        <v>2700</v>
      </c>
      <c r="K722" t="s">
        <v>52</v>
      </c>
      <c r="L722">
        <v>19</v>
      </c>
      <c r="M722">
        <v>2</v>
      </c>
      <c r="N722">
        <v>30</v>
      </c>
      <c r="O722" t="s">
        <v>296</v>
      </c>
      <c r="P722" t="s">
        <v>75</v>
      </c>
      <c r="Q722" t="s">
        <v>31</v>
      </c>
      <c r="R722" t="s">
        <v>32</v>
      </c>
      <c r="S722" t="s">
        <v>123</v>
      </c>
      <c r="T722">
        <v>2</v>
      </c>
      <c r="U722" s="5">
        <v>59.01</v>
      </c>
      <c r="V722" s="5">
        <v>58.95</v>
      </c>
      <c r="W722">
        <v>4</v>
      </c>
      <c r="X722" t="s">
        <v>45</v>
      </c>
      <c r="Y722">
        <v>2025</v>
      </c>
      <c r="Z722" t="str">
        <f>TEXT(Table1[[#This Row],[Order Date]],"MMM")</f>
        <v>Sep</v>
      </c>
      <c r="AA722" s="5">
        <f>Table1[[#This Row],[Unit Price]]*Table1[[#This Row],[Quantity]]*(1-Table1[[#This Row],[Discount %]]/100)</f>
        <v>82.61399999999999</v>
      </c>
      <c r="AB722" s="5">
        <f>Table1[[#This Row],[Sales]]-Table1[[#This Row],[Cost]]</f>
        <v>23.663999999999987</v>
      </c>
    </row>
    <row r="723" spans="1:28" x14ac:dyDescent="0.3">
      <c r="A723" t="s">
        <v>1983</v>
      </c>
      <c r="B723" s="1">
        <v>45436</v>
      </c>
      <c r="C723" t="s">
        <v>1984</v>
      </c>
      <c r="D723" t="s">
        <v>3500</v>
      </c>
      <c r="E723" s="1">
        <v>45437</v>
      </c>
      <c r="F723" t="s">
        <v>29</v>
      </c>
      <c r="G723" t="s">
        <v>27</v>
      </c>
      <c r="H723" t="s">
        <v>28</v>
      </c>
      <c r="I723" t="s">
        <v>2621</v>
      </c>
      <c r="J723" t="s">
        <v>2622</v>
      </c>
      <c r="K723" t="s">
        <v>25</v>
      </c>
      <c r="L723">
        <v>29</v>
      </c>
      <c r="M723">
        <v>5</v>
      </c>
      <c r="N723">
        <v>15</v>
      </c>
      <c r="O723" t="s">
        <v>1600</v>
      </c>
      <c r="P723" t="s">
        <v>75</v>
      </c>
      <c r="Q723" t="s">
        <v>31</v>
      </c>
      <c r="R723" t="s">
        <v>62</v>
      </c>
      <c r="S723" t="s">
        <v>30</v>
      </c>
      <c r="T723">
        <v>4</v>
      </c>
      <c r="U723" s="5">
        <v>90.32</v>
      </c>
      <c r="V723" s="5">
        <v>225.74</v>
      </c>
      <c r="W723">
        <v>1</v>
      </c>
      <c r="X723" t="s">
        <v>49</v>
      </c>
      <c r="Y723">
        <v>2024</v>
      </c>
      <c r="Z723" t="str">
        <f>TEXT(Table1[[#This Row],[Order Date]],"MMM")</f>
        <v>May</v>
      </c>
      <c r="AA723" s="5">
        <f>Table1[[#This Row],[Unit Price]]*Table1[[#This Row],[Quantity]]*(1-Table1[[#This Row],[Discount %]]/100)</f>
        <v>383.85999999999996</v>
      </c>
      <c r="AB723" s="5">
        <f>Table1[[#This Row],[Sales]]-Table1[[#This Row],[Cost]]</f>
        <v>158.11999999999995</v>
      </c>
    </row>
    <row r="724" spans="1:28" x14ac:dyDescent="0.3">
      <c r="A724" t="s">
        <v>1985</v>
      </c>
      <c r="B724" s="1">
        <v>45821</v>
      </c>
      <c r="C724" t="s">
        <v>1986</v>
      </c>
      <c r="D724" t="s">
        <v>3501</v>
      </c>
      <c r="E724" s="1">
        <v>45823</v>
      </c>
      <c r="F724" t="s">
        <v>40</v>
      </c>
      <c r="G724" t="s">
        <v>38</v>
      </c>
      <c r="H724" t="s">
        <v>39</v>
      </c>
      <c r="I724" t="s">
        <v>2618</v>
      </c>
      <c r="J724" t="s">
        <v>2700</v>
      </c>
      <c r="K724" t="s">
        <v>25</v>
      </c>
      <c r="L724">
        <v>50</v>
      </c>
      <c r="M724">
        <v>4</v>
      </c>
      <c r="N724">
        <v>10</v>
      </c>
      <c r="O724" t="s">
        <v>723</v>
      </c>
      <c r="P724" t="s">
        <v>75</v>
      </c>
      <c r="Q724" t="s">
        <v>31</v>
      </c>
      <c r="R724" t="s">
        <v>43</v>
      </c>
      <c r="S724" t="s">
        <v>41</v>
      </c>
      <c r="T724">
        <v>1</v>
      </c>
      <c r="U724" s="5">
        <v>278.42</v>
      </c>
      <c r="V724" s="5">
        <v>673.12</v>
      </c>
      <c r="W724">
        <v>2</v>
      </c>
      <c r="X724" t="s">
        <v>49</v>
      </c>
      <c r="Y724">
        <v>2025</v>
      </c>
      <c r="Z724" t="str">
        <f>TEXT(Table1[[#This Row],[Order Date]],"MMM")</f>
        <v>Jun</v>
      </c>
      <c r="AA724" s="5">
        <f>Table1[[#This Row],[Unit Price]]*Table1[[#This Row],[Quantity]]*(1-Table1[[#This Row],[Discount %]]/100)</f>
        <v>1002.3120000000001</v>
      </c>
      <c r="AB724" s="5">
        <f>Table1[[#This Row],[Sales]]-Table1[[#This Row],[Cost]]</f>
        <v>329.19200000000012</v>
      </c>
    </row>
    <row r="725" spans="1:28" x14ac:dyDescent="0.3">
      <c r="A725" t="s">
        <v>1987</v>
      </c>
      <c r="B725" s="1">
        <v>46067</v>
      </c>
      <c r="C725" t="s">
        <v>1988</v>
      </c>
      <c r="D725" t="s">
        <v>3502</v>
      </c>
      <c r="E725" s="1">
        <v>46071</v>
      </c>
      <c r="F725" t="s">
        <v>122</v>
      </c>
      <c r="G725" t="s">
        <v>120</v>
      </c>
      <c r="H725" t="s">
        <v>121</v>
      </c>
      <c r="I725" t="s">
        <v>2633</v>
      </c>
      <c r="J725" t="s">
        <v>2634</v>
      </c>
      <c r="K725" t="s">
        <v>52</v>
      </c>
      <c r="L725">
        <v>25</v>
      </c>
      <c r="M725">
        <v>4</v>
      </c>
      <c r="N725">
        <v>15</v>
      </c>
      <c r="O725" t="s">
        <v>1600</v>
      </c>
      <c r="P725" t="s">
        <v>33</v>
      </c>
      <c r="Q725" t="s">
        <v>42</v>
      </c>
      <c r="R725" t="s">
        <v>43</v>
      </c>
      <c r="S725" t="s">
        <v>123</v>
      </c>
      <c r="T725">
        <v>5</v>
      </c>
      <c r="U725" s="5">
        <v>350.05</v>
      </c>
      <c r="V725" s="5">
        <v>754.62</v>
      </c>
      <c r="W725">
        <v>4</v>
      </c>
      <c r="X725" t="s">
        <v>34</v>
      </c>
      <c r="Y725">
        <v>2026</v>
      </c>
      <c r="Z725" t="str">
        <f>TEXT(Table1[[#This Row],[Order Date]],"MMM")</f>
        <v>Feb</v>
      </c>
      <c r="AA725" s="5">
        <f>Table1[[#This Row],[Unit Price]]*Table1[[#This Row],[Quantity]]*(1-Table1[[#This Row],[Discount %]]/100)</f>
        <v>1190.17</v>
      </c>
      <c r="AB725" s="5">
        <f>Table1[[#This Row],[Sales]]-Table1[[#This Row],[Cost]]</f>
        <v>435.55000000000007</v>
      </c>
    </row>
    <row r="726" spans="1:28" x14ac:dyDescent="0.3">
      <c r="A726" t="s">
        <v>1989</v>
      </c>
      <c r="B726" s="1">
        <v>45863</v>
      </c>
      <c r="C726" t="s">
        <v>1990</v>
      </c>
      <c r="D726" t="s">
        <v>3503</v>
      </c>
      <c r="E726" s="1">
        <v>45864</v>
      </c>
      <c r="F726" t="s">
        <v>29</v>
      </c>
      <c r="G726" t="s">
        <v>27</v>
      </c>
      <c r="H726" t="s">
        <v>28</v>
      </c>
      <c r="I726" t="s">
        <v>2659</v>
      </c>
      <c r="J726" t="s">
        <v>2666</v>
      </c>
      <c r="K726" t="s">
        <v>52</v>
      </c>
      <c r="L726">
        <v>35</v>
      </c>
      <c r="M726">
        <v>3</v>
      </c>
      <c r="N726">
        <v>5</v>
      </c>
      <c r="O726" t="s">
        <v>26</v>
      </c>
      <c r="P726" t="s">
        <v>75</v>
      </c>
      <c r="Q726" t="s">
        <v>58</v>
      </c>
      <c r="R726" t="s">
        <v>43</v>
      </c>
      <c r="S726" t="s">
        <v>30</v>
      </c>
      <c r="T726">
        <v>1</v>
      </c>
      <c r="U726" s="5">
        <v>858.51</v>
      </c>
      <c r="V726" s="5">
        <v>1629.24</v>
      </c>
      <c r="W726">
        <v>1</v>
      </c>
      <c r="X726" t="s">
        <v>45</v>
      </c>
      <c r="Y726">
        <v>2025</v>
      </c>
      <c r="Z726" t="str">
        <f>TEXT(Table1[[#This Row],[Order Date]],"MMM")</f>
        <v>Jul</v>
      </c>
      <c r="AA726" s="5">
        <f>Table1[[#This Row],[Unit Price]]*Table1[[#This Row],[Quantity]]*(1-Table1[[#This Row],[Discount %]]/100)</f>
        <v>2446.7534999999998</v>
      </c>
      <c r="AB726" s="5">
        <f>Table1[[#This Row],[Sales]]-Table1[[#This Row],[Cost]]</f>
        <v>817.51349999999979</v>
      </c>
    </row>
    <row r="727" spans="1:28" x14ac:dyDescent="0.3">
      <c r="A727" t="s">
        <v>1991</v>
      </c>
      <c r="B727" s="1">
        <v>46132</v>
      </c>
      <c r="C727" t="s">
        <v>1992</v>
      </c>
      <c r="D727" t="s">
        <v>3504</v>
      </c>
      <c r="E727" s="1">
        <v>46133</v>
      </c>
      <c r="F727" t="s">
        <v>29</v>
      </c>
      <c r="G727" t="s">
        <v>27</v>
      </c>
      <c r="H727" t="s">
        <v>28</v>
      </c>
      <c r="I727" t="s">
        <v>2623</v>
      </c>
      <c r="J727" t="s">
        <v>2694</v>
      </c>
      <c r="K727" t="s">
        <v>52</v>
      </c>
      <c r="L727">
        <v>51</v>
      </c>
      <c r="M727">
        <v>4</v>
      </c>
      <c r="N727">
        <v>15</v>
      </c>
      <c r="O727" t="s">
        <v>780</v>
      </c>
      <c r="P727" t="s">
        <v>33</v>
      </c>
      <c r="Q727" t="s">
        <v>31</v>
      </c>
      <c r="R727" t="s">
        <v>71</v>
      </c>
      <c r="S727" t="s">
        <v>30</v>
      </c>
      <c r="T727">
        <v>1</v>
      </c>
      <c r="U727" s="5">
        <v>329.3</v>
      </c>
      <c r="V727" s="5">
        <v>755.93</v>
      </c>
      <c r="W727">
        <v>1</v>
      </c>
      <c r="X727" t="s">
        <v>49</v>
      </c>
      <c r="Y727">
        <v>2026</v>
      </c>
      <c r="Z727" t="str">
        <f>TEXT(Table1[[#This Row],[Order Date]],"MMM")</f>
        <v>Apr</v>
      </c>
      <c r="AA727" s="5">
        <f>Table1[[#This Row],[Unit Price]]*Table1[[#This Row],[Quantity]]*(1-Table1[[#This Row],[Discount %]]/100)</f>
        <v>1119.6200000000001</v>
      </c>
      <c r="AB727" s="5">
        <f>Table1[[#This Row],[Sales]]-Table1[[#This Row],[Cost]]</f>
        <v>363.69000000000017</v>
      </c>
    </row>
    <row r="728" spans="1:28" x14ac:dyDescent="0.3">
      <c r="A728" t="s">
        <v>1993</v>
      </c>
      <c r="B728" s="1">
        <v>45296</v>
      </c>
      <c r="C728" t="s">
        <v>1994</v>
      </c>
      <c r="D728" t="s">
        <v>3505</v>
      </c>
      <c r="E728" s="1">
        <v>45302</v>
      </c>
      <c r="F728" t="s">
        <v>56</v>
      </c>
      <c r="G728" t="s">
        <v>54</v>
      </c>
      <c r="H728" t="s">
        <v>55</v>
      </c>
      <c r="I728" t="s">
        <v>2630</v>
      </c>
      <c r="J728" t="s">
        <v>2710</v>
      </c>
      <c r="K728" t="s">
        <v>25</v>
      </c>
      <c r="L728">
        <v>54</v>
      </c>
      <c r="M728">
        <v>5</v>
      </c>
      <c r="N728">
        <v>20</v>
      </c>
      <c r="O728" t="s">
        <v>1995</v>
      </c>
      <c r="P728" t="s">
        <v>33</v>
      </c>
      <c r="Q728" t="s">
        <v>58</v>
      </c>
      <c r="R728" t="s">
        <v>32</v>
      </c>
      <c r="S728" t="s">
        <v>57</v>
      </c>
      <c r="T728">
        <v>5</v>
      </c>
      <c r="U728" s="5">
        <v>50.98</v>
      </c>
      <c r="V728" s="5">
        <v>167.61</v>
      </c>
      <c r="W728">
        <v>6</v>
      </c>
      <c r="X728" t="s">
        <v>34</v>
      </c>
      <c r="Y728">
        <v>2024</v>
      </c>
      <c r="Z728" t="str">
        <f>TEXT(Table1[[#This Row],[Order Date]],"MMM")</f>
        <v>Jan</v>
      </c>
      <c r="AA728" s="5">
        <f>Table1[[#This Row],[Unit Price]]*Table1[[#This Row],[Quantity]]*(1-Table1[[#This Row],[Discount %]]/100)</f>
        <v>203.92</v>
      </c>
      <c r="AB728" s="5">
        <f>Table1[[#This Row],[Sales]]-Table1[[#This Row],[Cost]]</f>
        <v>36.309999999999974</v>
      </c>
    </row>
    <row r="729" spans="1:28" x14ac:dyDescent="0.3">
      <c r="A729" t="s">
        <v>1996</v>
      </c>
      <c r="B729" s="1">
        <v>46042</v>
      </c>
      <c r="C729" t="s">
        <v>1997</v>
      </c>
      <c r="D729" t="s">
        <v>3506</v>
      </c>
      <c r="E729" s="1">
        <v>46044</v>
      </c>
      <c r="F729" t="s">
        <v>128</v>
      </c>
      <c r="G729" t="s">
        <v>98</v>
      </c>
      <c r="H729" t="s">
        <v>127</v>
      </c>
      <c r="I729" t="s">
        <v>2664</v>
      </c>
      <c r="J729" t="s">
        <v>2678</v>
      </c>
      <c r="K729" t="s">
        <v>52</v>
      </c>
      <c r="L729">
        <v>52</v>
      </c>
      <c r="M729">
        <v>2</v>
      </c>
      <c r="N729">
        <v>20</v>
      </c>
      <c r="O729" t="s">
        <v>1998</v>
      </c>
      <c r="P729" t="s">
        <v>75</v>
      </c>
      <c r="Q729" t="s">
        <v>31</v>
      </c>
      <c r="R729" t="s">
        <v>71</v>
      </c>
      <c r="S729" t="s">
        <v>129</v>
      </c>
      <c r="T729">
        <v>3</v>
      </c>
      <c r="U729" s="5">
        <v>378.15</v>
      </c>
      <c r="V729" s="5">
        <v>454.1</v>
      </c>
      <c r="W729">
        <v>2</v>
      </c>
      <c r="X729" t="s">
        <v>34</v>
      </c>
      <c r="Y729">
        <v>2026</v>
      </c>
      <c r="Z729" t="str">
        <f>TEXT(Table1[[#This Row],[Order Date]],"MMM")</f>
        <v>Jan</v>
      </c>
      <c r="AA729" s="5">
        <f>Table1[[#This Row],[Unit Price]]*Table1[[#This Row],[Quantity]]*(1-Table1[[#This Row],[Discount %]]/100)</f>
        <v>605.04</v>
      </c>
      <c r="AB729" s="5">
        <f>Table1[[#This Row],[Sales]]-Table1[[#This Row],[Cost]]</f>
        <v>150.93999999999994</v>
      </c>
    </row>
    <row r="730" spans="1:28" x14ac:dyDescent="0.3">
      <c r="A730" t="s">
        <v>1999</v>
      </c>
      <c r="B730" s="1">
        <v>45325</v>
      </c>
      <c r="C730" t="s">
        <v>2000</v>
      </c>
      <c r="D730" t="s">
        <v>3507</v>
      </c>
      <c r="E730" s="1">
        <v>45332</v>
      </c>
      <c r="F730" t="s">
        <v>100</v>
      </c>
      <c r="G730" t="s">
        <v>98</v>
      </c>
      <c r="H730" t="s">
        <v>99</v>
      </c>
      <c r="I730" t="s">
        <v>2631</v>
      </c>
      <c r="J730" t="s">
        <v>2673</v>
      </c>
      <c r="K730" t="s">
        <v>52</v>
      </c>
      <c r="L730">
        <v>39</v>
      </c>
      <c r="M730">
        <v>5</v>
      </c>
      <c r="N730">
        <v>0</v>
      </c>
      <c r="O730" t="s">
        <v>409</v>
      </c>
      <c r="P730" t="s">
        <v>44</v>
      </c>
      <c r="Q730" t="s">
        <v>117</v>
      </c>
      <c r="R730" t="s">
        <v>32</v>
      </c>
      <c r="S730" t="s">
        <v>101</v>
      </c>
      <c r="T730">
        <v>5</v>
      </c>
      <c r="U730" s="5">
        <v>67.62</v>
      </c>
      <c r="V730" s="5">
        <v>281.33</v>
      </c>
      <c r="W730">
        <v>7</v>
      </c>
      <c r="X730" t="s">
        <v>34</v>
      </c>
      <c r="Y730">
        <v>2024</v>
      </c>
      <c r="Z730" t="str">
        <f>TEXT(Table1[[#This Row],[Order Date]],"MMM")</f>
        <v>Feb</v>
      </c>
      <c r="AA730" s="5">
        <f>Table1[[#This Row],[Unit Price]]*Table1[[#This Row],[Quantity]]*(1-Table1[[#This Row],[Discount %]]/100)</f>
        <v>338.1</v>
      </c>
      <c r="AB730" s="5">
        <f>Table1[[#This Row],[Sales]]-Table1[[#This Row],[Cost]]</f>
        <v>56.770000000000039</v>
      </c>
    </row>
    <row r="731" spans="1:28" x14ac:dyDescent="0.3">
      <c r="A731" t="s">
        <v>2001</v>
      </c>
      <c r="B731" s="1">
        <v>45564</v>
      </c>
      <c r="C731" t="s">
        <v>2002</v>
      </c>
      <c r="D731" t="s">
        <v>3508</v>
      </c>
      <c r="E731" s="1">
        <v>45569</v>
      </c>
      <c r="F731" t="s">
        <v>122</v>
      </c>
      <c r="G731" t="s">
        <v>120</v>
      </c>
      <c r="H731" t="s">
        <v>121</v>
      </c>
      <c r="I731" t="s">
        <v>2657</v>
      </c>
      <c r="J731" t="s">
        <v>2696</v>
      </c>
      <c r="K731" t="s">
        <v>25</v>
      </c>
      <c r="L731">
        <v>26</v>
      </c>
      <c r="M731">
        <v>4</v>
      </c>
      <c r="N731">
        <v>0</v>
      </c>
      <c r="O731" t="s">
        <v>394</v>
      </c>
      <c r="P731" t="s">
        <v>33</v>
      </c>
      <c r="Q731" t="s">
        <v>58</v>
      </c>
      <c r="R731" t="s">
        <v>43</v>
      </c>
      <c r="S731" t="s">
        <v>123</v>
      </c>
      <c r="T731">
        <v>2</v>
      </c>
      <c r="U731" s="5">
        <v>244.2</v>
      </c>
      <c r="V731" s="5">
        <v>819.7</v>
      </c>
      <c r="W731">
        <v>5</v>
      </c>
      <c r="X731" t="s">
        <v>45</v>
      </c>
      <c r="Y731">
        <v>2024</v>
      </c>
      <c r="Z731" t="str">
        <f>TEXT(Table1[[#This Row],[Order Date]],"MMM")</f>
        <v>Sep</v>
      </c>
      <c r="AA731" s="5">
        <f>Table1[[#This Row],[Unit Price]]*Table1[[#This Row],[Quantity]]*(1-Table1[[#This Row],[Discount %]]/100)</f>
        <v>976.8</v>
      </c>
      <c r="AB731" s="5">
        <f>Table1[[#This Row],[Sales]]-Table1[[#This Row],[Cost]]</f>
        <v>157.09999999999991</v>
      </c>
    </row>
    <row r="732" spans="1:28" x14ac:dyDescent="0.3">
      <c r="A732" t="s">
        <v>2003</v>
      </c>
      <c r="B732" s="1">
        <v>45477</v>
      </c>
      <c r="C732" t="s">
        <v>2004</v>
      </c>
      <c r="D732" t="s">
        <v>3509</v>
      </c>
      <c r="E732" s="1">
        <v>45478</v>
      </c>
      <c r="F732" t="s">
        <v>115</v>
      </c>
      <c r="G732" t="s">
        <v>66</v>
      </c>
      <c r="H732" t="s">
        <v>114</v>
      </c>
      <c r="I732" t="s">
        <v>2623</v>
      </c>
      <c r="J732" t="s">
        <v>2694</v>
      </c>
      <c r="K732" t="s">
        <v>25</v>
      </c>
      <c r="L732">
        <v>51</v>
      </c>
      <c r="M732">
        <v>2</v>
      </c>
      <c r="N732">
        <v>20</v>
      </c>
      <c r="O732" t="s">
        <v>1933</v>
      </c>
      <c r="P732" t="s">
        <v>33</v>
      </c>
      <c r="Q732" t="s">
        <v>42</v>
      </c>
      <c r="R732" t="s">
        <v>71</v>
      </c>
      <c r="S732" t="s">
        <v>116</v>
      </c>
      <c r="T732">
        <v>2</v>
      </c>
      <c r="U732" s="5">
        <v>293</v>
      </c>
      <c r="V732" s="5">
        <v>328.06</v>
      </c>
      <c r="W732">
        <v>1</v>
      </c>
      <c r="X732" t="s">
        <v>45</v>
      </c>
      <c r="Y732">
        <v>2024</v>
      </c>
      <c r="Z732" t="str">
        <f>TEXT(Table1[[#This Row],[Order Date]],"MMM")</f>
        <v>Jul</v>
      </c>
      <c r="AA732" s="5">
        <f>Table1[[#This Row],[Unit Price]]*Table1[[#This Row],[Quantity]]*(1-Table1[[#This Row],[Discount %]]/100)</f>
        <v>468.8</v>
      </c>
      <c r="AB732" s="5">
        <f>Table1[[#This Row],[Sales]]-Table1[[#This Row],[Cost]]</f>
        <v>140.74</v>
      </c>
    </row>
    <row r="733" spans="1:28" x14ac:dyDescent="0.3">
      <c r="A733" t="s">
        <v>2005</v>
      </c>
      <c r="B733" s="1">
        <v>45435</v>
      </c>
      <c r="C733" t="s">
        <v>2006</v>
      </c>
      <c r="D733" t="s">
        <v>3510</v>
      </c>
      <c r="E733" s="1">
        <v>45439</v>
      </c>
      <c r="F733" t="s">
        <v>122</v>
      </c>
      <c r="G733" t="s">
        <v>120</v>
      </c>
      <c r="H733" t="s">
        <v>121</v>
      </c>
      <c r="I733" t="s">
        <v>2619</v>
      </c>
      <c r="J733" t="s">
        <v>2692</v>
      </c>
      <c r="K733" t="s">
        <v>52</v>
      </c>
      <c r="L733">
        <v>24</v>
      </c>
      <c r="M733">
        <v>2</v>
      </c>
      <c r="N733">
        <v>10</v>
      </c>
      <c r="O733" t="s">
        <v>2007</v>
      </c>
      <c r="P733" t="s">
        <v>33</v>
      </c>
      <c r="Q733" t="s">
        <v>70</v>
      </c>
      <c r="R733" t="s">
        <v>62</v>
      </c>
      <c r="S733" t="s">
        <v>123</v>
      </c>
      <c r="T733">
        <v>2</v>
      </c>
      <c r="U733" s="5">
        <v>463.63</v>
      </c>
      <c r="V733" s="5">
        <v>544.75</v>
      </c>
      <c r="W733">
        <v>4</v>
      </c>
      <c r="X733" t="s">
        <v>49</v>
      </c>
      <c r="Y733">
        <v>2024</v>
      </c>
      <c r="Z733" t="str">
        <f>TEXT(Table1[[#This Row],[Order Date]],"MMM")</f>
        <v>May</v>
      </c>
      <c r="AA733" s="5">
        <f>Table1[[#This Row],[Unit Price]]*Table1[[#This Row],[Quantity]]*(1-Table1[[#This Row],[Discount %]]/100)</f>
        <v>834.53399999999999</v>
      </c>
      <c r="AB733" s="5">
        <f>Table1[[#This Row],[Sales]]-Table1[[#This Row],[Cost]]</f>
        <v>289.78399999999999</v>
      </c>
    </row>
    <row r="734" spans="1:28" x14ac:dyDescent="0.3">
      <c r="A734" t="s">
        <v>2008</v>
      </c>
      <c r="B734" s="1">
        <v>45840</v>
      </c>
      <c r="C734" t="s">
        <v>2009</v>
      </c>
      <c r="D734" t="s">
        <v>3511</v>
      </c>
      <c r="E734" s="1">
        <v>45847</v>
      </c>
      <c r="F734" t="s">
        <v>122</v>
      </c>
      <c r="G734" t="s">
        <v>120</v>
      </c>
      <c r="H734" t="s">
        <v>121</v>
      </c>
      <c r="I734" t="s">
        <v>2657</v>
      </c>
      <c r="J734" t="s">
        <v>2667</v>
      </c>
      <c r="K734" t="s">
        <v>25</v>
      </c>
      <c r="L734">
        <v>31</v>
      </c>
      <c r="M734">
        <v>1</v>
      </c>
      <c r="N734">
        <v>30</v>
      </c>
      <c r="O734" t="s">
        <v>569</v>
      </c>
      <c r="P734" t="s">
        <v>44</v>
      </c>
      <c r="Q734" t="s">
        <v>42</v>
      </c>
      <c r="R734" t="s">
        <v>43</v>
      </c>
      <c r="S734" t="s">
        <v>123</v>
      </c>
      <c r="T734">
        <v>5</v>
      </c>
      <c r="U734" s="5">
        <v>442.25</v>
      </c>
      <c r="V734" s="5">
        <v>168.24</v>
      </c>
      <c r="W734">
        <v>7</v>
      </c>
      <c r="X734" t="s">
        <v>45</v>
      </c>
      <c r="Y734">
        <v>2025</v>
      </c>
      <c r="Z734" t="str">
        <f>TEXT(Table1[[#This Row],[Order Date]],"MMM")</f>
        <v>Jul</v>
      </c>
      <c r="AA734" s="5">
        <f>Table1[[#This Row],[Unit Price]]*Table1[[#This Row],[Quantity]]*(1-Table1[[#This Row],[Discount %]]/100)</f>
        <v>309.57499999999999</v>
      </c>
      <c r="AB734" s="5">
        <f>Table1[[#This Row],[Sales]]-Table1[[#This Row],[Cost]]</f>
        <v>141.33499999999998</v>
      </c>
    </row>
    <row r="735" spans="1:28" x14ac:dyDescent="0.3">
      <c r="A735" t="s">
        <v>2010</v>
      </c>
      <c r="B735" s="1">
        <v>45958</v>
      </c>
      <c r="C735" t="s">
        <v>2011</v>
      </c>
      <c r="D735" t="s">
        <v>3512</v>
      </c>
      <c r="E735" s="1">
        <v>45959</v>
      </c>
      <c r="F735" t="s">
        <v>115</v>
      </c>
      <c r="G735" t="s">
        <v>66</v>
      </c>
      <c r="H735" t="s">
        <v>114</v>
      </c>
      <c r="I735" t="s">
        <v>2631</v>
      </c>
      <c r="J735" t="s">
        <v>2639</v>
      </c>
      <c r="K735" t="s">
        <v>52</v>
      </c>
      <c r="L735">
        <v>20</v>
      </c>
      <c r="M735">
        <v>5</v>
      </c>
      <c r="N735">
        <v>20</v>
      </c>
      <c r="O735" t="s">
        <v>311</v>
      </c>
      <c r="P735" t="s">
        <v>75</v>
      </c>
      <c r="Q735" t="s">
        <v>31</v>
      </c>
      <c r="R735" t="s">
        <v>32</v>
      </c>
      <c r="S735" t="s">
        <v>116</v>
      </c>
      <c r="T735">
        <v>2</v>
      </c>
      <c r="U735" s="5">
        <v>269.92</v>
      </c>
      <c r="V735" s="5">
        <v>808.45</v>
      </c>
      <c r="W735">
        <v>1</v>
      </c>
      <c r="X735" t="s">
        <v>94</v>
      </c>
      <c r="Y735">
        <v>2025</v>
      </c>
      <c r="Z735" t="str">
        <f>TEXT(Table1[[#This Row],[Order Date]],"MMM")</f>
        <v>Oct</v>
      </c>
      <c r="AA735" s="5">
        <f>Table1[[#This Row],[Unit Price]]*Table1[[#This Row],[Quantity]]*(1-Table1[[#This Row],[Discount %]]/100)</f>
        <v>1079.68</v>
      </c>
      <c r="AB735" s="5">
        <f>Table1[[#This Row],[Sales]]-Table1[[#This Row],[Cost]]</f>
        <v>271.23</v>
      </c>
    </row>
    <row r="736" spans="1:28" x14ac:dyDescent="0.3">
      <c r="A736" t="s">
        <v>2012</v>
      </c>
      <c r="B736" s="1">
        <v>46039</v>
      </c>
      <c r="C736" t="s">
        <v>2013</v>
      </c>
      <c r="D736" t="s">
        <v>3513</v>
      </c>
      <c r="E736" s="1">
        <v>46040</v>
      </c>
      <c r="F736" t="s">
        <v>40</v>
      </c>
      <c r="G736" t="s">
        <v>38</v>
      </c>
      <c r="H736" t="s">
        <v>39</v>
      </c>
      <c r="I736" t="s">
        <v>2625</v>
      </c>
      <c r="J736" t="s">
        <v>2705</v>
      </c>
      <c r="K736" t="s">
        <v>52</v>
      </c>
      <c r="L736">
        <v>63</v>
      </c>
      <c r="M736">
        <v>2</v>
      </c>
      <c r="N736">
        <v>5</v>
      </c>
      <c r="O736" t="s">
        <v>980</v>
      </c>
      <c r="P736" t="s">
        <v>33</v>
      </c>
      <c r="Q736" t="s">
        <v>58</v>
      </c>
      <c r="R736" t="s">
        <v>62</v>
      </c>
      <c r="S736" t="s">
        <v>41</v>
      </c>
      <c r="T736">
        <v>3</v>
      </c>
      <c r="U736" s="5">
        <v>147.13999999999999</v>
      </c>
      <c r="V736" s="5">
        <v>205.68</v>
      </c>
      <c r="W736">
        <v>1</v>
      </c>
      <c r="X736" t="s">
        <v>34</v>
      </c>
      <c r="Y736">
        <v>2026</v>
      </c>
      <c r="Z736" t="str">
        <f>TEXT(Table1[[#This Row],[Order Date]],"MMM")</f>
        <v>Jan</v>
      </c>
      <c r="AA736" s="5">
        <f>Table1[[#This Row],[Unit Price]]*Table1[[#This Row],[Quantity]]*(1-Table1[[#This Row],[Discount %]]/100)</f>
        <v>279.56599999999997</v>
      </c>
      <c r="AB736" s="5">
        <f>Table1[[#This Row],[Sales]]-Table1[[#This Row],[Cost]]</f>
        <v>73.885999999999967</v>
      </c>
    </row>
    <row r="737" spans="1:28" x14ac:dyDescent="0.3">
      <c r="A737" t="s">
        <v>2014</v>
      </c>
      <c r="B737" s="1">
        <v>45991</v>
      </c>
      <c r="C737" t="s">
        <v>2015</v>
      </c>
      <c r="D737" t="s">
        <v>3514</v>
      </c>
      <c r="E737" s="1">
        <v>45997</v>
      </c>
      <c r="F737" t="s">
        <v>40</v>
      </c>
      <c r="G737" t="s">
        <v>38</v>
      </c>
      <c r="H737" t="s">
        <v>39</v>
      </c>
      <c r="I737" t="s">
        <v>2664</v>
      </c>
      <c r="J737" t="s">
        <v>2704</v>
      </c>
      <c r="K737" t="s">
        <v>25</v>
      </c>
      <c r="L737">
        <v>38</v>
      </c>
      <c r="M737">
        <v>5</v>
      </c>
      <c r="N737">
        <v>0</v>
      </c>
      <c r="O737" t="s">
        <v>2016</v>
      </c>
      <c r="P737" t="s">
        <v>33</v>
      </c>
      <c r="Q737" t="s">
        <v>58</v>
      </c>
      <c r="R737" t="s">
        <v>71</v>
      </c>
      <c r="S737" t="s">
        <v>41</v>
      </c>
      <c r="T737">
        <v>2</v>
      </c>
      <c r="U737" s="5">
        <v>458.85</v>
      </c>
      <c r="V737" s="5">
        <v>1477.76</v>
      </c>
      <c r="W737">
        <v>6</v>
      </c>
      <c r="X737" t="s">
        <v>94</v>
      </c>
      <c r="Y737">
        <v>2025</v>
      </c>
      <c r="Z737" t="str">
        <f>TEXT(Table1[[#This Row],[Order Date]],"MMM")</f>
        <v>Nov</v>
      </c>
      <c r="AA737" s="5">
        <f>Table1[[#This Row],[Unit Price]]*Table1[[#This Row],[Quantity]]*(1-Table1[[#This Row],[Discount %]]/100)</f>
        <v>2294.25</v>
      </c>
      <c r="AB737" s="5">
        <f>Table1[[#This Row],[Sales]]-Table1[[#This Row],[Cost]]</f>
        <v>816.49</v>
      </c>
    </row>
    <row r="738" spans="1:28" x14ac:dyDescent="0.3">
      <c r="A738" t="s">
        <v>2017</v>
      </c>
      <c r="B738" s="1">
        <v>45350</v>
      </c>
      <c r="C738" t="s">
        <v>2018</v>
      </c>
      <c r="D738" t="s">
        <v>3515</v>
      </c>
      <c r="E738" s="1">
        <v>45357</v>
      </c>
      <c r="F738" t="s">
        <v>122</v>
      </c>
      <c r="G738" t="s">
        <v>120</v>
      </c>
      <c r="H738" t="s">
        <v>121</v>
      </c>
      <c r="I738" t="s">
        <v>2619</v>
      </c>
      <c r="J738" t="s">
        <v>2620</v>
      </c>
      <c r="K738" t="s">
        <v>25</v>
      </c>
      <c r="L738">
        <v>29</v>
      </c>
      <c r="M738">
        <v>5</v>
      </c>
      <c r="N738">
        <v>10</v>
      </c>
      <c r="O738" t="s">
        <v>1196</v>
      </c>
      <c r="P738" t="s">
        <v>33</v>
      </c>
      <c r="Q738" t="s">
        <v>31</v>
      </c>
      <c r="R738" t="s">
        <v>62</v>
      </c>
      <c r="S738" t="s">
        <v>123</v>
      </c>
      <c r="T738">
        <v>3</v>
      </c>
      <c r="U738" s="5">
        <v>925.74</v>
      </c>
      <c r="V738" s="5">
        <v>2866.43</v>
      </c>
      <c r="W738">
        <v>7</v>
      </c>
      <c r="X738" t="s">
        <v>34</v>
      </c>
      <c r="Y738">
        <v>2024</v>
      </c>
      <c r="Z738" t="str">
        <f>TEXT(Table1[[#This Row],[Order Date]],"MMM")</f>
        <v>Feb</v>
      </c>
      <c r="AA738" s="5">
        <f>Table1[[#This Row],[Unit Price]]*Table1[[#This Row],[Quantity]]*(1-Table1[[#This Row],[Discount %]]/100)</f>
        <v>4165.83</v>
      </c>
      <c r="AB738" s="5">
        <f>Table1[[#This Row],[Sales]]-Table1[[#This Row],[Cost]]</f>
        <v>1299.4000000000001</v>
      </c>
    </row>
    <row r="739" spans="1:28" x14ac:dyDescent="0.3">
      <c r="A739" t="s">
        <v>2019</v>
      </c>
      <c r="B739" s="1">
        <v>46142</v>
      </c>
      <c r="C739" t="s">
        <v>2020</v>
      </c>
      <c r="D739" t="s">
        <v>3516</v>
      </c>
      <c r="E739" s="1">
        <v>46146</v>
      </c>
      <c r="F739" t="s">
        <v>40</v>
      </c>
      <c r="G739" t="s">
        <v>38</v>
      </c>
      <c r="H739" t="s">
        <v>39</v>
      </c>
      <c r="I739" t="s">
        <v>2675</v>
      </c>
      <c r="J739" t="s">
        <v>2676</v>
      </c>
      <c r="K739" t="s">
        <v>25</v>
      </c>
      <c r="L739">
        <v>20</v>
      </c>
      <c r="M739">
        <v>2</v>
      </c>
      <c r="N739">
        <v>15</v>
      </c>
      <c r="O739" t="s">
        <v>731</v>
      </c>
      <c r="P739" t="s">
        <v>44</v>
      </c>
      <c r="Q739" t="s">
        <v>31</v>
      </c>
      <c r="R739" t="s">
        <v>71</v>
      </c>
      <c r="S739" t="s">
        <v>41</v>
      </c>
      <c r="T739">
        <v>5</v>
      </c>
      <c r="U739" s="5">
        <v>576.49</v>
      </c>
      <c r="V739" s="5">
        <v>546.22</v>
      </c>
      <c r="W739">
        <v>4</v>
      </c>
      <c r="X739" t="s">
        <v>49</v>
      </c>
      <c r="Y739">
        <v>2026</v>
      </c>
      <c r="Z739" t="str">
        <f>TEXT(Table1[[#This Row],[Order Date]],"MMM")</f>
        <v>Apr</v>
      </c>
      <c r="AA739" s="5">
        <f>Table1[[#This Row],[Unit Price]]*Table1[[#This Row],[Quantity]]*(1-Table1[[#This Row],[Discount %]]/100)</f>
        <v>980.03300000000002</v>
      </c>
      <c r="AB739" s="5">
        <f>Table1[[#This Row],[Sales]]-Table1[[#This Row],[Cost]]</f>
        <v>433.81299999999999</v>
      </c>
    </row>
    <row r="740" spans="1:28" x14ac:dyDescent="0.3">
      <c r="A740" t="s">
        <v>2021</v>
      </c>
      <c r="B740" s="1">
        <v>45521</v>
      </c>
      <c r="C740" t="s">
        <v>2022</v>
      </c>
      <c r="D740" t="s">
        <v>3517</v>
      </c>
      <c r="E740" s="1">
        <v>45525</v>
      </c>
      <c r="F740" t="s">
        <v>100</v>
      </c>
      <c r="G740" t="s">
        <v>98</v>
      </c>
      <c r="H740" t="s">
        <v>99</v>
      </c>
      <c r="I740" t="s">
        <v>2661</v>
      </c>
      <c r="J740" t="s">
        <v>2689</v>
      </c>
      <c r="K740" t="s">
        <v>25</v>
      </c>
      <c r="L740">
        <v>41</v>
      </c>
      <c r="M740">
        <v>2</v>
      </c>
      <c r="N740">
        <v>20</v>
      </c>
      <c r="O740" t="s">
        <v>1429</v>
      </c>
      <c r="P740" t="s">
        <v>75</v>
      </c>
      <c r="Q740" t="s">
        <v>58</v>
      </c>
      <c r="R740" t="s">
        <v>62</v>
      </c>
      <c r="S740" t="s">
        <v>101</v>
      </c>
      <c r="T740">
        <v>3</v>
      </c>
      <c r="U740" s="5">
        <v>681.93</v>
      </c>
      <c r="V740" s="5">
        <v>673.26</v>
      </c>
      <c r="W740">
        <v>4</v>
      </c>
      <c r="X740" t="s">
        <v>45</v>
      </c>
      <c r="Y740">
        <v>2024</v>
      </c>
      <c r="Z740" t="str">
        <f>TEXT(Table1[[#This Row],[Order Date]],"MMM")</f>
        <v>Aug</v>
      </c>
      <c r="AA740" s="5">
        <f>Table1[[#This Row],[Unit Price]]*Table1[[#This Row],[Quantity]]*(1-Table1[[#This Row],[Discount %]]/100)</f>
        <v>1091.088</v>
      </c>
      <c r="AB740" s="5">
        <f>Table1[[#This Row],[Sales]]-Table1[[#This Row],[Cost]]</f>
        <v>417.82799999999997</v>
      </c>
    </row>
    <row r="741" spans="1:28" x14ac:dyDescent="0.3">
      <c r="A741" t="s">
        <v>2023</v>
      </c>
      <c r="B741" s="1">
        <v>45434</v>
      </c>
      <c r="C741" t="s">
        <v>2024</v>
      </c>
      <c r="D741" t="s">
        <v>3518</v>
      </c>
      <c r="E741" s="1">
        <v>45436</v>
      </c>
      <c r="F741" t="s">
        <v>29</v>
      </c>
      <c r="G741" t="s">
        <v>27</v>
      </c>
      <c r="H741" t="s">
        <v>28</v>
      </c>
      <c r="I741" t="s">
        <v>2628</v>
      </c>
      <c r="J741" t="s">
        <v>2642</v>
      </c>
      <c r="K741" t="s">
        <v>25</v>
      </c>
      <c r="L741">
        <v>28</v>
      </c>
      <c r="M741">
        <v>1</v>
      </c>
      <c r="N741">
        <v>10</v>
      </c>
      <c r="O741" t="s">
        <v>2025</v>
      </c>
      <c r="P741" t="s">
        <v>75</v>
      </c>
      <c r="Q741" t="s">
        <v>42</v>
      </c>
      <c r="R741" t="s">
        <v>43</v>
      </c>
      <c r="S741" t="s">
        <v>30</v>
      </c>
      <c r="T741">
        <v>5</v>
      </c>
      <c r="U741" s="5">
        <v>579.21</v>
      </c>
      <c r="V741" s="5">
        <v>372.2</v>
      </c>
      <c r="W741">
        <v>2</v>
      </c>
      <c r="X741" t="s">
        <v>49</v>
      </c>
      <c r="Y741">
        <v>2024</v>
      </c>
      <c r="Z741" t="str">
        <f>TEXT(Table1[[#This Row],[Order Date]],"MMM")</f>
        <v>May</v>
      </c>
      <c r="AA741" s="5">
        <f>Table1[[#This Row],[Unit Price]]*Table1[[#This Row],[Quantity]]*(1-Table1[[#This Row],[Discount %]]/100)</f>
        <v>521.2890000000001</v>
      </c>
      <c r="AB741" s="5">
        <f>Table1[[#This Row],[Sales]]-Table1[[#This Row],[Cost]]</f>
        <v>149.08900000000011</v>
      </c>
    </row>
    <row r="742" spans="1:28" x14ac:dyDescent="0.3">
      <c r="A742" t="s">
        <v>2026</v>
      </c>
      <c r="B742" s="1">
        <v>45478</v>
      </c>
      <c r="C742" t="s">
        <v>2027</v>
      </c>
      <c r="D742" t="s">
        <v>3519</v>
      </c>
      <c r="E742" s="1">
        <v>45485</v>
      </c>
      <c r="F742" t="s">
        <v>40</v>
      </c>
      <c r="G742" t="s">
        <v>38</v>
      </c>
      <c r="H742" t="s">
        <v>39</v>
      </c>
      <c r="I742" t="s">
        <v>2619</v>
      </c>
      <c r="J742" t="s">
        <v>2692</v>
      </c>
      <c r="K742" t="s">
        <v>25</v>
      </c>
      <c r="L742">
        <v>59</v>
      </c>
      <c r="M742">
        <v>4</v>
      </c>
      <c r="N742">
        <v>10</v>
      </c>
      <c r="O742" t="s">
        <v>2028</v>
      </c>
      <c r="P742" t="s">
        <v>44</v>
      </c>
      <c r="Q742" t="s">
        <v>117</v>
      </c>
      <c r="R742" t="s">
        <v>43</v>
      </c>
      <c r="S742" t="s">
        <v>41</v>
      </c>
      <c r="T742">
        <v>1</v>
      </c>
      <c r="U742" s="5">
        <v>517.34</v>
      </c>
      <c r="V742" s="5">
        <v>1531.09</v>
      </c>
      <c r="W742">
        <v>7</v>
      </c>
      <c r="X742" t="s">
        <v>45</v>
      </c>
      <c r="Y742">
        <v>2024</v>
      </c>
      <c r="Z742" t="str">
        <f>TEXT(Table1[[#This Row],[Order Date]],"MMM")</f>
        <v>Jul</v>
      </c>
      <c r="AA742" s="5">
        <f>Table1[[#This Row],[Unit Price]]*Table1[[#This Row],[Quantity]]*(1-Table1[[#This Row],[Discount %]]/100)</f>
        <v>1862.4240000000002</v>
      </c>
      <c r="AB742" s="5">
        <f>Table1[[#This Row],[Sales]]-Table1[[#This Row],[Cost]]</f>
        <v>331.33400000000029</v>
      </c>
    </row>
    <row r="743" spans="1:28" x14ac:dyDescent="0.3">
      <c r="A743" t="s">
        <v>2029</v>
      </c>
      <c r="B743" s="1">
        <v>45324</v>
      </c>
      <c r="C743" t="s">
        <v>2030</v>
      </c>
      <c r="D743" t="s">
        <v>3520</v>
      </c>
      <c r="E743" s="1">
        <v>45325</v>
      </c>
      <c r="F743" t="s">
        <v>68</v>
      </c>
      <c r="G743" t="s">
        <v>66</v>
      </c>
      <c r="H743" t="s">
        <v>67</v>
      </c>
      <c r="I743" t="s">
        <v>2629</v>
      </c>
      <c r="J743" t="s">
        <v>2674</v>
      </c>
      <c r="K743" t="s">
        <v>25</v>
      </c>
      <c r="L743">
        <v>23</v>
      </c>
      <c r="M743">
        <v>3</v>
      </c>
      <c r="N743">
        <v>20</v>
      </c>
      <c r="O743" t="s">
        <v>2031</v>
      </c>
      <c r="P743" t="s">
        <v>33</v>
      </c>
      <c r="Q743" t="s">
        <v>42</v>
      </c>
      <c r="R743" t="s">
        <v>71</v>
      </c>
      <c r="S743" t="s">
        <v>69</v>
      </c>
      <c r="T743">
        <v>1</v>
      </c>
      <c r="U743" s="5">
        <v>614.64</v>
      </c>
      <c r="V743" s="5">
        <v>1023.04</v>
      </c>
      <c r="W743">
        <v>1</v>
      </c>
      <c r="X743" t="s">
        <v>34</v>
      </c>
      <c r="Y743">
        <v>2024</v>
      </c>
      <c r="Z743" t="str">
        <f>TEXT(Table1[[#This Row],[Order Date]],"MMM")</f>
        <v>Feb</v>
      </c>
      <c r="AA743" s="5">
        <f>Table1[[#This Row],[Unit Price]]*Table1[[#This Row],[Quantity]]*(1-Table1[[#This Row],[Discount %]]/100)</f>
        <v>1475.1360000000002</v>
      </c>
      <c r="AB743" s="5">
        <f>Table1[[#This Row],[Sales]]-Table1[[#This Row],[Cost]]</f>
        <v>452.09600000000023</v>
      </c>
    </row>
    <row r="744" spans="1:28" x14ac:dyDescent="0.3">
      <c r="A744" t="s">
        <v>2032</v>
      </c>
      <c r="B744" s="1">
        <v>45889</v>
      </c>
      <c r="C744" t="s">
        <v>2033</v>
      </c>
      <c r="D744" t="s">
        <v>3521</v>
      </c>
      <c r="E744" s="1">
        <v>45895</v>
      </c>
      <c r="F744" t="s">
        <v>140</v>
      </c>
      <c r="G744" t="s">
        <v>38</v>
      </c>
      <c r="H744" t="s">
        <v>139</v>
      </c>
      <c r="I744" t="s">
        <v>2664</v>
      </c>
      <c r="J744" t="s">
        <v>2665</v>
      </c>
      <c r="K744" t="s">
        <v>25</v>
      </c>
      <c r="L744">
        <v>36</v>
      </c>
      <c r="M744">
        <v>2</v>
      </c>
      <c r="N744">
        <v>10</v>
      </c>
      <c r="O744" t="s">
        <v>572</v>
      </c>
      <c r="P744" t="s">
        <v>44</v>
      </c>
      <c r="Q744" t="s">
        <v>58</v>
      </c>
      <c r="R744" t="s">
        <v>71</v>
      </c>
      <c r="S744" t="s">
        <v>141</v>
      </c>
      <c r="T744">
        <v>3</v>
      </c>
      <c r="U744" s="5">
        <v>213.1</v>
      </c>
      <c r="V744" s="5">
        <v>244.65</v>
      </c>
      <c r="W744">
        <v>6</v>
      </c>
      <c r="X744" t="s">
        <v>45</v>
      </c>
      <c r="Y744">
        <v>2025</v>
      </c>
      <c r="Z744" t="str">
        <f>TEXT(Table1[[#This Row],[Order Date]],"MMM")</f>
        <v>Aug</v>
      </c>
      <c r="AA744" s="5">
        <f>Table1[[#This Row],[Unit Price]]*Table1[[#This Row],[Quantity]]*(1-Table1[[#This Row],[Discount %]]/100)</f>
        <v>383.58</v>
      </c>
      <c r="AB744" s="5">
        <f>Table1[[#This Row],[Sales]]-Table1[[#This Row],[Cost]]</f>
        <v>138.92999999999998</v>
      </c>
    </row>
    <row r="745" spans="1:28" x14ac:dyDescent="0.3">
      <c r="A745" t="s">
        <v>2034</v>
      </c>
      <c r="B745" s="1">
        <v>45751</v>
      </c>
      <c r="C745" t="s">
        <v>2035</v>
      </c>
      <c r="D745" t="s">
        <v>3522</v>
      </c>
      <c r="E745" s="1">
        <v>45754</v>
      </c>
      <c r="F745" t="s">
        <v>29</v>
      </c>
      <c r="G745" t="s">
        <v>27</v>
      </c>
      <c r="H745" t="s">
        <v>28</v>
      </c>
      <c r="I745" t="s">
        <v>2628</v>
      </c>
      <c r="J745" t="s">
        <v>2711</v>
      </c>
      <c r="K745" t="s">
        <v>52</v>
      </c>
      <c r="L745">
        <v>37</v>
      </c>
      <c r="M745">
        <v>2</v>
      </c>
      <c r="N745">
        <v>0</v>
      </c>
      <c r="O745" t="s">
        <v>235</v>
      </c>
      <c r="P745" t="s">
        <v>75</v>
      </c>
      <c r="Q745" t="s">
        <v>58</v>
      </c>
      <c r="R745" t="s">
        <v>62</v>
      </c>
      <c r="S745" t="s">
        <v>30</v>
      </c>
      <c r="T745">
        <v>1</v>
      </c>
      <c r="U745" s="5">
        <v>704.1</v>
      </c>
      <c r="V745" s="5">
        <v>1075.6500000000001</v>
      </c>
      <c r="W745">
        <v>3</v>
      </c>
      <c r="X745" t="s">
        <v>49</v>
      </c>
      <c r="Y745">
        <v>2025</v>
      </c>
      <c r="Z745" t="str">
        <f>TEXT(Table1[[#This Row],[Order Date]],"MMM")</f>
        <v>Apr</v>
      </c>
      <c r="AA745" s="5">
        <f>Table1[[#This Row],[Unit Price]]*Table1[[#This Row],[Quantity]]*(1-Table1[[#This Row],[Discount %]]/100)</f>
        <v>1408.2</v>
      </c>
      <c r="AB745" s="5">
        <f>Table1[[#This Row],[Sales]]-Table1[[#This Row],[Cost]]</f>
        <v>332.54999999999995</v>
      </c>
    </row>
    <row r="746" spans="1:28" x14ac:dyDescent="0.3">
      <c r="A746" t="s">
        <v>2036</v>
      </c>
      <c r="B746" s="1">
        <v>45435</v>
      </c>
      <c r="C746" t="s">
        <v>301</v>
      </c>
      <c r="D746" t="s">
        <v>3523</v>
      </c>
      <c r="E746" s="1">
        <v>45440</v>
      </c>
      <c r="F746" t="s">
        <v>122</v>
      </c>
      <c r="G746" t="s">
        <v>120</v>
      </c>
      <c r="H746" t="s">
        <v>121</v>
      </c>
      <c r="I746" t="s">
        <v>2621</v>
      </c>
      <c r="J746" t="s">
        <v>2699</v>
      </c>
      <c r="K746" t="s">
        <v>25</v>
      </c>
      <c r="L746">
        <v>44</v>
      </c>
      <c r="M746">
        <v>1</v>
      </c>
      <c r="N746">
        <v>25</v>
      </c>
      <c r="O746" t="s">
        <v>655</v>
      </c>
      <c r="P746" t="s">
        <v>44</v>
      </c>
      <c r="Q746" t="s">
        <v>70</v>
      </c>
      <c r="R746" t="s">
        <v>43</v>
      </c>
      <c r="S746" t="s">
        <v>123</v>
      </c>
      <c r="T746">
        <v>4</v>
      </c>
      <c r="U746" s="5">
        <v>73.66</v>
      </c>
      <c r="V746" s="5">
        <v>30.34</v>
      </c>
      <c r="W746">
        <v>5</v>
      </c>
      <c r="X746" t="s">
        <v>49</v>
      </c>
      <c r="Y746">
        <v>2024</v>
      </c>
      <c r="Z746" t="str">
        <f>TEXT(Table1[[#This Row],[Order Date]],"MMM")</f>
        <v>May</v>
      </c>
      <c r="AA746" s="5">
        <f>Table1[[#This Row],[Unit Price]]*Table1[[#This Row],[Quantity]]*(1-Table1[[#This Row],[Discount %]]/100)</f>
        <v>55.244999999999997</v>
      </c>
      <c r="AB746" s="5">
        <f>Table1[[#This Row],[Sales]]-Table1[[#This Row],[Cost]]</f>
        <v>24.904999999999998</v>
      </c>
    </row>
    <row r="747" spans="1:28" x14ac:dyDescent="0.3">
      <c r="A747" t="s">
        <v>2037</v>
      </c>
      <c r="B747" s="1">
        <v>45993</v>
      </c>
      <c r="C747" t="s">
        <v>2038</v>
      </c>
      <c r="D747" t="s">
        <v>3524</v>
      </c>
      <c r="E747" s="1">
        <v>45995</v>
      </c>
      <c r="F747" t="s">
        <v>68</v>
      </c>
      <c r="G747" t="s">
        <v>66</v>
      </c>
      <c r="H747" t="s">
        <v>67</v>
      </c>
      <c r="I747" t="s">
        <v>2619</v>
      </c>
      <c r="J747" t="s">
        <v>2697</v>
      </c>
      <c r="K747" t="s">
        <v>25</v>
      </c>
      <c r="L747">
        <v>54</v>
      </c>
      <c r="M747">
        <v>1</v>
      </c>
      <c r="N747">
        <v>30</v>
      </c>
      <c r="O747" t="s">
        <v>2016</v>
      </c>
      <c r="P747" t="s">
        <v>75</v>
      </c>
      <c r="Q747" t="s">
        <v>70</v>
      </c>
      <c r="R747" t="s">
        <v>62</v>
      </c>
      <c r="S747" t="s">
        <v>69</v>
      </c>
      <c r="T747">
        <v>4</v>
      </c>
      <c r="U747" s="5">
        <v>915.52</v>
      </c>
      <c r="V747" s="5">
        <v>351.82</v>
      </c>
      <c r="W747">
        <v>2</v>
      </c>
      <c r="X747" t="s">
        <v>94</v>
      </c>
      <c r="Y747">
        <v>2025</v>
      </c>
      <c r="Z747" t="str">
        <f>TEXT(Table1[[#This Row],[Order Date]],"MMM")</f>
        <v>Dec</v>
      </c>
      <c r="AA747" s="5">
        <f>Table1[[#This Row],[Unit Price]]*Table1[[#This Row],[Quantity]]*(1-Table1[[#This Row],[Discount %]]/100)</f>
        <v>640.86399999999992</v>
      </c>
      <c r="AB747" s="5">
        <f>Table1[[#This Row],[Sales]]-Table1[[#This Row],[Cost]]</f>
        <v>289.04399999999993</v>
      </c>
    </row>
    <row r="748" spans="1:28" x14ac:dyDescent="0.3">
      <c r="A748" t="s">
        <v>2039</v>
      </c>
      <c r="B748" s="1">
        <v>46114</v>
      </c>
      <c r="C748" t="s">
        <v>2040</v>
      </c>
      <c r="D748" t="s">
        <v>3525</v>
      </c>
      <c r="E748" s="1">
        <v>46119</v>
      </c>
      <c r="F748" t="s">
        <v>29</v>
      </c>
      <c r="G748" t="s">
        <v>27</v>
      </c>
      <c r="H748" t="s">
        <v>28</v>
      </c>
      <c r="I748" t="s">
        <v>2671</v>
      </c>
      <c r="J748" t="s">
        <v>2706</v>
      </c>
      <c r="K748" t="s">
        <v>52</v>
      </c>
      <c r="L748">
        <v>58</v>
      </c>
      <c r="M748">
        <v>3</v>
      </c>
      <c r="N748">
        <v>15</v>
      </c>
      <c r="O748" t="s">
        <v>319</v>
      </c>
      <c r="P748" t="s">
        <v>44</v>
      </c>
      <c r="Q748" t="s">
        <v>31</v>
      </c>
      <c r="R748" t="s">
        <v>43</v>
      </c>
      <c r="S748" t="s">
        <v>30</v>
      </c>
      <c r="T748">
        <v>3</v>
      </c>
      <c r="U748" s="5">
        <v>709.15</v>
      </c>
      <c r="V748" s="5">
        <v>1229.8900000000001</v>
      </c>
      <c r="W748">
        <v>5</v>
      </c>
      <c r="X748" t="s">
        <v>49</v>
      </c>
      <c r="Y748">
        <v>2026</v>
      </c>
      <c r="Z748" t="str">
        <f>TEXT(Table1[[#This Row],[Order Date]],"MMM")</f>
        <v>Apr</v>
      </c>
      <c r="AA748" s="5">
        <f>Table1[[#This Row],[Unit Price]]*Table1[[#This Row],[Quantity]]*(1-Table1[[#This Row],[Discount %]]/100)</f>
        <v>1808.3324999999998</v>
      </c>
      <c r="AB748" s="5">
        <f>Table1[[#This Row],[Sales]]-Table1[[#This Row],[Cost]]</f>
        <v>578.44249999999965</v>
      </c>
    </row>
    <row r="749" spans="1:28" x14ac:dyDescent="0.3">
      <c r="A749" t="s">
        <v>2041</v>
      </c>
      <c r="B749" s="1">
        <v>45855</v>
      </c>
      <c r="C749" t="s">
        <v>2042</v>
      </c>
      <c r="D749" t="s">
        <v>3526</v>
      </c>
      <c r="E749" s="1">
        <v>45862</v>
      </c>
      <c r="F749" t="s">
        <v>29</v>
      </c>
      <c r="G749" t="s">
        <v>27</v>
      </c>
      <c r="H749" t="s">
        <v>28</v>
      </c>
      <c r="I749" t="s">
        <v>2619</v>
      </c>
      <c r="J749" t="s">
        <v>2687</v>
      </c>
      <c r="K749" t="s">
        <v>25</v>
      </c>
      <c r="L749">
        <v>30</v>
      </c>
      <c r="M749">
        <v>2</v>
      </c>
      <c r="N749">
        <v>30</v>
      </c>
      <c r="O749" t="s">
        <v>1041</v>
      </c>
      <c r="P749" t="s">
        <v>44</v>
      </c>
      <c r="Q749" t="s">
        <v>117</v>
      </c>
      <c r="R749" t="s">
        <v>71</v>
      </c>
      <c r="S749" t="s">
        <v>30</v>
      </c>
      <c r="T749">
        <v>5</v>
      </c>
      <c r="U749" s="5">
        <v>987.79</v>
      </c>
      <c r="V749" s="5">
        <v>869.32</v>
      </c>
      <c r="W749">
        <v>7</v>
      </c>
      <c r="X749" t="s">
        <v>45</v>
      </c>
      <c r="Y749">
        <v>2025</v>
      </c>
      <c r="Z749" t="str">
        <f>TEXT(Table1[[#This Row],[Order Date]],"MMM")</f>
        <v>Jul</v>
      </c>
      <c r="AA749" s="5">
        <f>Table1[[#This Row],[Unit Price]]*Table1[[#This Row],[Quantity]]*(1-Table1[[#This Row],[Discount %]]/100)</f>
        <v>1382.9059999999999</v>
      </c>
      <c r="AB749" s="5">
        <f>Table1[[#This Row],[Sales]]-Table1[[#This Row],[Cost]]</f>
        <v>513.5859999999999</v>
      </c>
    </row>
    <row r="750" spans="1:28" x14ac:dyDescent="0.3">
      <c r="A750" t="s">
        <v>2043</v>
      </c>
      <c r="B750" s="1">
        <v>45499</v>
      </c>
      <c r="C750" t="s">
        <v>2044</v>
      </c>
      <c r="D750" t="s">
        <v>3527</v>
      </c>
      <c r="E750" s="1">
        <v>45503</v>
      </c>
      <c r="F750" t="s">
        <v>56</v>
      </c>
      <c r="G750" t="s">
        <v>54</v>
      </c>
      <c r="H750" t="s">
        <v>55</v>
      </c>
      <c r="I750" t="s">
        <v>2629</v>
      </c>
      <c r="J750" t="s">
        <v>2674</v>
      </c>
      <c r="K750" t="s">
        <v>25</v>
      </c>
      <c r="L750">
        <v>19</v>
      </c>
      <c r="M750">
        <v>3</v>
      </c>
      <c r="N750">
        <v>10</v>
      </c>
      <c r="O750" t="s">
        <v>2045</v>
      </c>
      <c r="P750" t="s">
        <v>75</v>
      </c>
      <c r="Q750" t="s">
        <v>58</v>
      </c>
      <c r="R750" t="s">
        <v>62</v>
      </c>
      <c r="S750" t="s">
        <v>57</v>
      </c>
      <c r="T750">
        <v>1</v>
      </c>
      <c r="U750" s="5">
        <v>627.92999999999995</v>
      </c>
      <c r="V750" s="5">
        <v>1366.15</v>
      </c>
      <c r="W750">
        <v>4</v>
      </c>
      <c r="X750" t="s">
        <v>45</v>
      </c>
      <c r="Y750">
        <v>2024</v>
      </c>
      <c r="Z750" t="str">
        <f>TEXT(Table1[[#This Row],[Order Date]],"MMM")</f>
        <v>Jul</v>
      </c>
      <c r="AA750" s="5">
        <f>Table1[[#This Row],[Unit Price]]*Table1[[#This Row],[Quantity]]*(1-Table1[[#This Row],[Discount %]]/100)</f>
        <v>1695.4110000000001</v>
      </c>
      <c r="AB750" s="5">
        <f>Table1[[#This Row],[Sales]]-Table1[[#This Row],[Cost]]</f>
        <v>329.26099999999997</v>
      </c>
    </row>
    <row r="751" spans="1:28" x14ac:dyDescent="0.3">
      <c r="A751" t="s">
        <v>2046</v>
      </c>
      <c r="B751" s="1">
        <v>45991</v>
      </c>
      <c r="C751" t="s">
        <v>1688</v>
      </c>
      <c r="D751" t="s">
        <v>3528</v>
      </c>
      <c r="E751" s="1">
        <v>45992</v>
      </c>
      <c r="F751" t="s">
        <v>56</v>
      </c>
      <c r="G751" t="s">
        <v>54</v>
      </c>
      <c r="H751" t="s">
        <v>55</v>
      </c>
      <c r="I751" t="s">
        <v>2668</v>
      </c>
      <c r="J751" t="s">
        <v>2712</v>
      </c>
      <c r="K751" t="s">
        <v>52</v>
      </c>
      <c r="L751">
        <v>56</v>
      </c>
      <c r="M751">
        <v>5</v>
      </c>
      <c r="N751">
        <v>15</v>
      </c>
      <c r="O751" t="s">
        <v>78</v>
      </c>
      <c r="P751" t="s">
        <v>44</v>
      </c>
      <c r="Q751" t="s">
        <v>42</v>
      </c>
      <c r="R751" t="s">
        <v>62</v>
      </c>
      <c r="S751" t="s">
        <v>57</v>
      </c>
      <c r="T751">
        <v>5</v>
      </c>
      <c r="U751" s="5">
        <v>597.07000000000005</v>
      </c>
      <c r="V751" s="5">
        <v>1894.15</v>
      </c>
      <c r="W751">
        <v>1</v>
      </c>
      <c r="X751" t="s">
        <v>94</v>
      </c>
      <c r="Y751">
        <v>2025</v>
      </c>
      <c r="Z751" t="str">
        <f>TEXT(Table1[[#This Row],[Order Date]],"MMM")</f>
        <v>Nov</v>
      </c>
      <c r="AA751" s="5">
        <f>Table1[[#This Row],[Unit Price]]*Table1[[#This Row],[Quantity]]*(1-Table1[[#This Row],[Discount %]]/100)</f>
        <v>2537.5475000000001</v>
      </c>
      <c r="AB751" s="5">
        <f>Table1[[#This Row],[Sales]]-Table1[[#This Row],[Cost]]</f>
        <v>643.39750000000004</v>
      </c>
    </row>
    <row r="752" spans="1:28" x14ac:dyDescent="0.3">
      <c r="A752" t="s">
        <v>2047</v>
      </c>
      <c r="B752" s="1">
        <v>45645</v>
      </c>
      <c r="C752" t="s">
        <v>2048</v>
      </c>
      <c r="D752" t="s">
        <v>3529</v>
      </c>
      <c r="E752" s="1">
        <v>45652</v>
      </c>
      <c r="F752" t="s">
        <v>100</v>
      </c>
      <c r="G752" t="s">
        <v>98</v>
      </c>
      <c r="H752" t="s">
        <v>99</v>
      </c>
      <c r="I752" t="s">
        <v>2621</v>
      </c>
      <c r="J752" t="s">
        <v>2647</v>
      </c>
      <c r="K752" t="s">
        <v>52</v>
      </c>
      <c r="L752">
        <v>25</v>
      </c>
      <c r="M752">
        <v>4</v>
      </c>
      <c r="N752">
        <v>30</v>
      </c>
      <c r="O752" t="s">
        <v>81</v>
      </c>
      <c r="P752" t="s">
        <v>33</v>
      </c>
      <c r="Q752" t="s">
        <v>42</v>
      </c>
      <c r="R752" t="s">
        <v>32</v>
      </c>
      <c r="S752" t="s">
        <v>101</v>
      </c>
      <c r="T752">
        <v>3</v>
      </c>
      <c r="U752" s="5">
        <v>215.61</v>
      </c>
      <c r="V752" s="5">
        <v>505.12</v>
      </c>
      <c r="W752">
        <v>7</v>
      </c>
      <c r="X752" t="s">
        <v>94</v>
      </c>
      <c r="Y752">
        <v>2024</v>
      </c>
      <c r="Z752" t="str">
        <f>TEXT(Table1[[#This Row],[Order Date]],"MMM")</f>
        <v>Dec</v>
      </c>
      <c r="AA752" s="5">
        <f>Table1[[#This Row],[Unit Price]]*Table1[[#This Row],[Quantity]]*(1-Table1[[#This Row],[Discount %]]/100)</f>
        <v>603.70799999999997</v>
      </c>
      <c r="AB752" s="5">
        <f>Table1[[#This Row],[Sales]]-Table1[[#This Row],[Cost]]</f>
        <v>98.587999999999965</v>
      </c>
    </row>
    <row r="753" spans="1:28" x14ac:dyDescent="0.3">
      <c r="A753" t="s">
        <v>2049</v>
      </c>
      <c r="B753" s="1">
        <v>45994</v>
      </c>
      <c r="C753" t="s">
        <v>2050</v>
      </c>
      <c r="D753" t="s">
        <v>3530</v>
      </c>
      <c r="E753" s="1">
        <v>45995</v>
      </c>
      <c r="F753" t="s">
        <v>128</v>
      </c>
      <c r="G753" t="s">
        <v>98</v>
      </c>
      <c r="H753" t="s">
        <v>127</v>
      </c>
      <c r="I753" t="s">
        <v>2621</v>
      </c>
      <c r="J753" t="s">
        <v>2699</v>
      </c>
      <c r="K753" t="s">
        <v>52</v>
      </c>
      <c r="L753">
        <v>22</v>
      </c>
      <c r="M753">
        <v>1</v>
      </c>
      <c r="N753">
        <v>10</v>
      </c>
      <c r="O753" t="s">
        <v>841</v>
      </c>
      <c r="P753" t="s">
        <v>44</v>
      </c>
      <c r="Q753" t="s">
        <v>58</v>
      </c>
      <c r="R753" t="s">
        <v>32</v>
      </c>
      <c r="S753" t="s">
        <v>129</v>
      </c>
      <c r="T753">
        <v>1</v>
      </c>
      <c r="U753" s="5">
        <v>945.95</v>
      </c>
      <c r="V753" s="5">
        <v>663.63</v>
      </c>
      <c r="W753">
        <v>1</v>
      </c>
      <c r="X753" t="s">
        <v>94</v>
      </c>
      <c r="Y753">
        <v>2025</v>
      </c>
      <c r="Z753" t="str">
        <f>TEXT(Table1[[#This Row],[Order Date]],"MMM")</f>
        <v>Dec</v>
      </c>
      <c r="AA753" s="5">
        <f>Table1[[#This Row],[Unit Price]]*Table1[[#This Row],[Quantity]]*(1-Table1[[#This Row],[Discount %]]/100)</f>
        <v>851.35500000000002</v>
      </c>
      <c r="AB753" s="5">
        <f>Table1[[#This Row],[Sales]]-Table1[[#This Row],[Cost]]</f>
        <v>187.72500000000002</v>
      </c>
    </row>
    <row r="754" spans="1:28" x14ac:dyDescent="0.3">
      <c r="A754" t="s">
        <v>2051</v>
      </c>
      <c r="B754" s="1">
        <v>46085</v>
      </c>
      <c r="C754" t="s">
        <v>2052</v>
      </c>
      <c r="D754" t="s">
        <v>3531</v>
      </c>
      <c r="E754" s="1">
        <v>46090</v>
      </c>
      <c r="F754" t="s">
        <v>68</v>
      </c>
      <c r="G754" t="s">
        <v>66</v>
      </c>
      <c r="H754" t="s">
        <v>67</v>
      </c>
      <c r="I754" t="s">
        <v>2630</v>
      </c>
      <c r="J754" t="s">
        <v>2710</v>
      </c>
      <c r="K754" t="s">
        <v>52</v>
      </c>
      <c r="L754">
        <v>50</v>
      </c>
      <c r="M754">
        <v>3</v>
      </c>
      <c r="N754">
        <v>15</v>
      </c>
      <c r="O754" t="s">
        <v>862</v>
      </c>
      <c r="P754" t="s">
        <v>75</v>
      </c>
      <c r="Q754" t="s">
        <v>31</v>
      </c>
      <c r="R754" t="s">
        <v>71</v>
      </c>
      <c r="S754" t="s">
        <v>69</v>
      </c>
      <c r="T754">
        <v>5</v>
      </c>
      <c r="U754" s="5">
        <v>373.08</v>
      </c>
      <c r="V754" s="5">
        <v>497.4</v>
      </c>
      <c r="W754">
        <v>5</v>
      </c>
      <c r="X754" t="s">
        <v>34</v>
      </c>
      <c r="Y754">
        <v>2026</v>
      </c>
      <c r="Z754" t="str">
        <f>TEXT(Table1[[#This Row],[Order Date]],"MMM")</f>
        <v>Mar</v>
      </c>
      <c r="AA754" s="5">
        <f>Table1[[#This Row],[Unit Price]]*Table1[[#This Row],[Quantity]]*(1-Table1[[#This Row],[Discount %]]/100)</f>
        <v>951.35399999999993</v>
      </c>
      <c r="AB754" s="5">
        <f>Table1[[#This Row],[Sales]]-Table1[[#This Row],[Cost]]</f>
        <v>453.95399999999995</v>
      </c>
    </row>
    <row r="755" spans="1:28" x14ac:dyDescent="0.3">
      <c r="A755" t="s">
        <v>2053</v>
      </c>
      <c r="B755" s="1">
        <v>45883</v>
      </c>
      <c r="C755" t="s">
        <v>2054</v>
      </c>
      <c r="D755" t="s">
        <v>3532</v>
      </c>
      <c r="E755" s="1">
        <v>45884</v>
      </c>
      <c r="F755" t="s">
        <v>140</v>
      </c>
      <c r="G755" t="s">
        <v>38</v>
      </c>
      <c r="H755" t="s">
        <v>139</v>
      </c>
      <c r="I755" t="s">
        <v>2629</v>
      </c>
      <c r="J755" t="s">
        <v>2632</v>
      </c>
      <c r="K755" t="s">
        <v>25</v>
      </c>
      <c r="L755">
        <v>23</v>
      </c>
      <c r="M755">
        <v>3</v>
      </c>
      <c r="N755">
        <v>15</v>
      </c>
      <c r="O755" t="s">
        <v>1375</v>
      </c>
      <c r="P755" t="s">
        <v>75</v>
      </c>
      <c r="Q755" t="s">
        <v>42</v>
      </c>
      <c r="R755" t="s">
        <v>32</v>
      </c>
      <c r="S755" t="s">
        <v>141</v>
      </c>
      <c r="T755">
        <v>5</v>
      </c>
      <c r="U755" s="5">
        <v>534.32000000000005</v>
      </c>
      <c r="V755" s="5">
        <v>888.93</v>
      </c>
      <c r="W755">
        <v>1</v>
      </c>
      <c r="X755" t="s">
        <v>45</v>
      </c>
      <c r="Y755">
        <v>2025</v>
      </c>
      <c r="Z755" t="str">
        <f>TEXT(Table1[[#This Row],[Order Date]],"MMM")</f>
        <v>Aug</v>
      </c>
      <c r="AA755" s="5">
        <f>Table1[[#This Row],[Unit Price]]*Table1[[#This Row],[Quantity]]*(1-Table1[[#This Row],[Discount %]]/100)</f>
        <v>1362.5160000000001</v>
      </c>
      <c r="AB755" s="5">
        <f>Table1[[#This Row],[Sales]]-Table1[[#This Row],[Cost]]</f>
        <v>473.58600000000013</v>
      </c>
    </row>
    <row r="756" spans="1:28" x14ac:dyDescent="0.3">
      <c r="A756" t="s">
        <v>2055</v>
      </c>
      <c r="B756" s="1">
        <v>45451</v>
      </c>
      <c r="C756" t="s">
        <v>2056</v>
      </c>
      <c r="D756" t="s">
        <v>3533</v>
      </c>
      <c r="E756" s="1">
        <v>45456</v>
      </c>
      <c r="F756" t="s">
        <v>29</v>
      </c>
      <c r="G756" t="s">
        <v>27</v>
      </c>
      <c r="H756" t="s">
        <v>28</v>
      </c>
      <c r="I756" t="s">
        <v>2629</v>
      </c>
      <c r="J756" t="s">
        <v>2632</v>
      </c>
      <c r="K756" t="s">
        <v>25</v>
      </c>
      <c r="L756">
        <v>31</v>
      </c>
      <c r="M756">
        <v>4</v>
      </c>
      <c r="N756">
        <v>15</v>
      </c>
      <c r="O756" t="s">
        <v>189</v>
      </c>
      <c r="P756" t="s">
        <v>33</v>
      </c>
      <c r="Q756" t="s">
        <v>31</v>
      </c>
      <c r="R756" t="s">
        <v>62</v>
      </c>
      <c r="S756" t="s">
        <v>30</v>
      </c>
      <c r="T756">
        <v>2</v>
      </c>
      <c r="U756" s="5">
        <v>38.28</v>
      </c>
      <c r="V756" s="5">
        <v>79.489999999999995</v>
      </c>
      <c r="W756">
        <v>5</v>
      </c>
      <c r="X756" t="s">
        <v>49</v>
      </c>
      <c r="Y756">
        <v>2024</v>
      </c>
      <c r="Z756" t="str">
        <f>TEXT(Table1[[#This Row],[Order Date]],"MMM")</f>
        <v>Jun</v>
      </c>
      <c r="AA756" s="5">
        <f>Table1[[#This Row],[Unit Price]]*Table1[[#This Row],[Quantity]]*(1-Table1[[#This Row],[Discount %]]/100)</f>
        <v>130.15199999999999</v>
      </c>
      <c r="AB756" s="5">
        <f>Table1[[#This Row],[Sales]]-Table1[[#This Row],[Cost]]</f>
        <v>50.661999999999992</v>
      </c>
    </row>
    <row r="757" spans="1:28" x14ac:dyDescent="0.3">
      <c r="A757" t="s">
        <v>2057</v>
      </c>
      <c r="B757" s="1">
        <v>45567</v>
      </c>
      <c r="C757" t="s">
        <v>2058</v>
      </c>
      <c r="D757" t="s">
        <v>3534</v>
      </c>
      <c r="E757" s="1">
        <v>45570</v>
      </c>
      <c r="F757" t="s">
        <v>29</v>
      </c>
      <c r="G757" t="s">
        <v>27</v>
      </c>
      <c r="H757" t="s">
        <v>28</v>
      </c>
      <c r="I757" t="s">
        <v>2623</v>
      </c>
      <c r="J757" t="s">
        <v>2694</v>
      </c>
      <c r="K757" t="s">
        <v>25</v>
      </c>
      <c r="L757">
        <v>29</v>
      </c>
      <c r="M757">
        <v>4</v>
      </c>
      <c r="N757">
        <v>10</v>
      </c>
      <c r="O757" t="s">
        <v>1681</v>
      </c>
      <c r="P757" t="s">
        <v>33</v>
      </c>
      <c r="Q757" t="s">
        <v>58</v>
      </c>
      <c r="R757" t="s">
        <v>62</v>
      </c>
      <c r="S757" t="s">
        <v>30</v>
      </c>
      <c r="T757">
        <v>5</v>
      </c>
      <c r="U757" s="5">
        <v>522.19000000000005</v>
      </c>
      <c r="V757" s="5">
        <v>968.07</v>
      </c>
      <c r="W757">
        <v>3</v>
      </c>
      <c r="X757" t="s">
        <v>94</v>
      </c>
      <c r="Y757">
        <v>2024</v>
      </c>
      <c r="Z757" t="str">
        <f>TEXT(Table1[[#This Row],[Order Date]],"MMM")</f>
        <v>Oct</v>
      </c>
      <c r="AA757" s="5">
        <f>Table1[[#This Row],[Unit Price]]*Table1[[#This Row],[Quantity]]*(1-Table1[[#This Row],[Discount %]]/100)</f>
        <v>1879.8840000000002</v>
      </c>
      <c r="AB757" s="5">
        <f>Table1[[#This Row],[Sales]]-Table1[[#This Row],[Cost]]</f>
        <v>911.81400000000019</v>
      </c>
    </row>
    <row r="758" spans="1:28" x14ac:dyDescent="0.3">
      <c r="A758" t="s">
        <v>2059</v>
      </c>
      <c r="B758" s="1">
        <v>45763</v>
      </c>
      <c r="C758" t="s">
        <v>2060</v>
      </c>
      <c r="D758" t="s">
        <v>3535</v>
      </c>
      <c r="E758" s="1">
        <v>45768</v>
      </c>
      <c r="F758" t="s">
        <v>140</v>
      </c>
      <c r="G758" t="s">
        <v>38</v>
      </c>
      <c r="H758" t="s">
        <v>139</v>
      </c>
      <c r="I758" t="s">
        <v>2648</v>
      </c>
      <c r="J758" t="s">
        <v>2684</v>
      </c>
      <c r="K758" t="s">
        <v>25</v>
      </c>
      <c r="L758">
        <v>48</v>
      </c>
      <c r="M758">
        <v>4</v>
      </c>
      <c r="N758">
        <v>15</v>
      </c>
      <c r="O758" t="s">
        <v>808</v>
      </c>
      <c r="P758" t="s">
        <v>33</v>
      </c>
      <c r="Q758" t="s">
        <v>42</v>
      </c>
      <c r="R758" t="s">
        <v>71</v>
      </c>
      <c r="S758" t="s">
        <v>141</v>
      </c>
      <c r="T758">
        <v>4</v>
      </c>
      <c r="U758" s="5">
        <v>836.31</v>
      </c>
      <c r="V758" s="5">
        <v>1788.78</v>
      </c>
      <c r="W758">
        <v>5</v>
      </c>
      <c r="X758" t="s">
        <v>49</v>
      </c>
      <c r="Y758">
        <v>2025</v>
      </c>
      <c r="Z758" t="str">
        <f>TEXT(Table1[[#This Row],[Order Date]],"MMM")</f>
        <v>Apr</v>
      </c>
      <c r="AA758" s="5">
        <f>Table1[[#This Row],[Unit Price]]*Table1[[#This Row],[Quantity]]*(1-Table1[[#This Row],[Discount %]]/100)</f>
        <v>2843.4539999999997</v>
      </c>
      <c r="AB758" s="5">
        <f>Table1[[#This Row],[Sales]]-Table1[[#This Row],[Cost]]</f>
        <v>1054.6739999999998</v>
      </c>
    </row>
    <row r="759" spans="1:28" x14ac:dyDescent="0.3">
      <c r="A759" t="s">
        <v>2061</v>
      </c>
      <c r="B759" s="1">
        <v>46003</v>
      </c>
      <c r="C759" t="s">
        <v>2062</v>
      </c>
      <c r="D759" t="s">
        <v>3536</v>
      </c>
      <c r="E759" s="1">
        <v>46004</v>
      </c>
      <c r="F759" t="s">
        <v>122</v>
      </c>
      <c r="G759" t="s">
        <v>120</v>
      </c>
      <c r="H759" t="s">
        <v>121</v>
      </c>
      <c r="I759" t="s">
        <v>2664</v>
      </c>
      <c r="J759" t="s">
        <v>2704</v>
      </c>
      <c r="K759" t="s">
        <v>52</v>
      </c>
      <c r="L759">
        <v>46</v>
      </c>
      <c r="M759">
        <v>2</v>
      </c>
      <c r="N759">
        <v>30</v>
      </c>
      <c r="O759" t="s">
        <v>1477</v>
      </c>
      <c r="P759" t="s">
        <v>44</v>
      </c>
      <c r="Q759" t="s">
        <v>117</v>
      </c>
      <c r="R759" t="s">
        <v>32</v>
      </c>
      <c r="S759" t="s">
        <v>123</v>
      </c>
      <c r="T759">
        <v>4</v>
      </c>
      <c r="U759" s="5">
        <v>466.18</v>
      </c>
      <c r="V759" s="5">
        <v>490.53</v>
      </c>
      <c r="W759">
        <v>1</v>
      </c>
      <c r="X759" t="s">
        <v>94</v>
      </c>
      <c r="Y759">
        <v>2025</v>
      </c>
      <c r="Z759" t="str">
        <f>TEXT(Table1[[#This Row],[Order Date]],"MMM")</f>
        <v>Dec</v>
      </c>
      <c r="AA759" s="5">
        <f>Table1[[#This Row],[Unit Price]]*Table1[[#This Row],[Quantity]]*(1-Table1[[#This Row],[Discount %]]/100)</f>
        <v>652.65199999999993</v>
      </c>
      <c r="AB759" s="5">
        <f>Table1[[#This Row],[Sales]]-Table1[[#This Row],[Cost]]</f>
        <v>162.12199999999996</v>
      </c>
    </row>
    <row r="760" spans="1:28" x14ac:dyDescent="0.3">
      <c r="A760" t="s">
        <v>2063</v>
      </c>
      <c r="B760" s="1">
        <v>45630</v>
      </c>
      <c r="C760" t="s">
        <v>2064</v>
      </c>
      <c r="D760" t="s">
        <v>3537</v>
      </c>
      <c r="E760" s="1">
        <v>45637</v>
      </c>
      <c r="F760" t="s">
        <v>40</v>
      </c>
      <c r="G760" t="s">
        <v>38</v>
      </c>
      <c r="H760" t="s">
        <v>39</v>
      </c>
      <c r="I760" t="s">
        <v>2627</v>
      </c>
      <c r="J760" t="s">
        <v>2670</v>
      </c>
      <c r="K760" t="s">
        <v>25</v>
      </c>
      <c r="L760">
        <v>54</v>
      </c>
      <c r="M760">
        <v>5</v>
      </c>
      <c r="N760">
        <v>10</v>
      </c>
      <c r="O760" t="s">
        <v>2065</v>
      </c>
      <c r="P760" t="s">
        <v>75</v>
      </c>
      <c r="Q760" t="s">
        <v>42</v>
      </c>
      <c r="R760" t="s">
        <v>32</v>
      </c>
      <c r="S760" t="s">
        <v>41</v>
      </c>
      <c r="T760">
        <v>4</v>
      </c>
      <c r="U760" s="5">
        <v>857.85</v>
      </c>
      <c r="V760" s="5">
        <v>2109.0300000000002</v>
      </c>
      <c r="W760">
        <v>7</v>
      </c>
      <c r="X760" t="s">
        <v>94</v>
      </c>
      <c r="Y760">
        <v>2024</v>
      </c>
      <c r="Z760" t="str">
        <f>TEXT(Table1[[#This Row],[Order Date]],"MMM")</f>
        <v>Dec</v>
      </c>
      <c r="AA760" s="5">
        <f>Table1[[#This Row],[Unit Price]]*Table1[[#This Row],[Quantity]]*(1-Table1[[#This Row],[Discount %]]/100)</f>
        <v>3860.3250000000003</v>
      </c>
      <c r="AB760" s="5">
        <f>Table1[[#This Row],[Sales]]-Table1[[#This Row],[Cost]]</f>
        <v>1751.2950000000001</v>
      </c>
    </row>
    <row r="761" spans="1:28" x14ac:dyDescent="0.3">
      <c r="A761" t="s">
        <v>2066</v>
      </c>
      <c r="B761" s="1">
        <v>45549</v>
      </c>
      <c r="C761" t="s">
        <v>2067</v>
      </c>
      <c r="D761" t="s">
        <v>3538</v>
      </c>
      <c r="E761" s="1">
        <v>45555</v>
      </c>
      <c r="F761" t="s">
        <v>29</v>
      </c>
      <c r="G761" t="s">
        <v>27</v>
      </c>
      <c r="H761" t="s">
        <v>28</v>
      </c>
      <c r="I761" t="s">
        <v>2621</v>
      </c>
      <c r="J761" t="s">
        <v>2663</v>
      </c>
      <c r="K761" t="s">
        <v>52</v>
      </c>
      <c r="L761">
        <v>55</v>
      </c>
      <c r="M761">
        <v>4</v>
      </c>
      <c r="N761">
        <v>10</v>
      </c>
      <c r="O761" t="s">
        <v>2068</v>
      </c>
      <c r="P761" t="s">
        <v>75</v>
      </c>
      <c r="Q761" t="s">
        <v>58</v>
      </c>
      <c r="R761" t="s">
        <v>43</v>
      </c>
      <c r="S761" t="s">
        <v>30</v>
      </c>
      <c r="T761">
        <v>3</v>
      </c>
      <c r="U761" s="5">
        <v>532.64</v>
      </c>
      <c r="V761" s="5">
        <v>1571.34</v>
      </c>
      <c r="W761">
        <v>6</v>
      </c>
      <c r="X761" t="s">
        <v>45</v>
      </c>
      <c r="Y761">
        <v>2024</v>
      </c>
      <c r="Z761" t="str">
        <f>TEXT(Table1[[#This Row],[Order Date]],"MMM")</f>
        <v>Sep</v>
      </c>
      <c r="AA761" s="5">
        <f>Table1[[#This Row],[Unit Price]]*Table1[[#This Row],[Quantity]]*(1-Table1[[#This Row],[Discount %]]/100)</f>
        <v>1917.5039999999999</v>
      </c>
      <c r="AB761" s="5">
        <f>Table1[[#This Row],[Sales]]-Table1[[#This Row],[Cost]]</f>
        <v>346.16399999999999</v>
      </c>
    </row>
    <row r="762" spans="1:28" x14ac:dyDescent="0.3">
      <c r="A762" t="s">
        <v>2069</v>
      </c>
      <c r="B762" s="1">
        <v>45771</v>
      </c>
      <c r="C762" t="s">
        <v>2070</v>
      </c>
      <c r="D762" t="s">
        <v>3539</v>
      </c>
      <c r="E762" s="1">
        <v>45773</v>
      </c>
      <c r="F762" t="s">
        <v>40</v>
      </c>
      <c r="G762" t="s">
        <v>38</v>
      </c>
      <c r="H762" t="s">
        <v>39</v>
      </c>
      <c r="I762" t="s">
        <v>2618</v>
      </c>
      <c r="J762" t="s">
        <v>2701</v>
      </c>
      <c r="K762" t="s">
        <v>25</v>
      </c>
      <c r="L762">
        <v>46</v>
      </c>
      <c r="M762">
        <v>4</v>
      </c>
      <c r="N762">
        <v>10</v>
      </c>
      <c r="O762" t="s">
        <v>1073</v>
      </c>
      <c r="P762" t="s">
        <v>75</v>
      </c>
      <c r="Q762" t="s">
        <v>58</v>
      </c>
      <c r="R762" t="s">
        <v>62</v>
      </c>
      <c r="S762" t="s">
        <v>41</v>
      </c>
      <c r="T762">
        <v>1</v>
      </c>
      <c r="U762" s="5">
        <v>906.86</v>
      </c>
      <c r="V762" s="5">
        <v>2230.65</v>
      </c>
      <c r="W762">
        <v>2</v>
      </c>
      <c r="X762" t="s">
        <v>49</v>
      </c>
      <c r="Y762">
        <v>2025</v>
      </c>
      <c r="Z762" t="str">
        <f>TEXT(Table1[[#This Row],[Order Date]],"MMM")</f>
        <v>Apr</v>
      </c>
      <c r="AA762" s="5">
        <f>Table1[[#This Row],[Unit Price]]*Table1[[#This Row],[Quantity]]*(1-Table1[[#This Row],[Discount %]]/100)</f>
        <v>3264.6959999999999</v>
      </c>
      <c r="AB762" s="5">
        <f>Table1[[#This Row],[Sales]]-Table1[[#This Row],[Cost]]</f>
        <v>1034.0459999999998</v>
      </c>
    </row>
    <row r="763" spans="1:28" x14ac:dyDescent="0.3">
      <c r="A763" t="s">
        <v>2071</v>
      </c>
      <c r="B763" s="1">
        <v>46068</v>
      </c>
      <c r="C763" t="s">
        <v>2072</v>
      </c>
      <c r="D763" t="s">
        <v>3540</v>
      </c>
      <c r="E763" s="1">
        <v>46071</v>
      </c>
      <c r="F763" t="s">
        <v>100</v>
      </c>
      <c r="G763" t="s">
        <v>98</v>
      </c>
      <c r="H763" t="s">
        <v>99</v>
      </c>
      <c r="I763" t="s">
        <v>2618</v>
      </c>
      <c r="J763" t="s">
        <v>2618</v>
      </c>
      <c r="K763" t="s">
        <v>25</v>
      </c>
      <c r="L763">
        <v>20</v>
      </c>
      <c r="M763">
        <v>2</v>
      </c>
      <c r="N763">
        <v>5</v>
      </c>
      <c r="O763" t="s">
        <v>2073</v>
      </c>
      <c r="P763" t="s">
        <v>44</v>
      </c>
      <c r="Q763" t="s">
        <v>31</v>
      </c>
      <c r="R763" t="s">
        <v>43</v>
      </c>
      <c r="S763" t="s">
        <v>101</v>
      </c>
      <c r="T763">
        <v>1</v>
      </c>
      <c r="U763" s="5">
        <v>218.73</v>
      </c>
      <c r="V763" s="5">
        <v>210.56</v>
      </c>
      <c r="W763">
        <v>3</v>
      </c>
      <c r="X763" t="s">
        <v>34</v>
      </c>
      <c r="Y763">
        <v>2026</v>
      </c>
      <c r="Z763" t="str">
        <f>TEXT(Table1[[#This Row],[Order Date]],"MMM")</f>
        <v>Feb</v>
      </c>
      <c r="AA763" s="5">
        <f>Table1[[#This Row],[Unit Price]]*Table1[[#This Row],[Quantity]]*(1-Table1[[#This Row],[Discount %]]/100)</f>
        <v>415.58699999999999</v>
      </c>
      <c r="AB763" s="5">
        <f>Table1[[#This Row],[Sales]]-Table1[[#This Row],[Cost]]</f>
        <v>205.02699999999999</v>
      </c>
    </row>
    <row r="764" spans="1:28" x14ac:dyDescent="0.3">
      <c r="A764" t="s">
        <v>2074</v>
      </c>
      <c r="B764" s="1">
        <v>45312</v>
      </c>
      <c r="C764" t="s">
        <v>2075</v>
      </c>
      <c r="D764" t="s">
        <v>3541</v>
      </c>
      <c r="E764" s="1">
        <v>45317</v>
      </c>
      <c r="F764" t="s">
        <v>56</v>
      </c>
      <c r="G764" t="s">
        <v>54</v>
      </c>
      <c r="H764" t="s">
        <v>55</v>
      </c>
      <c r="I764" t="s">
        <v>2668</v>
      </c>
      <c r="J764" t="s">
        <v>2712</v>
      </c>
      <c r="K764" t="s">
        <v>52</v>
      </c>
      <c r="L764">
        <v>23</v>
      </c>
      <c r="M764">
        <v>4</v>
      </c>
      <c r="N764">
        <v>5</v>
      </c>
      <c r="O764" t="s">
        <v>2076</v>
      </c>
      <c r="P764" t="s">
        <v>33</v>
      </c>
      <c r="Q764" t="s">
        <v>42</v>
      </c>
      <c r="R764" t="s">
        <v>43</v>
      </c>
      <c r="S764" t="s">
        <v>57</v>
      </c>
      <c r="T764">
        <v>1</v>
      </c>
      <c r="U764" s="5">
        <v>681.14</v>
      </c>
      <c r="V764" s="5">
        <v>1552.43</v>
      </c>
      <c r="W764">
        <v>5</v>
      </c>
      <c r="X764" t="s">
        <v>34</v>
      </c>
      <c r="Y764">
        <v>2024</v>
      </c>
      <c r="Z764" t="str">
        <f>TEXT(Table1[[#This Row],[Order Date]],"MMM")</f>
        <v>Jan</v>
      </c>
      <c r="AA764" s="5">
        <f>Table1[[#This Row],[Unit Price]]*Table1[[#This Row],[Quantity]]*(1-Table1[[#This Row],[Discount %]]/100)</f>
        <v>2588.3319999999999</v>
      </c>
      <c r="AB764" s="5">
        <f>Table1[[#This Row],[Sales]]-Table1[[#This Row],[Cost]]</f>
        <v>1035.9019999999998</v>
      </c>
    </row>
    <row r="765" spans="1:28" x14ac:dyDescent="0.3">
      <c r="A765" t="s">
        <v>2077</v>
      </c>
      <c r="B765" s="1">
        <v>46180</v>
      </c>
      <c r="C765" t="s">
        <v>2078</v>
      </c>
      <c r="D765" t="s">
        <v>3542</v>
      </c>
      <c r="E765" s="1">
        <v>46182</v>
      </c>
      <c r="F765" t="s">
        <v>140</v>
      </c>
      <c r="G765" t="s">
        <v>38</v>
      </c>
      <c r="H765" t="s">
        <v>139</v>
      </c>
      <c r="I765" t="s">
        <v>2675</v>
      </c>
      <c r="J765" t="s">
        <v>2681</v>
      </c>
      <c r="K765" t="s">
        <v>25</v>
      </c>
      <c r="L765">
        <v>63</v>
      </c>
      <c r="M765">
        <v>2</v>
      </c>
      <c r="N765">
        <v>15</v>
      </c>
      <c r="O765" t="s">
        <v>368</v>
      </c>
      <c r="P765" t="s">
        <v>44</v>
      </c>
      <c r="Q765" t="s">
        <v>42</v>
      </c>
      <c r="R765" t="s">
        <v>43</v>
      </c>
      <c r="S765" t="s">
        <v>141</v>
      </c>
      <c r="T765">
        <v>4</v>
      </c>
      <c r="U765" s="5">
        <v>725.94</v>
      </c>
      <c r="V765" s="5">
        <v>834.49</v>
      </c>
      <c r="W765">
        <v>2</v>
      </c>
      <c r="X765" t="s">
        <v>49</v>
      </c>
      <c r="Y765">
        <v>2026</v>
      </c>
      <c r="Z765" t="str">
        <f>TEXT(Table1[[#This Row],[Order Date]],"MMM")</f>
        <v>Jun</v>
      </c>
      <c r="AA765" s="5">
        <f>Table1[[#This Row],[Unit Price]]*Table1[[#This Row],[Quantity]]*(1-Table1[[#This Row],[Discount %]]/100)</f>
        <v>1234.098</v>
      </c>
      <c r="AB765" s="5">
        <f>Table1[[#This Row],[Sales]]-Table1[[#This Row],[Cost]]</f>
        <v>399.60799999999995</v>
      </c>
    </row>
    <row r="766" spans="1:28" x14ac:dyDescent="0.3">
      <c r="A766" t="s">
        <v>2079</v>
      </c>
      <c r="B766" s="1">
        <v>45671</v>
      </c>
      <c r="C766" t="s">
        <v>2080</v>
      </c>
      <c r="D766" t="s">
        <v>3543</v>
      </c>
      <c r="E766" s="1">
        <v>45678</v>
      </c>
      <c r="F766" t="s">
        <v>122</v>
      </c>
      <c r="G766" t="s">
        <v>120</v>
      </c>
      <c r="H766" t="s">
        <v>121</v>
      </c>
      <c r="I766" t="s">
        <v>2635</v>
      </c>
      <c r="J766" t="s">
        <v>2700</v>
      </c>
      <c r="K766" t="s">
        <v>52</v>
      </c>
      <c r="L766">
        <v>41</v>
      </c>
      <c r="M766">
        <v>1</v>
      </c>
      <c r="N766">
        <v>0</v>
      </c>
      <c r="O766" t="s">
        <v>2081</v>
      </c>
      <c r="P766" t="s">
        <v>33</v>
      </c>
      <c r="Q766" t="s">
        <v>31</v>
      </c>
      <c r="R766" t="s">
        <v>62</v>
      </c>
      <c r="S766" t="s">
        <v>123</v>
      </c>
      <c r="T766">
        <v>5</v>
      </c>
      <c r="U766" s="5">
        <v>449.6</v>
      </c>
      <c r="V766" s="5">
        <v>237.08</v>
      </c>
      <c r="W766">
        <v>7</v>
      </c>
      <c r="X766" t="s">
        <v>34</v>
      </c>
      <c r="Y766">
        <v>2025</v>
      </c>
      <c r="Z766" t="str">
        <f>TEXT(Table1[[#This Row],[Order Date]],"MMM")</f>
        <v>Jan</v>
      </c>
      <c r="AA766" s="5">
        <f>Table1[[#This Row],[Unit Price]]*Table1[[#This Row],[Quantity]]*(1-Table1[[#This Row],[Discount %]]/100)</f>
        <v>449.6</v>
      </c>
      <c r="AB766" s="5">
        <f>Table1[[#This Row],[Sales]]-Table1[[#This Row],[Cost]]</f>
        <v>212.52</v>
      </c>
    </row>
    <row r="767" spans="1:28" x14ac:dyDescent="0.3">
      <c r="A767" t="s">
        <v>2082</v>
      </c>
      <c r="B767" s="1">
        <v>45911</v>
      </c>
      <c r="C767" t="s">
        <v>2083</v>
      </c>
      <c r="D767" t="s">
        <v>3544</v>
      </c>
      <c r="E767" s="1">
        <v>45913</v>
      </c>
      <c r="F767" t="s">
        <v>140</v>
      </c>
      <c r="G767" t="s">
        <v>38</v>
      </c>
      <c r="H767" t="s">
        <v>139</v>
      </c>
      <c r="I767" t="s">
        <v>2628</v>
      </c>
      <c r="J767" t="s">
        <v>2711</v>
      </c>
      <c r="K767" t="s">
        <v>25</v>
      </c>
      <c r="L767">
        <v>40</v>
      </c>
      <c r="M767">
        <v>1</v>
      </c>
      <c r="N767">
        <v>15</v>
      </c>
      <c r="O767" t="s">
        <v>671</v>
      </c>
      <c r="P767" t="s">
        <v>75</v>
      </c>
      <c r="Q767" t="s">
        <v>31</v>
      </c>
      <c r="R767" t="s">
        <v>71</v>
      </c>
      <c r="S767" t="s">
        <v>141</v>
      </c>
      <c r="T767">
        <v>5</v>
      </c>
      <c r="U767" s="5">
        <v>784.38</v>
      </c>
      <c r="V767" s="5">
        <v>497.44</v>
      </c>
      <c r="W767">
        <v>2</v>
      </c>
      <c r="X767" t="s">
        <v>45</v>
      </c>
      <c r="Y767">
        <v>2025</v>
      </c>
      <c r="Z767" t="str">
        <f>TEXT(Table1[[#This Row],[Order Date]],"MMM")</f>
        <v>Sep</v>
      </c>
      <c r="AA767" s="5">
        <f>Table1[[#This Row],[Unit Price]]*Table1[[#This Row],[Quantity]]*(1-Table1[[#This Row],[Discount %]]/100)</f>
        <v>666.72299999999996</v>
      </c>
      <c r="AB767" s="5">
        <f>Table1[[#This Row],[Sales]]-Table1[[#This Row],[Cost]]</f>
        <v>169.28299999999996</v>
      </c>
    </row>
    <row r="768" spans="1:28" x14ac:dyDescent="0.3">
      <c r="A768" t="s">
        <v>2084</v>
      </c>
      <c r="B768" s="1">
        <v>45653</v>
      </c>
      <c r="C768" t="s">
        <v>2085</v>
      </c>
      <c r="D768" t="s">
        <v>3545</v>
      </c>
      <c r="E768" s="1">
        <v>45658</v>
      </c>
      <c r="F768" t="s">
        <v>68</v>
      </c>
      <c r="G768" t="s">
        <v>66</v>
      </c>
      <c r="H768" t="s">
        <v>67</v>
      </c>
      <c r="I768" t="s">
        <v>2635</v>
      </c>
      <c r="J768" t="s">
        <v>2636</v>
      </c>
      <c r="K768" t="s">
        <v>25</v>
      </c>
      <c r="L768">
        <v>60</v>
      </c>
      <c r="M768">
        <v>1</v>
      </c>
      <c r="N768">
        <v>15</v>
      </c>
      <c r="O768" t="s">
        <v>449</v>
      </c>
      <c r="P768" t="s">
        <v>75</v>
      </c>
      <c r="Q768" t="s">
        <v>117</v>
      </c>
      <c r="R768" t="s">
        <v>32</v>
      </c>
      <c r="S768" t="s">
        <v>69</v>
      </c>
      <c r="T768">
        <v>1</v>
      </c>
      <c r="U768" s="5">
        <v>302.27</v>
      </c>
      <c r="V768" s="5">
        <v>194.97</v>
      </c>
      <c r="W768">
        <v>5</v>
      </c>
      <c r="X768" t="s">
        <v>94</v>
      </c>
      <c r="Y768">
        <v>2024</v>
      </c>
      <c r="Z768" t="str">
        <f>TEXT(Table1[[#This Row],[Order Date]],"MMM")</f>
        <v>Dec</v>
      </c>
      <c r="AA768" s="5">
        <f>Table1[[#This Row],[Unit Price]]*Table1[[#This Row],[Quantity]]*(1-Table1[[#This Row],[Discount %]]/100)</f>
        <v>256.92949999999996</v>
      </c>
      <c r="AB768" s="5">
        <f>Table1[[#This Row],[Sales]]-Table1[[#This Row],[Cost]]</f>
        <v>61.959499999999963</v>
      </c>
    </row>
    <row r="769" spans="1:28" x14ac:dyDescent="0.3">
      <c r="A769" t="s">
        <v>2086</v>
      </c>
      <c r="B769" s="1">
        <v>45386</v>
      </c>
      <c r="C769" t="s">
        <v>2087</v>
      </c>
      <c r="D769" t="s">
        <v>3546</v>
      </c>
      <c r="E769" s="1">
        <v>45390</v>
      </c>
      <c r="F769" t="s">
        <v>56</v>
      </c>
      <c r="G769" t="s">
        <v>54</v>
      </c>
      <c r="H769" t="s">
        <v>55</v>
      </c>
      <c r="I769" t="s">
        <v>2618</v>
      </c>
      <c r="J769" t="s">
        <v>2682</v>
      </c>
      <c r="K769" t="s">
        <v>52</v>
      </c>
      <c r="L769">
        <v>61</v>
      </c>
      <c r="M769">
        <v>3</v>
      </c>
      <c r="N769">
        <v>0</v>
      </c>
      <c r="O769" t="s">
        <v>479</v>
      </c>
      <c r="P769" t="s">
        <v>33</v>
      </c>
      <c r="Q769" t="s">
        <v>117</v>
      </c>
      <c r="R769" t="s">
        <v>62</v>
      </c>
      <c r="S769" t="s">
        <v>57</v>
      </c>
      <c r="T769">
        <v>3</v>
      </c>
      <c r="U769" s="5">
        <v>741.58</v>
      </c>
      <c r="V769" s="5">
        <v>1387.83</v>
      </c>
      <c r="W769">
        <v>4</v>
      </c>
      <c r="X769" t="s">
        <v>49</v>
      </c>
      <c r="Y769">
        <v>2024</v>
      </c>
      <c r="Z769" t="str">
        <f>TEXT(Table1[[#This Row],[Order Date]],"MMM")</f>
        <v>Apr</v>
      </c>
      <c r="AA769" s="5">
        <f>Table1[[#This Row],[Unit Price]]*Table1[[#This Row],[Quantity]]*(1-Table1[[#This Row],[Discount %]]/100)</f>
        <v>2224.7400000000002</v>
      </c>
      <c r="AB769" s="5">
        <f>Table1[[#This Row],[Sales]]-Table1[[#This Row],[Cost]]</f>
        <v>836.91000000000031</v>
      </c>
    </row>
    <row r="770" spans="1:28" x14ac:dyDescent="0.3">
      <c r="A770" t="s">
        <v>2088</v>
      </c>
      <c r="B770" s="1">
        <v>45430</v>
      </c>
      <c r="C770" t="s">
        <v>2089</v>
      </c>
      <c r="D770" t="s">
        <v>3547</v>
      </c>
      <c r="E770" s="1">
        <v>45435</v>
      </c>
      <c r="F770" t="s">
        <v>40</v>
      </c>
      <c r="G770" t="s">
        <v>38</v>
      </c>
      <c r="H770" t="s">
        <v>39</v>
      </c>
      <c r="I770" t="s">
        <v>2650</v>
      </c>
      <c r="J770" t="s">
        <v>2680</v>
      </c>
      <c r="K770" t="s">
        <v>25</v>
      </c>
      <c r="L770">
        <v>31</v>
      </c>
      <c r="M770">
        <v>3</v>
      </c>
      <c r="N770">
        <v>25</v>
      </c>
      <c r="O770" t="s">
        <v>2090</v>
      </c>
      <c r="P770" t="s">
        <v>75</v>
      </c>
      <c r="Q770" t="s">
        <v>58</v>
      </c>
      <c r="R770" t="s">
        <v>43</v>
      </c>
      <c r="S770" t="s">
        <v>41</v>
      </c>
      <c r="T770">
        <v>2</v>
      </c>
      <c r="U770" s="5">
        <v>684.94</v>
      </c>
      <c r="V770" s="5">
        <v>830.23</v>
      </c>
      <c r="W770">
        <v>5</v>
      </c>
      <c r="X770" t="s">
        <v>49</v>
      </c>
      <c r="Y770">
        <v>2024</v>
      </c>
      <c r="Z770" t="str">
        <f>TEXT(Table1[[#This Row],[Order Date]],"MMM")</f>
        <v>May</v>
      </c>
      <c r="AA770" s="5">
        <f>Table1[[#This Row],[Unit Price]]*Table1[[#This Row],[Quantity]]*(1-Table1[[#This Row],[Discount %]]/100)</f>
        <v>1541.1150000000002</v>
      </c>
      <c r="AB770" s="5">
        <f>Table1[[#This Row],[Sales]]-Table1[[#This Row],[Cost]]</f>
        <v>710.88500000000022</v>
      </c>
    </row>
    <row r="771" spans="1:28" x14ac:dyDescent="0.3">
      <c r="A771" t="s">
        <v>2091</v>
      </c>
      <c r="B771" s="1">
        <v>45724</v>
      </c>
      <c r="C771" t="s">
        <v>2092</v>
      </c>
      <c r="D771" t="s">
        <v>3548</v>
      </c>
      <c r="E771" s="1">
        <v>45726</v>
      </c>
      <c r="F771" t="s">
        <v>56</v>
      </c>
      <c r="G771" t="s">
        <v>54</v>
      </c>
      <c r="H771" t="s">
        <v>55</v>
      </c>
      <c r="I771" t="s">
        <v>2661</v>
      </c>
      <c r="J771" t="s">
        <v>2715</v>
      </c>
      <c r="K771" t="s">
        <v>25</v>
      </c>
      <c r="L771">
        <v>49</v>
      </c>
      <c r="M771">
        <v>2</v>
      </c>
      <c r="N771">
        <v>15</v>
      </c>
      <c r="O771" t="s">
        <v>414</v>
      </c>
      <c r="P771" t="s">
        <v>44</v>
      </c>
      <c r="Q771" t="s">
        <v>70</v>
      </c>
      <c r="R771" t="s">
        <v>62</v>
      </c>
      <c r="S771" t="s">
        <v>57</v>
      </c>
      <c r="T771">
        <v>3</v>
      </c>
      <c r="U771" s="5">
        <v>670.93</v>
      </c>
      <c r="V771" s="5">
        <v>812.43</v>
      </c>
      <c r="W771">
        <v>2</v>
      </c>
      <c r="X771" t="s">
        <v>34</v>
      </c>
      <c r="Y771">
        <v>2025</v>
      </c>
      <c r="Z771" t="str">
        <f>TEXT(Table1[[#This Row],[Order Date]],"MMM")</f>
        <v>Mar</v>
      </c>
      <c r="AA771" s="5">
        <f>Table1[[#This Row],[Unit Price]]*Table1[[#This Row],[Quantity]]*(1-Table1[[#This Row],[Discount %]]/100)</f>
        <v>1140.5809999999999</v>
      </c>
      <c r="AB771" s="5">
        <f>Table1[[#This Row],[Sales]]-Table1[[#This Row],[Cost]]</f>
        <v>328.15099999999995</v>
      </c>
    </row>
    <row r="772" spans="1:28" x14ac:dyDescent="0.3">
      <c r="A772" t="s">
        <v>2093</v>
      </c>
      <c r="B772" s="1">
        <v>45433</v>
      </c>
      <c r="C772" t="s">
        <v>2094</v>
      </c>
      <c r="D772" t="s">
        <v>3549</v>
      </c>
      <c r="E772" s="1">
        <v>45438</v>
      </c>
      <c r="F772" t="s">
        <v>115</v>
      </c>
      <c r="G772" t="s">
        <v>66</v>
      </c>
      <c r="H772" t="s">
        <v>114</v>
      </c>
      <c r="I772" t="s">
        <v>2619</v>
      </c>
      <c r="J772" t="s">
        <v>2692</v>
      </c>
      <c r="K772" t="s">
        <v>52</v>
      </c>
      <c r="L772">
        <v>43</v>
      </c>
      <c r="M772">
        <v>2</v>
      </c>
      <c r="N772">
        <v>30</v>
      </c>
      <c r="O772" t="s">
        <v>1265</v>
      </c>
      <c r="P772" t="s">
        <v>33</v>
      </c>
      <c r="Q772" t="s">
        <v>117</v>
      </c>
      <c r="R772" t="s">
        <v>43</v>
      </c>
      <c r="S772" t="s">
        <v>116</v>
      </c>
      <c r="T772">
        <v>1</v>
      </c>
      <c r="U772" s="5">
        <v>104.77</v>
      </c>
      <c r="V772" s="5">
        <v>83.62</v>
      </c>
      <c r="W772">
        <v>5</v>
      </c>
      <c r="X772" t="s">
        <v>49</v>
      </c>
      <c r="Y772">
        <v>2024</v>
      </c>
      <c r="Z772" t="str">
        <f>TEXT(Table1[[#This Row],[Order Date]],"MMM")</f>
        <v>May</v>
      </c>
      <c r="AA772" s="5">
        <f>Table1[[#This Row],[Unit Price]]*Table1[[#This Row],[Quantity]]*(1-Table1[[#This Row],[Discount %]]/100)</f>
        <v>146.678</v>
      </c>
      <c r="AB772" s="5">
        <f>Table1[[#This Row],[Sales]]-Table1[[#This Row],[Cost]]</f>
        <v>63.057999999999993</v>
      </c>
    </row>
    <row r="773" spans="1:28" x14ac:dyDescent="0.3">
      <c r="A773" t="s">
        <v>2095</v>
      </c>
      <c r="B773" s="1">
        <v>45841</v>
      </c>
      <c r="C773" t="s">
        <v>2096</v>
      </c>
      <c r="D773" t="s">
        <v>3550</v>
      </c>
      <c r="E773" s="1">
        <v>45845</v>
      </c>
      <c r="F773" t="s">
        <v>140</v>
      </c>
      <c r="G773" t="s">
        <v>38</v>
      </c>
      <c r="H773" t="s">
        <v>139</v>
      </c>
      <c r="I773" t="s">
        <v>2623</v>
      </c>
      <c r="J773" t="s">
        <v>2694</v>
      </c>
      <c r="K773" t="s">
        <v>25</v>
      </c>
      <c r="L773">
        <v>24</v>
      </c>
      <c r="M773">
        <v>2</v>
      </c>
      <c r="N773">
        <v>25</v>
      </c>
      <c r="O773" t="s">
        <v>1359</v>
      </c>
      <c r="P773" t="s">
        <v>33</v>
      </c>
      <c r="Q773" t="s">
        <v>70</v>
      </c>
      <c r="R773" t="s">
        <v>71</v>
      </c>
      <c r="S773" t="s">
        <v>141</v>
      </c>
      <c r="T773">
        <v>5</v>
      </c>
      <c r="U773" s="5">
        <v>321.02999999999997</v>
      </c>
      <c r="V773" s="5">
        <v>365.1</v>
      </c>
      <c r="W773">
        <v>4</v>
      </c>
      <c r="X773" t="s">
        <v>45</v>
      </c>
      <c r="Y773">
        <v>2025</v>
      </c>
      <c r="Z773" t="str">
        <f>TEXT(Table1[[#This Row],[Order Date]],"MMM")</f>
        <v>Jul</v>
      </c>
      <c r="AA773" s="5">
        <f>Table1[[#This Row],[Unit Price]]*Table1[[#This Row],[Quantity]]*(1-Table1[[#This Row],[Discount %]]/100)</f>
        <v>481.54499999999996</v>
      </c>
      <c r="AB773" s="5">
        <f>Table1[[#This Row],[Sales]]-Table1[[#This Row],[Cost]]</f>
        <v>116.44499999999994</v>
      </c>
    </row>
    <row r="774" spans="1:28" x14ac:dyDescent="0.3">
      <c r="A774" t="s">
        <v>2097</v>
      </c>
      <c r="B774" s="1">
        <v>45429</v>
      </c>
      <c r="C774" t="s">
        <v>2098</v>
      </c>
      <c r="D774" t="s">
        <v>3551</v>
      </c>
      <c r="E774" s="1">
        <v>45433</v>
      </c>
      <c r="F774" t="s">
        <v>100</v>
      </c>
      <c r="G774" t="s">
        <v>98</v>
      </c>
      <c r="H774" t="s">
        <v>99</v>
      </c>
      <c r="I774" t="s">
        <v>2630</v>
      </c>
      <c r="J774" t="s">
        <v>2710</v>
      </c>
      <c r="K774" t="s">
        <v>52</v>
      </c>
      <c r="L774">
        <v>38</v>
      </c>
      <c r="M774">
        <v>2</v>
      </c>
      <c r="N774">
        <v>25</v>
      </c>
      <c r="O774" t="s">
        <v>700</v>
      </c>
      <c r="P774" t="s">
        <v>44</v>
      </c>
      <c r="Q774" t="s">
        <v>58</v>
      </c>
      <c r="R774" t="s">
        <v>32</v>
      </c>
      <c r="S774" t="s">
        <v>101</v>
      </c>
      <c r="T774">
        <v>1</v>
      </c>
      <c r="U774" s="5">
        <v>762.03</v>
      </c>
      <c r="V774" s="5">
        <v>793.07</v>
      </c>
      <c r="W774">
        <v>4</v>
      </c>
      <c r="X774" t="s">
        <v>49</v>
      </c>
      <c r="Y774">
        <v>2024</v>
      </c>
      <c r="Z774" t="str">
        <f>TEXT(Table1[[#This Row],[Order Date]],"MMM")</f>
        <v>May</v>
      </c>
      <c r="AA774" s="5">
        <f>Table1[[#This Row],[Unit Price]]*Table1[[#This Row],[Quantity]]*(1-Table1[[#This Row],[Discount %]]/100)</f>
        <v>1143.0450000000001</v>
      </c>
      <c r="AB774" s="5">
        <f>Table1[[#This Row],[Sales]]-Table1[[#This Row],[Cost]]</f>
        <v>349.97500000000002</v>
      </c>
    </row>
    <row r="775" spans="1:28" x14ac:dyDescent="0.3">
      <c r="A775" t="s">
        <v>2099</v>
      </c>
      <c r="B775" s="1">
        <v>46099</v>
      </c>
      <c r="C775" t="s">
        <v>2100</v>
      </c>
      <c r="D775" t="s">
        <v>3552</v>
      </c>
      <c r="E775" s="1">
        <v>46102</v>
      </c>
      <c r="F775" t="s">
        <v>115</v>
      </c>
      <c r="G775" t="s">
        <v>66</v>
      </c>
      <c r="H775" t="s">
        <v>114</v>
      </c>
      <c r="I775" t="s">
        <v>2664</v>
      </c>
      <c r="J775" t="s">
        <v>2678</v>
      </c>
      <c r="K775" t="s">
        <v>52</v>
      </c>
      <c r="L775">
        <v>54</v>
      </c>
      <c r="M775">
        <v>4</v>
      </c>
      <c r="N775">
        <v>0</v>
      </c>
      <c r="O775" t="s">
        <v>1344</v>
      </c>
      <c r="P775" t="s">
        <v>75</v>
      </c>
      <c r="Q775" t="s">
        <v>31</v>
      </c>
      <c r="R775" t="s">
        <v>71</v>
      </c>
      <c r="S775" t="s">
        <v>116</v>
      </c>
      <c r="T775">
        <v>1</v>
      </c>
      <c r="U775" s="5">
        <v>753.43</v>
      </c>
      <c r="V775" s="5">
        <v>1725.27</v>
      </c>
      <c r="W775">
        <v>3</v>
      </c>
      <c r="X775" t="s">
        <v>34</v>
      </c>
      <c r="Y775">
        <v>2026</v>
      </c>
      <c r="Z775" t="str">
        <f>TEXT(Table1[[#This Row],[Order Date]],"MMM")</f>
        <v>Mar</v>
      </c>
      <c r="AA775" s="5">
        <f>Table1[[#This Row],[Unit Price]]*Table1[[#This Row],[Quantity]]*(1-Table1[[#This Row],[Discount %]]/100)</f>
        <v>3013.72</v>
      </c>
      <c r="AB775" s="5">
        <f>Table1[[#This Row],[Sales]]-Table1[[#This Row],[Cost]]</f>
        <v>1288.4499999999998</v>
      </c>
    </row>
    <row r="776" spans="1:28" x14ac:dyDescent="0.3">
      <c r="A776" t="s">
        <v>2101</v>
      </c>
      <c r="B776" s="1">
        <v>46115</v>
      </c>
      <c r="C776" t="s">
        <v>2102</v>
      </c>
      <c r="D776" t="s">
        <v>3553</v>
      </c>
      <c r="E776" s="1">
        <v>46116</v>
      </c>
      <c r="F776" t="s">
        <v>122</v>
      </c>
      <c r="G776" t="s">
        <v>120</v>
      </c>
      <c r="H776" t="s">
        <v>121</v>
      </c>
      <c r="I776" t="s">
        <v>2675</v>
      </c>
      <c r="J776" t="s">
        <v>2681</v>
      </c>
      <c r="K776" t="s">
        <v>52</v>
      </c>
      <c r="L776">
        <v>50</v>
      </c>
      <c r="M776">
        <v>1</v>
      </c>
      <c r="N776">
        <v>5</v>
      </c>
      <c r="O776" t="s">
        <v>385</v>
      </c>
      <c r="P776" t="s">
        <v>44</v>
      </c>
      <c r="Q776" t="s">
        <v>58</v>
      </c>
      <c r="R776" t="s">
        <v>32</v>
      </c>
      <c r="S776" t="s">
        <v>123</v>
      </c>
      <c r="T776">
        <v>2</v>
      </c>
      <c r="U776" s="5">
        <v>138.65</v>
      </c>
      <c r="V776" s="5">
        <v>110.37</v>
      </c>
      <c r="W776">
        <v>1</v>
      </c>
      <c r="X776" t="s">
        <v>49</v>
      </c>
      <c r="Y776">
        <v>2026</v>
      </c>
      <c r="Z776" t="str">
        <f>TEXT(Table1[[#This Row],[Order Date]],"MMM")</f>
        <v>Apr</v>
      </c>
      <c r="AA776" s="5">
        <f>Table1[[#This Row],[Unit Price]]*Table1[[#This Row],[Quantity]]*(1-Table1[[#This Row],[Discount %]]/100)</f>
        <v>131.7175</v>
      </c>
      <c r="AB776" s="5">
        <f>Table1[[#This Row],[Sales]]-Table1[[#This Row],[Cost]]</f>
        <v>21.347499999999997</v>
      </c>
    </row>
    <row r="777" spans="1:28" x14ac:dyDescent="0.3">
      <c r="A777" t="s">
        <v>2103</v>
      </c>
      <c r="B777" s="1">
        <v>45292</v>
      </c>
      <c r="C777" t="s">
        <v>2104</v>
      </c>
      <c r="D777" t="s">
        <v>3554</v>
      </c>
      <c r="E777" s="1">
        <v>45295</v>
      </c>
      <c r="F777" t="s">
        <v>56</v>
      </c>
      <c r="G777" t="s">
        <v>54</v>
      </c>
      <c r="H777" t="s">
        <v>55</v>
      </c>
      <c r="I777" t="s">
        <v>2655</v>
      </c>
      <c r="J777" t="s">
        <v>2714</v>
      </c>
      <c r="K777" t="s">
        <v>52</v>
      </c>
      <c r="L777">
        <v>28</v>
      </c>
      <c r="M777">
        <v>3</v>
      </c>
      <c r="N777">
        <v>25</v>
      </c>
      <c r="O777" t="s">
        <v>484</v>
      </c>
      <c r="P777" t="s">
        <v>75</v>
      </c>
      <c r="Q777" t="s">
        <v>117</v>
      </c>
      <c r="R777" t="s">
        <v>71</v>
      </c>
      <c r="S777" t="s">
        <v>57</v>
      </c>
      <c r="T777">
        <v>2</v>
      </c>
      <c r="U777" s="5">
        <v>248.31</v>
      </c>
      <c r="V777" s="5">
        <v>333.26</v>
      </c>
      <c r="W777">
        <v>3</v>
      </c>
      <c r="X777" t="s">
        <v>34</v>
      </c>
      <c r="Y777">
        <v>2024</v>
      </c>
      <c r="Z777" t="str">
        <f>TEXT(Table1[[#This Row],[Order Date]],"MMM")</f>
        <v>Jan</v>
      </c>
      <c r="AA777" s="5">
        <f>Table1[[#This Row],[Unit Price]]*Table1[[#This Row],[Quantity]]*(1-Table1[[#This Row],[Discount %]]/100)</f>
        <v>558.69749999999999</v>
      </c>
      <c r="AB777" s="5">
        <f>Table1[[#This Row],[Sales]]-Table1[[#This Row],[Cost]]</f>
        <v>225.4375</v>
      </c>
    </row>
    <row r="778" spans="1:28" x14ac:dyDescent="0.3">
      <c r="A778" t="s">
        <v>2105</v>
      </c>
      <c r="B778" s="1">
        <v>46082</v>
      </c>
      <c r="C778" t="s">
        <v>2106</v>
      </c>
      <c r="D778" t="s">
        <v>3555</v>
      </c>
      <c r="E778" s="1">
        <v>46085</v>
      </c>
      <c r="F778" t="s">
        <v>122</v>
      </c>
      <c r="G778" t="s">
        <v>120</v>
      </c>
      <c r="H778" t="s">
        <v>121</v>
      </c>
      <c r="I778" t="s">
        <v>2630</v>
      </c>
      <c r="J778" t="s">
        <v>2710</v>
      </c>
      <c r="K778" t="s">
        <v>52</v>
      </c>
      <c r="L778">
        <v>34</v>
      </c>
      <c r="M778">
        <v>1</v>
      </c>
      <c r="N778">
        <v>10</v>
      </c>
      <c r="O778" t="s">
        <v>552</v>
      </c>
      <c r="P778" t="s">
        <v>44</v>
      </c>
      <c r="Q778" t="s">
        <v>31</v>
      </c>
      <c r="R778" t="s">
        <v>43</v>
      </c>
      <c r="S778" t="s">
        <v>123</v>
      </c>
      <c r="T778">
        <v>5</v>
      </c>
      <c r="U778" s="5">
        <v>629.63</v>
      </c>
      <c r="V778" s="5">
        <v>393.35</v>
      </c>
      <c r="W778">
        <v>3</v>
      </c>
      <c r="X778" t="s">
        <v>34</v>
      </c>
      <c r="Y778">
        <v>2026</v>
      </c>
      <c r="Z778" t="str">
        <f>TEXT(Table1[[#This Row],[Order Date]],"MMM")</f>
        <v>Mar</v>
      </c>
      <c r="AA778" s="5">
        <f>Table1[[#This Row],[Unit Price]]*Table1[[#This Row],[Quantity]]*(1-Table1[[#This Row],[Discount %]]/100)</f>
        <v>566.66700000000003</v>
      </c>
      <c r="AB778" s="5">
        <f>Table1[[#This Row],[Sales]]-Table1[[#This Row],[Cost]]</f>
        <v>173.31700000000001</v>
      </c>
    </row>
    <row r="779" spans="1:28" x14ac:dyDescent="0.3">
      <c r="A779" t="s">
        <v>2107</v>
      </c>
      <c r="B779" s="1">
        <v>45343</v>
      </c>
      <c r="C779" t="s">
        <v>2108</v>
      </c>
      <c r="D779" t="s">
        <v>3556</v>
      </c>
      <c r="E779" s="1">
        <v>45346</v>
      </c>
      <c r="F779" t="s">
        <v>115</v>
      </c>
      <c r="G779" t="s">
        <v>66</v>
      </c>
      <c r="H779" t="s">
        <v>114</v>
      </c>
      <c r="I779" t="s">
        <v>2619</v>
      </c>
      <c r="J779" t="s">
        <v>2692</v>
      </c>
      <c r="K779" t="s">
        <v>52</v>
      </c>
      <c r="L779">
        <v>40</v>
      </c>
      <c r="M779">
        <v>1</v>
      </c>
      <c r="N779">
        <v>0</v>
      </c>
      <c r="O779" t="s">
        <v>2109</v>
      </c>
      <c r="P779" t="s">
        <v>33</v>
      </c>
      <c r="Q779" t="s">
        <v>58</v>
      </c>
      <c r="R779" t="s">
        <v>71</v>
      </c>
      <c r="S779" t="s">
        <v>116</v>
      </c>
      <c r="T779">
        <v>3</v>
      </c>
      <c r="U779" s="5">
        <v>223.79</v>
      </c>
      <c r="V779" s="5">
        <v>128.07</v>
      </c>
      <c r="W779">
        <v>3</v>
      </c>
      <c r="X779" t="s">
        <v>34</v>
      </c>
      <c r="Y779">
        <v>2024</v>
      </c>
      <c r="Z779" t="str">
        <f>TEXT(Table1[[#This Row],[Order Date]],"MMM")</f>
        <v>Feb</v>
      </c>
      <c r="AA779" s="5">
        <f>Table1[[#This Row],[Unit Price]]*Table1[[#This Row],[Quantity]]*(1-Table1[[#This Row],[Discount %]]/100)</f>
        <v>223.79</v>
      </c>
      <c r="AB779" s="5">
        <f>Table1[[#This Row],[Sales]]-Table1[[#This Row],[Cost]]</f>
        <v>95.72</v>
      </c>
    </row>
    <row r="780" spans="1:28" x14ac:dyDescent="0.3">
      <c r="A780" t="s">
        <v>2110</v>
      </c>
      <c r="B780" s="1">
        <v>45932</v>
      </c>
      <c r="C780" t="s">
        <v>2111</v>
      </c>
      <c r="D780" t="s">
        <v>3557</v>
      </c>
      <c r="E780" s="1">
        <v>45939</v>
      </c>
      <c r="F780" t="s">
        <v>29</v>
      </c>
      <c r="G780" t="s">
        <v>27</v>
      </c>
      <c r="H780" t="s">
        <v>28</v>
      </c>
      <c r="I780" t="s">
        <v>2619</v>
      </c>
      <c r="J780" t="s">
        <v>2687</v>
      </c>
      <c r="K780" t="s">
        <v>25</v>
      </c>
      <c r="L780">
        <v>56</v>
      </c>
      <c r="M780">
        <v>3</v>
      </c>
      <c r="N780">
        <v>25</v>
      </c>
      <c r="O780" t="s">
        <v>1320</v>
      </c>
      <c r="P780" t="s">
        <v>75</v>
      </c>
      <c r="Q780" t="s">
        <v>42</v>
      </c>
      <c r="R780" t="s">
        <v>32</v>
      </c>
      <c r="S780" t="s">
        <v>30</v>
      </c>
      <c r="T780">
        <v>4</v>
      </c>
      <c r="U780" s="5">
        <v>54.3</v>
      </c>
      <c r="V780" s="5">
        <v>75.03</v>
      </c>
      <c r="W780">
        <v>7</v>
      </c>
      <c r="X780" t="s">
        <v>94</v>
      </c>
      <c r="Y780">
        <v>2025</v>
      </c>
      <c r="Z780" t="str">
        <f>TEXT(Table1[[#This Row],[Order Date]],"MMM")</f>
        <v>Oct</v>
      </c>
      <c r="AA780" s="5">
        <f>Table1[[#This Row],[Unit Price]]*Table1[[#This Row],[Quantity]]*(1-Table1[[#This Row],[Discount %]]/100)</f>
        <v>122.17499999999998</v>
      </c>
      <c r="AB780" s="5">
        <f>Table1[[#This Row],[Sales]]-Table1[[#This Row],[Cost]]</f>
        <v>47.144999999999982</v>
      </c>
    </row>
    <row r="781" spans="1:28" x14ac:dyDescent="0.3">
      <c r="A781" t="s">
        <v>2112</v>
      </c>
      <c r="B781" s="1">
        <v>45818</v>
      </c>
      <c r="C781" t="s">
        <v>2113</v>
      </c>
      <c r="D781" t="s">
        <v>3558</v>
      </c>
      <c r="E781" s="1">
        <v>45822</v>
      </c>
      <c r="F781" t="s">
        <v>115</v>
      </c>
      <c r="G781" t="s">
        <v>66</v>
      </c>
      <c r="H781" t="s">
        <v>114</v>
      </c>
      <c r="I781" t="s">
        <v>2619</v>
      </c>
      <c r="J781" t="s">
        <v>2692</v>
      </c>
      <c r="K781" t="s">
        <v>52</v>
      </c>
      <c r="L781">
        <v>61</v>
      </c>
      <c r="M781">
        <v>4</v>
      </c>
      <c r="N781">
        <v>15</v>
      </c>
      <c r="O781" t="s">
        <v>2114</v>
      </c>
      <c r="P781" t="s">
        <v>44</v>
      </c>
      <c r="Q781" t="s">
        <v>31</v>
      </c>
      <c r="R781" t="s">
        <v>43</v>
      </c>
      <c r="S781" t="s">
        <v>116</v>
      </c>
      <c r="T781">
        <v>1</v>
      </c>
      <c r="U781" s="5">
        <v>655.53</v>
      </c>
      <c r="V781" s="5">
        <v>1646.53</v>
      </c>
      <c r="W781">
        <v>4</v>
      </c>
      <c r="X781" t="s">
        <v>49</v>
      </c>
      <c r="Y781">
        <v>2025</v>
      </c>
      <c r="Z781" t="str">
        <f>TEXT(Table1[[#This Row],[Order Date]],"MMM")</f>
        <v>Jun</v>
      </c>
      <c r="AA781" s="5">
        <f>Table1[[#This Row],[Unit Price]]*Table1[[#This Row],[Quantity]]*(1-Table1[[#This Row],[Discount %]]/100)</f>
        <v>2228.8019999999997</v>
      </c>
      <c r="AB781" s="5">
        <f>Table1[[#This Row],[Sales]]-Table1[[#This Row],[Cost]]</f>
        <v>582.27199999999971</v>
      </c>
    </row>
    <row r="782" spans="1:28" x14ac:dyDescent="0.3">
      <c r="A782" t="s">
        <v>2115</v>
      </c>
      <c r="B782" s="1">
        <v>45797</v>
      </c>
      <c r="C782" t="s">
        <v>2116</v>
      </c>
      <c r="D782" t="s">
        <v>3559</v>
      </c>
      <c r="E782" s="1">
        <v>45799</v>
      </c>
      <c r="F782" t="s">
        <v>115</v>
      </c>
      <c r="G782" t="s">
        <v>66</v>
      </c>
      <c r="H782" t="s">
        <v>114</v>
      </c>
      <c r="I782" t="s">
        <v>2625</v>
      </c>
      <c r="J782" t="s">
        <v>2626</v>
      </c>
      <c r="K782" t="s">
        <v>52</v>
      </c>
      <c r="L782">
        <v>26</v>
      </c>
      <c r="M782">
        <v>4</v>
      </c>
      <c r="N782">
        <v>0</v>
      </c>
      <c r="O782" t="s">
        <v>2117</v>
      </c>
      <c r="P782" t="s">
        <v>33</v>
      </c>
      <c r="Q782" t="s">
        <v>42</v>
      </c>
      <c r="R782" t="s">
        <v>62</v>
      </c>
      <c r="S782" t="s">
        <v>116</v>
      </c>
      <c r="T782">
        <v>5</v>
      </c>
      <c r="U782" s="5">
        <v>854.77</v>
      </c>
      <c r="V782" s="5">
        <v>1764.3</v>
      </c>
      <c r="W782">
        <v>2</v>
      </c>
      <c r="X782" t="s">
        <v>49</v>
      </c>
      <c r="Y782">
        <v>2025</v>
      </c>
      <c r="Z782" t="str">
        <f>TEXT(Table1[[#This Row],[Order Date]],"MMM")</f>
        <v>May</v>
      </c>
      <c r="AA782" s="5">
        <f>Table1[[#This Row],[Unit Price]]*Table1[[#This Row],[Quantity]]*(1-Table1[[#This Row],[Discount %]]/100)</f>
        <v>3419.08</v>
      </c>
      <c r="AB782" s="5">
        <f>Table1[[#This Row],[Sales]]-Table1[[#This Row],[Cost]]</f>
        <v>1654.78</v>
      </c>
    </row>
    <row r="783" spans="1:28" x14ac:dyDescent="0.3">
      <c r="A783" t="s">
        <v>2118</v>
      </c>
      <c r="B783" s="1">
        <v>45733</v>
      </c>
      <c r="C783" t="s">
        <v>2119</v>
      </c>
      <c r="D783" t="s">
        <v>3560</v>
      </c>
      <c r="E783" s="1">
        <v>45735</v>
      </c>
      <c r="F783" t="s">
        <v>100</v>
      </c>
      <c r="G783" t="s">
        <v>98</v>
      </c>
      <c r="H783" t="s">
        <v>99</v>
      </c>
      <c r="I783" t="s">
        <v>2664</v>
      </c>
      <c r="J783" t="s">
        <v>2665</v>
      </c>
      <c r="K783" t="s">
        <v>52</v>
      </c>
      <c r="L783">
        <v>52</v>
      </c>
      <c r="M783">
        <v>3</v>
      </c>
      <c r="N783">
        <v>25</v>
      </c>
      <c r="O783" t="s">
        <v>2120</v>
      </c>
      <c r="P783" t="s">
        <v>33</v>
      </c>
      <c r="Q783" t="s">
        <v>31</v>
      </c>
      <c r="R783" t="s">
        <v>62</v>
      </c>
      <c r="S783" t="s">
        <v>101</v>
      </c>
      <c r="T783">
        <v>3</v>
      </c>
      <c r="U783" s="5">
        <v>334.16</v>
      </c>
      <c r="V783" s="5">
        <v>414.43</v>
      </c>
      <c r="W783">
        <v>2</v>
      </c>
      <c r="X783" t="s">
        <v>34</v>
      </c>
      <c r="Y783">
        <v>2025</v>
      </c>
      <c r="Z783" t="str">
        <f>TEXT(Table1[[#This Row],[Order Date]],"MMM")</f>
        <v>Mar</v>
      </c>
      <c r="AA783" s="5">
        <f>Table1[[#This Row],[Unit Price]]*Table1[[#This Row],[Quantity]]*(1-Table1[[#This Row],[Discount %]]/100)</f>
        <v>751.86</v>
      </c>
      <c r="AB783" s="5">
        <f>Table1[[#This Row],[Sales]]-Table1[[#This Row],[Cost]]</f>
        <v>337.43</v>
      </c>
    </row>
    <row r="784" spans="1:28" x14ac:dyDescent="0.3">
      <c r="A784" t="s">
        <v>2121</v>
      </c>
      <c r="B784" s="1">
        <v>46186</v>
      </c>
      <c r="C784" t="s">
        <v>2122</v>
      </c>
      <c r="D784" t="s">
        <v>3561</v>
      </c>
      <c r="E784" s="1">
        <v>46192</v>
      </c>
      <c r="F784" t="s">
        <v>40</v>
      </c>
      <c r="G784" t="s">
        <v>38</v>
      </c>
      <c r="H784" t="s">
        <v>39</v>
      </c>
      <c r="I784" t="s">
        <v>2627</v>
      </c>
      <c r="J784" t="s">
        <v>2690</v>
      </c>
      <c r="K784" t="s">
        <v>52</v>
      </c>
      <c r="L784">
        <v>55</v>
      </c>
      <c r="M784">
        <v>3</v>
      </c>
      <c r="N784">
        <v>25</v>
      </c>
      <c r="O784" t="s">
        <v>458</v>
      </c>
      <c r="P784" t="s">
        <v>33</v>
      </c>
      <c r="Q784" t="s">
        <v>42</v>
      </c>
      <c r="R784" t="s">
        <v>32</v>
      </c>
      <c r="S784" t="s">
        <v>41</v>
      </c>
      <c r="T784">
        <v>5</v>
      </c>
      <c r="U784" s="5">
        <v>946.01</v>
      </c>
      <c r="V784" s="5">
        <v>1269.75</v>
      </c>
      <c r="W784">
        <v>6</v>
      </c>
      <c r="X784" t="s">
        <v>49</v>
      </c>
      <c r="Y784">
        <v>2026</v>
      </c>
      <c r="Z784" t="str">
        <f>TEXT(Table1[[#This Row],[Order Date]],"MMM")</f>
        <v>Jun</v>
      </c>
      <c r="AA784" s="5">
        <f>Table1[[#This Row],[Unit Price]]*Table1[[#This Row],[Quantity]]*(1-Table1[[#This Row],[Discount %]]/100)</f>
        <v>2128.5225</v>
      </c>
      <c r="AB784" s="5">
        <f>Table1[[#This Row],[Sales]]-Table1[[#This Row],[Cost]]</f>
        <v>858.77250000000004</v>
      </c>
    </row>
    <row r="785" spans="1:28" x14ac:dyDescent="0.3">
      <c r="A785" t="s">
        <v>2123</v>
      </c>
      <c r="B785" s="1">
        <v>45742</v>
      </c>
      <c r="C785" t="s">
        <v>2124</v>
      </c>
      <c r="D785" t="s">
        <v>3562</v>
      </c>
      <c r="E785" s="1">
        <v>45746</v>
      </c>
      <c r="F785" t="s">
        <v>115</v>
      </c>
      <c r="G785" t="s">
        <v>66</v>
      </c>
      <c r="H785" t="s">
        <v>114</v>
      </c>
      <c r="I785" t="s">
        <v>2618</v>
      </c>
      <c r="J785" t="s">
        <v>2618</v>
      </c>
      <c r="K785" t="s">
        <v>25</v>
      </c>
      <c r="L785">
        <v>24</v>
      </c>
      <c r="M785">
        <v>2</v>
      </c>
      <c r="N785">
        <v>0</v>
      </c>
      <c r="O785" t="s">
        <v>666</v>
      </c>
      <c r="P785" t="s">
        <v>44</v>
      </c>
      <c r="Q785" t="s">
        <v>42</v>
      </c>
      <c r="R785" t="s">
        <v>62</v>
      </c>
      <c r="S785" t="s">
        <v>116</v>
      </c>
      <c r="T785">
        <v>4</v>
      </c>
      <c r="U785" s="5">
        <v>648.78</v>
      </c>
      <c r="V785" s="5">
        <v>908.94</v>
      </c>
      <c r="W785">
        <v>4</v>
      </c>
      <c r="X785" t="s">
        <v>34</v>
      </c>
      <c r="Y785">
        <v>2025</v>
      </c>
      <c r="Z785" t="str">
        <f>TEXT(Table1[[#This Row],[Order Date]],"MMM")</f>
        <v>Mar</v>
      </c>
      <c r="AA785" s="5">
        <f>Table1[[#This Row],[Unit Price]]*Table1[[#This Row],[Quantity]]*(1-Table1[[#This Row],[Discount %]]/100)</f>
        <v>1297.56</v>
      </c>
      <c r="AB785" s="5">
        <f>Table1[[#This Row],[Sales]]-Table1[[#This Row],[Cost]]</f>
        <v>388.61999999999989</v>
      </c>
    </row>
    <row r="786" spans="1:28" x14ac:dyDescent="0.3">
      <c r="A786" t="s">
        <v>2125</v>
      </c>
      <c r="B786" s="1">
        <v>45734</v>
      </c>
      <c r="C786" t="s">
        <v>2126</v>
      </c>
      <c r="D786" t="s">
        <v>3563</v>
      </c>
      <c r="E786" s="1">
        <v>45736</v>
      </c>
      <c r="F786" t="s">
        <v>128</v>
      </c>
      <c r="G786" t="s">
        <v>98</v>
      </c>
      <c r="H786" t="s">
        <v>127</v>
      </c>
      <c r="I786" t="s">
        <v>2621</v>
      </c>
      <c r="J786" t="s">
        <v>2647</v>
      </c>
      <c r="K786" t="s">
        <v>52</v>
      </c>
      <c r="L786">
        <v>41</v>
      </c>
      <c r="M786">
        <v>3</v>
      </c>
      <c r="N786">
        <v>25</v>
      </c>
      <c r="O786" t="s">
        <v>2127</v>
      </c>
      <c r="P786" t="s">
        <v>33</v>
      </c>
      <c r="Q786" t="s">
        <v>70</v>
      </c>
      <c r="R786" t="s">
        <v>71</v>
      </c>
      <c r="S786" t="s">
        <v>129</v>
      </c>
      <c r="T786">
        <v>2</v>
      </c>
      <c r="U786" s="5">
        <v>314</v>
      </c>
      <c r="V786" s="5">
        <v>586.62</v>
      </c>
      <c r="W786">
        <v>2</v>
      </c>
      <c r="X786" t="s">
        <v>34</v>
      </c>
      <c r="Y786">
        <v>2025</v>
      </c>
      <c r="Z786" t="str">
        <f>TEXT(Table1[[#This Row],[Order Date]],"MMM")</f>
        <v>Mar</v>
      </c>
      <c r="AA786" s="5">
        <f>Table1[[#This Row],[Unit Price]]*Table1[[#This Row],[Quantity]]*(1-Table1[[#This Row],[Discount %]]/100)</f>
        <v>706.5</v>
      </c>
      <c r="AB786" s="5">
        <f>Table1[[#This Row],[Sales]]-Table1[[#This Row],[Cost]]</f>
        <v>119.88</v>
      </c>
    </row>
    <row r="787" spans="1:28" x14ac:dyDescent="0.3">
      <c r="A787" t="s">
        <v>2128</v>
      </c>
      <c r="B787" s="1">
        <v>45972</v>
      </c>
      <c r="C787" t="s">
        <v>2129</v>
      </c>
      <c r="D787" t="s">
        <v>3564</v>
      </c>
      <c r="E787" s="1">
        <v>45974</v>
      </c>
      <c r="F787" t="s">
        <v>68</v>
      </c>
      <c r="G787" t="s">
        <v>66</v>
      </c>
      <c r="H787" t="s">
        <v>67</v>
      </c>
      <c r="I787" t="s">
        <v>2675</v>
      </c>
      <c r="J787" t="s">
        <v>2681</v>
      </c>
      <c r="K787" t="s">
        <v>25</v>
      </c>
      <c r="L787">
        <v>63</v>
      </c>
      <c r="M787">
        <v>5</v>
      </c>
      <c r="N787">
        <v>0</v>
      </c>
      <c r="O787" t="s">
        <v>2130</v>
      </c>
      <c r="P787" t="s">
        <v>44</v>
      </c>
      <c r="Q787" t="s">
        <v>70</v>
      </c>
      <c r="R787" t="s">
        <v>71</v>
      </c>
      <c r="S787" t="s">
        <v>69</v>
      </c>
      <c r="T787">
        <v>4</v>
      </c>
      <c r="U787" s="5">
        <v>237.64</v>
      </c>
      <c r="V787" s="5">
        <v>735.58</v>
      </c>
      <c r="W787">
        <v>2</v>
      </c>
      <c r="X787" t="s">
        <v>94</v>
      </c>
      <c r="Y787">
        <v>2025</v>
      </c>
      <c r="Z787" t="str">
        <f>TEXT(Table1[[#This Row],[Order Date]],"MMM")</f>
        <v>Nov</v>
      </c>
      <c r="AA787" s="5">
        <f>Table1[[#This Row],[Unit Price]]*Table1[[#This Row],[Quantity]]*(1-Table1[[#This Row],[Discount %]]/100)</f>
        <v>1188.1999999999998</v>
      </c>
      <c r="AB787" s="5">
        <f>Table1[[#This Row],[Sales]]-Table1[[#This Row],[Cost]]</f>
        <v>452.61999999999978</v>
      </c>
    </row>
    <row r="788" spans="1:28" x14ac:dyDescent="0.3">
      <c r="A788" t="s">
        <v>2131</v>
      </c>
      <c r="B788" s="1">
        <v>45883</v>
      </c>
      <c r="C788" t="s">
        <v>2132</v>
      </c>
      <c r="D788" t="s">
        <v>3565</v>
      </c>
      <c r="E788" s="1">
        <v>45888</v>
      </c>
      <c r="F788" t="s">
        <v>56</v>
      </c>
      <c r="G788" t="s">
        <v>54</v>
      </c>
      <c r="H788" t="s">
        <v>55</v>
      </c>
      <c r="I788" t="s">
        <v>2629</v>
      </c>
      <c r="J788" t="s">
        <v>2632</v>
      </c>
      <c r="K788" t="s">
        <v>25</v>
      </c>
      <c r="L788">
        <v>60</v>
      </c>
      <c r="M788">
        <v>1</v>
      </c>
      <c r="N788">
        <v>25</v>
      </c>
      <c r="O788" t="s">
        <v>783</v>
      </c>
      <c r="P788" t="s">
        <v>75</v>
      </c>
      <c r="Q788" t="s">
        <v>117</v>
      </c>
      <c r="R788" t="s">
        <v>43</v>
      </c>
      <c r="S788" t="s">
        <v>57</v>
      </c>
      <c r="T788">
        <v>5</v>
      </c>
      <c r="U788" s="5">
        <v>491.41</v>
      </c>
      <c r="V788" s="5">
        <v>310.47000000000003</v>
      </c>
      <c r="W788">
        <v>5</v>
      </c>
      <c r="X788" t="s">
        <v>45</v>
      </c>
      <c r="Y788">
        <v>2025</v>
      </c>
      <c r="Z788" t="str">
        <f>TEXT(Table1[[#This Row],[Order Date]],"MMM")</f>
        <v>Aug</v>
      </c>
      <c r="AA788" s="5">
        <f>Table1[[#This Row],[Unit Price]]*Table1[[#This Row],[Quantity]]*(1-Table1[[#This Row],[Discount %]]/100)</f>
        <v>368.5575</v>
      </c>
      <c r="AB788" s="5">
        <f>Table1[[#This Row],[Sales]]-Table1[[#This Row],[Cost]]</f>
        <v>58.087499999999977</v>
      </c>
    </row>
    <row r="789" spans="1:28" x14ac:dyDescent="0.3">
      <c r="A789" t="s">
        <v>2133</v>
      </c>
      <c r="B789" s="1">
        <v>45676</v>
      </c>
      <c r="C789" t="s">
        <v>2134</v>
      </c>
      <c r="D789" t="s">
        <v>3566</v>
      </c>
      <c r="E789" s="1">
        <v>45677</v>
      </c>
      <c r="F789" t="s">
        <v>140</v>
      </c>
      <c r="G789" t="s">
        <v>38</v>
      </c>
      <c r="H789" t="s">
        <v>139</v>
      </c>
      <c r="I789" t="s">
        <v>2631</v>
      </c>
      <c r="J789" t="s">
        <v>2639</v>
      </c>
      <c r="K789" t="s">
        <v>52</v>
      </c>
      <c r="L789">
        <v>34</v>
      </c>
      <c r="M789">
        <v>2</v>
      </c>
      <c r="N789">
        <v>0</v>
      </c>
      <c r="O789" t="s">
        <v>2135</v>
      </c>
      <c r="P789" t="s">
        <v>44</v>
      </c>
      <c r="Q789" t="s">
        <v>70</v>
      </c>
      <c r="R789" t="s">
        <v>71</v>
      </c>
      <c r="S789" t="s">
        <v>141</v>
      </c>
      <c r="T789">
        <v>1</v>
      </c>
      <c r="U789" s="5">
        <v>920.81</v>
      </c>
      <c r="V789" s="5">
        <v>1215.23</v>
      </c>
      <c r="W789">
        <v>1</v>
      </c>
      <c r="X789" t="s">
        <v>34</v>
      </c>
      <c r="Y789">
        <v>2025</v>
      </c>
      <c r="Z789" t="str">
        <f>TEXT(Table1[[#This Row],[Order Date]],"MMM")</f>
        <v>Jan</v>
      </c>
      <c r="AA789" s="5">
        <f>Table1[[#This Row],[Unit Price]]*Table1[[#This Row],[Quantity]]*(1-Table1[[#This Row],[Discount %]]/100)</f>
        <v>1841.62</v>
      </c>
      <c r="AB789" s="5">
        <f>Table1[[#This Row],[Sales]]-Table1[[#This Row],[Cost]]</f>
        <v>626.38999999999987</v>
      </c>
    </row>
    <row r="790" spans="1:28" x14ac:dyDescent="0.3">
      <c r="A790" t="s">
        <v>2136</v>
      </c>
      <c r="B790" s="1">
        <v>46084</v>
      </c>
      <c r="C790" t="s">
        <v>2137</v>
      </c>
      <c r="D790" t="s">
        <v>3567</v>
      </c>
      <c r="E790" s="1">
        <v>46087</v>
      </c>
      <c r="F790" t="s">
        <v>29</v>
      </c>
      <c r="G790" t="s">
        <v>27</v>
      </c>
      <c r="H790" t="s">
        <v>28</v>
      </c>
      <c r="I790" t="s">
        <v>2627</v>
      </c>
      <c r="J790" t="s">
        <v>2707</v>
      </c>
      <c r="K790" t="s">
        <v>52</v>
      </c>
      <c r="L790">
        <v>55</v>
      </c>
      <c r="M790">
        <v>3</v>
      </c>
      <c r="N790">
        <v>0</v>
      </c>
      <c r="O790" t="s">
        <v>238</v>
      </c>
      <c r="P790" t="s">
        <v>33</v>
      </c>
      <c r="Q790" t="s">
        <v>42</v>
      </c>
      <c r="R790" t="s">
        <v>32</v>
      </c>
      <c r="S790" t="s">
        <v>30</v>
      </c>
      <c r="T790">
        <v>5</v>
      </c>
      <c r="U790" s="5">
        <v>490.78</v>
      </c>
      <c r="V790" s="5">
        <v>879.96</v>
      </c>
      <c r="W790">
        <v>3</v>
      </c>
      <c r="X790" t="s">
        <v>34</v>
      </c>
      <c r="Y790">
        <v>2026</v>
      </c>
      <c r="Z790" t="str">
        <f>TEXT(Table1[[#This Row],[Order Date]],"MMM")</f>
        <v>Mar</v>
      </c>
      <c r="AA790" s="5">
        <f>Table1[[#This Row],[Unit Price]]*Table1[[#This Row],[Quantity]]*(1-Table1[[#This Row],[Discount %]]/100)</f>
        <v>1472.34</v>
      </c>
      <c r="AB790" s="5">
        <f>Table1[[#This Row],[Sales]]-Table1[[#This Row],[Cost]]</f>
        <v>592.37999999999988</v>
      </c>
    </row>
    <row r="791" spans="1:28" x14ac:dyDescent="0.3">
      <c r="A791" t="s">
        <v>2138</v>
      </c>
      <c r="B791" s="1">
        <v>45786</v>
      </c>
      <c r="C791" t="s">
        <v>2139</v>
      </c>
      <c r="D791" t="s">
        <v>3568</v>
      </c>
      <c r="E791" s="1">
        <v>45793</v>
      </c>
      <c r="F791" t="s">
        <v>56</v>
      </c>
      <c r="G791" t="s">
        <v>54</v>
      </c>
      <c r="H791" t="s">
        <v>55</v>
      </c>
      <c r="I791" t="s">
        <v>2631</v>
      </c>
      <c r="J791" t="s">
        <v>2639</v>
      </c>
      <c r="K791" t="s">
        <v>52</v>
      </c>
      <c r="L791">
        <v>56</v>
      </c>
      <c r="M791">
        <v>5</v>
      </c>
      <c r="N791">
        <v>0</v>
      </c>
      <c r="O791" t="s">
        <v>1777</v>
      </c>
      <c r="P791" t="s">
        <v>44</v>
      </c>
      <c r="Q791" t="s">
        <v>70</v>
      </c>
      <c r="R791" t="s">
        <v>43</v>
      </c>
      <c r="S791" t="s">
        <v>57</v>
      </c>
      <c r="T791">
        <v>3</v>
      </c>
      <c r="U791" s="5">
        <v>978.52</v>
      </c>
      <c r="V791" s="5">
        <v>3725.16</v>
      </c>
      <c r="W791">
        <v>7</v>
      </c>
      <c r="X791" t="s">
        <v>49</v>
      </c>
      <c r="Y791">
        <v>2025</v>
      </c>
      <c r="Z791" t="str">
        <f>TEXT(Table1[[#This Row],[Order Date]],"MMM")</f>
        <v>May</v>
      </c>
      <c r="AA791" s="5">
        <f>Table1[[#This Row],[Unit Price]]*Table1[[#This Row],[Quantity]]*(1-Table1[[#This Row],[Discount %]]/100)</f>
        <v>4892.6000000000004</v>
      </c>
      <c r="AB791" s="5">
        <f>Table1[[#This Row],[Sales]]-Table1[[#This Row],[Cost]]</f>
        <v>1167.4400000000005</v>
      </c>
    </row>
    <row r="792" spans="1:28" x14ac:dyDescent="0.3">
      <c r="A792" t="s">
        <v>2140</v>
      </c>
      <c r="B792" s="1">
        <v>45695</v>
      </c>
      <c r="C792" t="s">
        <v>2022</v>
      </c>
      <c r="D792" t="s">
        <v>3569</v>
      </c>
      <c r="E792" s="1">
        <v>45696</v>
      </c>
      <c r="F792" t="s">
        <v>29</v>
      </c>
      <c r="G792" t="s">
        <v>27</v>
      </c>
      <c r="H792" t="s">
        <v>28</v>
      </c>
      <c r="I792" t="s">
        <v>2635</v>
      </c>
      <c r="J792" t="s">
        <v>2683</v>
      </c>
      <c r="K792" t="s">
        <v>52</v>
      </c>
      <c r="L792">
        <v>30</v>
      </c>
      <c r="M792">
        <v>4</v>
      </c>
      <c r="N792">
        <v>20</v>
      </c>
      <c r="O792" t="s">
        <v>2141</v>
      </c>
      <c r="P792" t="s">
        <v>75</v>
      </c>
      <c r="Q792" t="s">
        <v>58</v>
      </c>
      <c r="R792" t="s">
        <v>62</v>
      </c>
      <c r="S792" t="s">
        <v>30</v>
      </c>
      <c r="T792">
        <v>2</v>
      </c>
      <c r="U792" s="5">
        <v>28.03</v>
      </c>
      <c r="V792" s="5">
        <v>52.94</v>
      </c>
      <c r="W792">
        <v>1</v>
      </c>
      <c r="X792" t="s">
        <v>34</v>
      </c>
      <c r="Y792">
        <v>2025</v>
      </c>
      <c r="Z792" t="str">
        <f>TEXT(Table1[[#This Row],[Order Date]],"MMM")</f>
        <v>Feb</v>
      </c>
      <c r="AA792" s="5">
        <f>Table1[[#This Row],[Unit Price]]*Table1[[#This Row],[Quantity]]*(1-Table1[[#This Row],[Discount %]]/100)</f>
        <v>89.696000000000012</v>
      </c>
      <c r="AB792" s="5">
        <f>Table1[[#This Row],[Sales]]-Table1[[#This Row],[Cost]]</f>
        <v>36.756000000000014</v>
      </c>
    </row>
    <row r="793" spans="1:28" x14ac:dyDescent="0.3">
      <c r="A793" t="s">
        <v>2142</v>
      </c>
      <c r="B793" s="1">
        <v>45618</v>
      </c>
      <c r="C793" t="s">
        <v>2143</v>
      </c>
      <c r="D793" t="s">
        <v>3570</v>
      </c>
      <c r="E793" s="1">
        <v>45619</v>
      </c>
      <c r="F793" t="s">
        <v>122</v>
      </c>
      <c r="G793" t="s">
        <v>120</v>
      </c>
      <c r="H793" t="s">
        <v>121</v>
      </c>
      <c r="I793" t="s">
        <v>2652</v>
      </c>
      <c r="J793" t="s">
        <v>2653</v>
      </c>
      <c r="K793" t="s">
        <v>52</v>
      </c>
      <c r="L793">
        <v>37</v>
      </c>
      <c r="M793">
        <v>2</v>
      </c>
      <c r="N793">
        <v>30</v>
      </c>
      <c r="O793" t="s">
        <v>989</v>
      </c>
      <c r="P793" t="s">
        <v>33</v>
      </c>
      <c r="Q793" t="s">
        <v>117</v>
      </c>
      <c r="R793" t="s">
        <v>43</v>
      </c>
      <c r="S793" t="s">
        <v>123</v>
      </c>
      <c r="T793">
        <v>5</v>
      </c>
      <c r="U793" s="5">
        <v>564.74</v>
      </c>
      <c r="V793" s="5">
        <v>491.73</v>
      </c>
      <c r="W793">
        <v>1</v>
      </c>
      <c r="X793" t="s">
        <v>94</v>
      </c>
      <c r="Y793">
        <v>2024</v>
      </c>
      <c r="Z793" t="str">
        <f>TEXT(Table1[[#This Row],[Order Date]],"MMM")</f>
        <v>Nov</v>
      </c>
      <c r="AA793" s="5">
        <f>Table1[[#This Row],[Unit Price]]*Table1[[#This Row],[Quantity]]*(1-Table1[[#This Row],[Discount %]]/100)</f>
        <v>790.63599999999997</v>
      </c>
      <c r="AB793" s="5">
        <f>Table1[[#This Row],[Sales]]-Table1[[#This Row],[Cost]]</f>
        <v>298.90599999999995</v>
      </c>
    </row>
    <row r="794" spans="1:28" x14ac:dyDescent="0.3">
      <c r="A794" t="s">
        <v>2144</v>
      </c>
      <c r="B794" s="1">
        <v>46050</v>
      </c>
      <c r="C794" t="s">
        <v>2145</v>
      </c>
      <c r="D794" t="s">
        <v>3571</v>
      </c>
      <c r="E794" s="1">
        <v>46052</v>
      </c>
      <c r="F794" t="s">
        <v>56</v>
      </c>
      <c r="G794" t="s">
        <v>54</v>
      </c>
      <c r="H794" t="s">
        <v>55</v>
      </c>
      <c r="I794" t="s">
        <v>2619</v>
      </c>
      <c r="J794" t="s">
        <v>2620</v>
      </c>
      <c r="K794" t="s">
        <v>52</v>
      </c>
      <c r="L794">
        <v>29</v>
      </c>
      <c r="M794">
        <v>3</v>
      </c>
      <c r="N794">
        <v>5</v>
      </c>
      <c r="O794" t="s">
        <v>1295</v>
      </c>
      <c r="P794" t="s">
        <v>33</v>
      </c>
      <c r="Q794" t="s">
        <v>31</v>
      </c>
      <c r="R794" t="s">
        <v>62</v>
      </c>
      <c r="S794" t="s">
        <v>57</v>
      </c>
      <c r="T794">
        <v>3</v>
      </c>
      <c r="U794" s="5">
        <v>141.54</v>
      </c>
      <c r="V794" s="5">
        <v>217.38</v>
      </c>
      <c r="W794">
        <v>2</v>
      </c>
      <c r="X794" t="s">
        <v>34</v>
      </c>
      <c r="Y794">
        <v>2026</v>
      </c>
      <c r="Z794" t="str">
        <f>TEXT(Table1[[#This Row],[Order Date]],"MMM")</f>
        <v>Jan</v>
      </c>
      <c r="AA794" s="5">
        <f>Table1[[#This Row],[Unit Price]]*Table1[[#This Row],[Quantity]]*(1-Table1[[#This Row],[Discount %]]/100)</f>
        <v>403.38900000000001</v>
      </c>
      <c r="AB794" s="5">
        <f>Table1[[#This Row],[Sales]]-Table1[[#This Row],[Cost]]</f>
        <v>186.00900000000001</v>
      </c>
    </row>
    <row r="795" spans="1:28" x14ac:dyDescent="0.3">
      <c r="A795" t="s">
        <v>2146</v>
      </c>
      <c r="B795" s="1">
        <v>46014</v>
      </c>
      <c r="C795" t="s">
        <v>639</v>
      </c>
      <c r="D795" t="s">
        <v>3572</v>
      </c>
      <c r="E795" s="1">
        <v>46020</v>
      </c>
      <c r="F795" t="s">
        <v>40</v>
      </c>
      <c r="G795" t="s">
        <v>38</v>
      </c>
      <c r="H795" t="s">
        <v>39</v>
      </c>
      <c r="I795" t="s">
        <v>2621</v>
      </c>
      <c r="J795" t="s">
        <v>2699</v>
      </c>
      <c r="K795" t="s">
        <v>52</v>
      </c>
      <c r="L795">
        <v>55</v>
      </c>
      <c r="M795">
        <v>5</v>
      </c>
      <c r="N795">
        <v>0</v>
      </c>
      <c r="O795" t="s">
        <v>2147</v>
      </c>
      <c r="P795" t="s">
        <v>33</v>
      </c>
      <c r="Q795" t="s">
        <v>70</v>
      </c>
      <c r="R795" t="s">
        <v>43</v>
      </c>
      <c r="S795" t="s">
        <v>41</v>
      </c>
      <c r="T795">
        <v>2</v>
      </c>
      <c r="U795" s="5">
        <v>540.08000000000004</v>
      </c>
      <c r="V795" s="5">
        <v>1568.68</v>
      </c>
      <c r="W795">
        <v>6</v>
      </c>
      <c r="X795" t="s">
        <v>94</v>
      </c>
      <c r="Y795">
        <v>2025</v>
      </c>
      <c r="Z795" t="str">
        <f>TEXT(Table1[[#This Row],[Order Date]],"MMM")</f>
        <v>Dec</v>
      </c>
      <c r="AA795" s="5">
        <f>Table1[[#This Row],[Unit Price]]*Table1[[#This Row],[Quantity]]*(1-Table1[[#This Row],[Discount %]]/100)</f>
        <v>2700.4</v>
      </c>
      <c r="AB795" s="5">
        <f>Table1[[#This Row],[Sales]]-Table1[[#This Row],[Cost]]</f>
        <v>1131.72</v>
      </c>
    </row>
    <row r="796" spans="1:28" x14ac:dyDescent="0.3">
      <c r="A796" t="s">
        <v>2148</v>
      </c>
      <c r="B796" s="1">
        <v>45646</v>
      </c>
      <c r="C796" t="s">
        <v>2149</v>
      </c>
      <c r="D796" t="s">
        <v>3573</v>
      </c>
      <c r="E796" s="1">
        <v>45647</v>
      </c>
      <c r="F796" t="s">
        <v>29</v>
      </c>
      <c r="G796" t="s">
        <v>27</v>
      </c>
      <c r="H796" t="s">
        <v>28</v>
      </c>
      <c r="I796" t="s">
        <v>2630</v>
      </c>
      <c r="J796" t="s">
        <v>2640</v>
      </c>
      <c r="K796" t="s">
        <v>52</v>
      </c>
      <c r="L796">
        <v>39</v>
      </c>
      <c r="M796">
        <v>3</v>
      </c>
      <c r="N796">
        <v>25</v>
      </c>
      <c r="O796" t="s">
        <v>397</v>
      </c>
      <c r="P796" t="s">
        <v>44</v>
      </c>
      <c r="Q796" t="s">
        <v>31</v>
      </c>
      <c r="R796" t="s">
        <v>71</v>
      </c>
      <c r="S796" t="s">
        <v>30</v>
      </c>
      <c r="T796">
        <v>2</v>
      </c>
      <c r="U796" s="5">
        <v>641.91999999999996</v>
      </c>
      <c r="V796" s="5">
        <v>1139.46</v>
      </c>
      <c r="W796">
        <v>1</v>
      </c>
      <c r="X796" t="s">
        <v>94</v>
      </c>
      <c r="Y796">
        <v>2024</v>
      </c>
      <c r="Z796" t="str">
        <f>TEXT(Table1[[#This Row],[Order Date]],"MMM")</f>
        <v>Dec</v>
      </c>
      <c r="AA796" s="5">
        <f>Table1[[#This Row],[Unit Price]]*Table1[[#This Row],[Quantity]]*(1-Table1[[#This Row],[Discount %]]/100)</f>
        <v>1444.3199999999997</v>
      </c>
      <c r="AB796" s="5">
        <f>Table1[[#This Row],[Sales]]-Table1[[#This Row],[Cost]]</f>
        <v>304.85999999999967</v>
      </c>
    </row>
    <row r="797" spans="1:28" x14ac:dyDescent="0.3">
      <c r="A797" t="s">
        <v>2150</v>
      </c>
      <c r="B797" s="1">
        <v>45534</v>
      </c>
      <c r="C797" t="s">
        <v>2151</v>
      </c>
      <c r="D797" t="s">
        <v>3574</v>
      </c>
      <c r="E797" s="1">
        <v>45535</v>
      </c>
      <c r="F797" t="s">
        <v>56</v>
      </c>
      <c r="G797" t="s">
        <v>54</v>
      </c>
      <c r="H797" t="s">
        <v>55</v>
      </c>
      <c r="I797" t="s">
        <v>2648</v>
      </c>
      <c r="J797" t="s">
        <v>2684</v>
      </c>
      <c r="K797" t="s">
        <v>52</v>
      </c>
      <c r="L797">
        <v>35</v>
      </c>
      <c r="M797">
        <v>4</v>
      </c>
      <c r="N797">
        <v>20</v>
      </c>
      <c r="O797" t="s">
        <v>845</v>
      </c>
      <c r="P797" t="s">
        <v>33</v>
      </c>
      <c r="Q797" t="s">
        <v>58</v>
      </c>
      <c r="R797" t="s">
        <v>71</v>
      </c>
      <c r="S797" t="s">
        <v>57</v>
      </c>
      <c r="T797">
        <v>5</v>
      </c>
      <c r="U797" s="5">
        <v>304.68</v>
      </c>
      <c r="V797" s="5">
        <v>711.82</v>
      </c>
      <c r="W797">
        <v>1</v>
      </c>
      <c r="X797" t="s">
        <v>45</v>
      </c>
      <c r="Y797">
        <v>2024</v>
      </c>
      <c r="Z797" t="str">
        <f>TEXT(Table1[[#This Row],[Order Date]],"MMM")</f>
        <v>Aug</v>
      </c>
      <c r="AA797" s="5">
        <f>Table1[[#This Row],[Unit Price]]*Table1[[#This Row],[Quantity]]*(1-Table1[[#This Row],[Discount %]]/100)</f>
        <v>974.97600000000011</v>
      </c>
      <c r="AB797" s="5">
        <f>Table1[[#This Row],[Sales]]-Table1[[#This Row],[Cost]]</f>
        <v>263.15600000000006</v>
      </c>
    </row>
    <row r="798" spans="1:28" x14ac:dyDescent="0.3">
      <c r="A798" t="s">
        <v>2152</v>
      </c>
      <c r="B798" s="1">
        <v>45686</v>
      </c>
      <c r="C798" t="s">
        <v>2153</v>
      </c>
      <c r="D798" t="s">
        <v>3575</v>
      </c>
      <c r="E798" s="1">
        <v>45687</v>
      </c>
      <c r="F798" t="s">
        <v>115</v>
      </c>
      <c r="G798" t="s">
        <v>66</v>
      </c>
      <c r="H798" t="s">
        <v>114</v>
      </c>
      <c r="I798" t="s">
        <v>2655</v>
      </c>
      <c r="J798" t="s">
        <v>2714</v>
      </c>
      <c r="K798" t="s">
        <v>25</v>
      </c>
      <c r="L798">
        <v>19</v>
      </c>
      <c r="M798">
        <v>3</v>
      </c>
      <c r="N798">
        <v>15</v>
      </c>
      <c r="O798" t="s">
        <v>2147</v>
      </c>
      <c r="P798" t="s">
        <v>33</v>
      </c>
      <c r="Q798" t="s">
        <v>31</v>
      </c>
      <c r="R798" t="s">
        <v>62</v>
      </c>
      <c r="S798" t="s">
        <v>116</v>
      </c>
      <c r="T798">
        <v>4</v>
      </c>
      <c r="U798" s="5">
        <v>364.24</v>
      </c>
      <c r="V798" s="5">
        <v>634.04999999999995</v>
      </c>
      <c r="W798">
        <v>1</v>
      </c>
      <c r="X798" t="s">
        <v>34</v>
      </c>
      <c r="Y798">
        <v>2025</v>
      </c>
      <c r="Z798" t="str">
        <f>TEXT(Table1[[#This Row],[Order Date]],"MMM")</f>
        <v>Jan</v>
      </c>
      <c r="AA798" s="5">
        <f>Table1[[#This Row],[Unit Price]]*Table1[[#This Row],[Quantity]]*(1-Table1[[#This Row],[Discount %]]/100)</f>
        <v>928.81200000000001</v>
      </c>
      <c r="AB798" s="5">
        <f>Table1[[#This Row],[Sales]]-Table1[[#This Row],[Cost]]</f>
        <v>294.76200000000006</v>
      </c>
    </row>
    <row r="799" spans="1:28" x14ac:dyDescent="0.3">
      <c r="A799" t="s">
        <v>2154</v>
      </c>
      <c r="B799" s="1">
        <v>46165</v>
      </c>
      <c r="C799" t="s">
        <v>2155</v>
      </c>
      <c r="D799" t="s">
        <v>3576</v>
      </c>
      <c r="E799" s="1">
        <v>46169</v>
      </c>
      <c r="F799" t="s">
        <v>29</v>
      </c>
      <c r="G799" t="s">
        <v>27</v>
      </c>
      <c r="H799" t="s">
        <v>28</v>
      </c>
      <c r="I799" t="s">
        <v>2618</v>
      </c>
      <c r="J799" t="s">
        <v>2618</v>
      </c>
      <c r="K799" t="s">
        <v>52</v>
      </c>
      <c r="L799">
        <v>32</v>
      </c>
      <c r="M799">
        <v>1</v>
      </c>
      <c r="N799">
        <v>25</v>
      </c>
      <c r="O799" t="s">
        <v>2156</v>
      </c>
      <c r="P799" t="s">
        <v>75</v>
      </c>
      <c r="Q799" t="s">
        <v>117</v>
      </c>
      <c r="R799" t="s">
        <v>32</v>
      </c>
      <c r="S799" t="s">
        <v>30</v>
      </c>
      <c r="T799">
        <v>1</v>
      </c>
      <c r="U799" s="5">
        <v>349.01</v>
      </c>
      <c r="V799" s="5">
        <v>132.62</v>
      </c>
      <c r="W799">
        <v>4</v>
      </c>
      <c r="X799" t="s">
        <v>49</v>
      </c>
      <c r="Y799">
        <v>2026</v>
      </c>
      <c r="Z799" t="str">
        <f>TEXT(Table1[[#This Row],[Order Date]],"MMM")</f>
        <v>May</v>
      </c>
      <c r="AA799" s="5">
        <f>Table1[[#This Row],[Unit Price]]*Table1[[#This Row],[Quantity]]*(1-Table1[[#This Row],[Discount %]]/100)</f>
        <v>261.75749999999999</v>
      </c>
      <c r="AB799" s="5">
        <f>Table1[[#This Row],[Sales]]-Table1[[#This Row],[Cost]]</f>
        <v>129.13749999999999</v>
      </c>
    </row>
    <row r="800" spans="1:28" x14ac:dyDescent="0.3">
      <c r="A800" t="s">
        <v>2157</v>
      </c>
      <c r="B800" s="1">
        <v>46034</v>
      </c>
      <c r="C800" t="s">
        <v>2158</v>
      </c>
      <c r="D800" t="s">
        <v>3577</v>
      </c>
      <c r="E800" s="1">
        <v>46040</v>
      </c>
      <c r="F800" t="s">
        <v>56</v>
      </c>
      <c r="G800" t="s">
        <v>54</v>
      </c>
      <c r="H800" t="s">
        <v>55</v>
      </c>
      <c r="I800" t="s">
        <v>2661</v>
      </c>
      <c r="J800" t="s">
        <v>2715</v>
      </c>
      <c r="K800" t="s">
        <v>25</v>
      </c>
      <c r="L800">
        <v>25</v>
      </c>
      <c r="M800">
        <v>1</v>
      </c>
      <c r="N800">
        <v>30</v>
      </c>
      <c r="O800" t="s">
        <v>198</v>
      </c>
      <c r="P800" t="s">
        <v>44</v>
      </c>
      <c r="Q800" t="s">
        <v>31</v>
      </c>
      <c r="R800" t="s">
        <v>32</v>
      </c>
      <c r="S800" t="s">
        <v>57</v>
      </c>
      <c r="T800">
        <v>3</v>
      </c>
      <c r="U800" s="5">
        <v>276.8</v>
      </c>
      <c r="V800" s="5">
        <v>120.44</v>
      </c>
      <c r="W800">
        <v>6</v>
      </c>
      <c r="X800" t="s">
        <v>34</v>
      </c>
      <c r="Y800">
        <v>2026</v>
      </c>
      <c r="Z800" t="str">
        <f>TEXT(Table1[[#This Row],[Order Date]],"MMM")</f>
        <v>Jan</v>
      </c>
      <c r="AA800" s="5">
        <f>Table1[[#This Row],[Unit Price]]*Table1[[#This Row],[Quantity]]*(1-Table1[[#This Row],[Discount %]]/100)</f>
        <v>193.76</v>
      </c>
      <c r="AB800" s="5">
        <f>Table1[[#This Row],[Sales]]-Table1[[#This Row],[Cost]]</f>
        <v>73.319999999999993</v>
      </c>
    </row>
    <row r="801" spans="1:28" x14ac:dyDescent="0.3">
      <c r="A801" t="s">
        <v>2159</v>
      </c>
      <c r="B801" s="1">
        <v>46002</v>
      </c>
      <c r="C801" t="s">
        <v>2160</v>
      </c>
      <c r="D801" t="s">
        <v>3578</v>
      </c>
      <c r="E801" s="1">
        <v>46005</v>
      </c>
      <c r="F801" t="s">
        <v>115</v>
      </c>
      <c r="G801" t="s">
        <v>66</v>
      </c>
      <c r="H801" t="s">
        <v>114</v>
      </c>
      <c r="I801" t="s">
        <v>2619</v>
      </c>
      <c r="J801" t="s">
        <v>2697</v>
      </c>
      <c r="K801" t="s">
        <v>25</v>
      </c>
      <c r="L801">
        <v>53</v>
      </c>
      <c r="M801">
        <v>2</v>
      </c>
      <c r="N801">
        <v>25</v>
      </c>
      <c r="O801" t="s">
        <v>335</v>
      </c>
      <c r="P801" t="s">
        <v>44</v>
      </c>
      <c r="Q801" t="s">
        <v>31</v>
      </c>
      <c r="R801" t="s">
        <v>43</v>
      </c>
      <c r="S801" t="s">
        <v>116</v>
      </c>
      <c r="T801">
        <v>5</v>
      </c>
      <c r="U801" s="5">
        <v>845.23</v>
      </c>
      <c r="V801" s="5">
        <v>881.94</v>
      </c>
      <c r="W801">
        <v>3</v>
      </c>
      <c r="X801" t="s">
        <v>94</v>
      </c>
      <c r="Y801">
        <v>2025</v>
      </c>
      <c r="Z801" t="str">
        <f>TEXT(Table1[[#This Row],[Order Date]],"MMM")</f>
        <v>Dec</v>
      </c>
      <c r="AA801" s="5">
        <f>Table1[[#This Row],[Unit Price]]*Table1[[#This Row],[Quantity]]*(1-Table1[[#This Row],[Discount %]]/100)</f>
        <v>1267.845</v>
      </c>
      <c r="AB801" s="5">
        <f>Table1[[#This Row],[Sales]]-Table1[[#This Row],[Cost]]</f>
        <v>385.90499999999997</v>
      </c>
    </row>
    <row r="802" spans="1:28" x14ac:dyDescent="0.3">
      <c r="A802" t="s">
        <v>2161</v>
      </c>
      <c r="B802" s="1">
        <v>45453</v>
      </c>
      <c r="C802" t="s">
        <v>2162</v>
      </c>
      <c r="D802" t="s">
        <v>3579</v>
      </c>
      <c r="E802" s="1">
        <v>45454</v>
      </c>
      <c r="F802" t="s">
        <v>56</v>
      </c>
      <c r="G802" t="s">
        <v>54</v>
      </c>
      <c r="H802" t="s">
        <v>55</v>
      </c>
      <c r="I802" t="s">
        <v>2637</v>
      </c>
      <c r="J802" t="s">
        <v>2638</v>
      </c>
      <c r="K802" t="s">
        <v>25</v>
      </c>
      <c r="L802">
        <v>21</v>
      </c>
      <c r="M802">
        <v>1</v>
      </c>
      <c r="N802">
        <v>30</v>
      </c>
      <c r="O802" t="s">
        <v>1383</v>
      </c>
      <c r="P802" t="s">
        <v>33</v>
      </c>
      <c r="Q802" t="s">
        <v>31</v>
      </c>
      <c r="R802" t="s">
        <v>71</v>
      </c>
      <c r="S802" t="s">
        <v>57</v>
      </c>
      <c r="T802">
        <v>5</v>
      </c>
      <c r="U802" s="5">
        <v>642.27</v>
      </c>
      <c r="V802" s="5">
        <v>278.87</v>
      </c>
      <c r="W802">
        <v>1</v>
      </c>
      <c r="X802" t="s">
        <v>49</v>
      </c>
      <c r="Y802">
        <v>2024</v>
      </c>
      <c r="Z802" t="str">
        <f>TEXT(Table1[[#This Row],[Order Date]],"MMM")</f>
        <v>Jun</v>
      </c>
      <c r="AA802" s="5">
        <f>Table1[[#This Row],[Unit Price]]*Table1[[#This Row],[Quantity]]*(1-Table1[[#This Row],[Discount %]]/100)</f>
        <v>449.58899999999994</v>
      </c>
      <c r="AB802" s="5">
        <f>Table1[[#This Row],[Sales]]-Table1[[#This Row],[Cost]]</f>
        <v>170.71899999999994</v>
      </c>
    </row>
    <row r="803" spans="1:28" x14ac:dyDescent="0.3">
      <c r="A803" t="s">
        <v>2163</v>
      </c>
      <c r="B803" s="1">
        <v>46095</v>
      </c>
      <c r="C803" t="s">
        <v>2164</v>
      </c>
      <c r="D803" t="s">
        <v>3580</v>
      </c>
      <c r="E803" s="1">
        <v>46100</v>
      </c>
      <c r="F803" t="s">
        <v>122</v>
      </c>
      <c r="G803" t="s">
        <v>120</v>
      </c>
      <c r="H803" t="s">
        <v>121</v>
      </c>
      <c r="I803" t="s">
        <v>2629</v>
      </c>
      <c r="J803" t="s">
        <v>2691</v>
      </c>
      <c r="K803" t="s">
        <v>25</v>
      </c>
      <c r="L803">
        <v>42</v>
      </c>
      <c r="M803">
        <v>1</v>
      </c>
      <c r="N803">
        <v>20</v>
      </c>
      <c r="O803" t="s">
        <v>2165</v>
      </c>
      <c r="P803" t="s">
        <v>75</v>
      </c>
      <c r="Q803" t="s">
        <v>31</v>
      </c>
      <c r="R803" t="s">
        <v>62</v>
      </c>
      <c r="S803" t="s">
        <v>123</v>
      </c>
      <c r="T803">
        <v>2</v>
      </c>
      <c r="U803" s="5">
        <v>782.93</v>
      </c>
      <c r="V803" s="5">
        <v>498.34</v>
      </c>
      <c r="W803">
        <v>5</v>
      </c>
      <c r="X803" t="s">
        <v>34</v>
      </c>
      <c r="Y803">
        <v>2026</v>
      </c>
      <c r="Z803" t="str">
        <f>TEXT(Table1[[#This Row],[Order Date]],"MMM")</f>
        <v>Mar</v>
      </c>
      <c r="AA803" s="5">
        <f>Table1[[#This Row],[Unit Price]]*Table1[[#This Row],[Quantity]]*(1-Table1[[#This Row],[Discount %]]/100)</f>
        <v>626.34400000000005</v>
      </c>
      <c r="AB803" s="5">
        <f>Table1[[#This Row],[Sales]]-Table1[[#This Row],[Cost]]</f>
        <v>128.00400000000008</v>
      </c>
    </row>
    <row r="804" spans="1:28" x14ac:dyDescent="0.3">
      <c r="A804" t="s">
        <v>2166</v>
      </c>
      <c r="B804" s="1">
        <v>45893</v>
      </c>
      <c r="C804" t="s">
        <v>2167</v>
      </c>
      <c r="D804" t="s">
        <v>3581</v>
      </c>
      <c r="E804" s="1">
        <v>45896</v>
      </c>
      <c r="F804" t="s">
        <v>56</v>
      </c>
      <c r="G804" t="s">
        <v>54</v>
      </c>
      <c r="H804" t="s">
        <v>55</v>
      </c>
      <c r="I804" t="s">
        <v>2633</v>
      </c>
      <c r="J804" t="s">
        <v>2645</v>
      </c>
      <c r="K804" t="s">
        <v>25</v>
      </c>
      <c r="L804">
        <v>51</v>
      </c>
      <c r="M804">
        <v>1</v>
      </c>
      <c r="N804">
        <v>10</v>
      </c>
      <c r="O804" t="s">
        <v>1359</v>
      </c>
      <c r="P804" t="s">
        <v>75</v>
      </c>
      <c r="Q804" t="s">
        <v>31</v>
      </c>
      <c r="R804" t="s">
        <v>43</v>
      </c>
      <c r="S804" t="s">
        <v>57</v>
      </c>
      <c r="T804">
        <v>5</v>
      </c>
      <c r="U804" s="5">
        <v>279.91000000000003</v>
      </c>
      <c r="V804" s="5">
        <v>177.61</v>
      </c>
      <c r="W804">
        <v>3</v>
      </c>
      <c r="X804" t="s">
        <v>45</v>
      </c>
      <c r="Y804">
        <v>2025</v>
      </c>
      <c r="Z804" t="str">
        <f>TEXT(Table1[[#This Row],[Order Date]],"MMM")</f>
        <v>Aug</v>
      </c>
      <c r="AA804" s="5">
        <f>Table1[[#This Row],[Unit Price]]*Table1[[#This Row],[Quantity]]*(1-Table1[[#This Row],[Discount %]]/100)</f>
        <v>251.91900000000004</v>
      </c>
      <c r="AB804" s="5">
        <f>Table1[[#This Row],[Sales]]-Table1[[#This Row],[Cost]]</f>
        <v>74.309000000000026</v>
      </c>
    </row>
    <row r="805" spans="1:28" x14ac:dyDescent="0.3">
      <c r="A805" t="s">
        <v>2168</v>
      </c>
      <c r="B805" s="1">
        <v>46044</v>
      </c>
      <c r="C805" t="s">
        <v>2169</v>
      </c>
      <c r="D805" t="s">
        <v>3582</v>
      </c>
      <c r="E805" s="1">
        <v>46045</v>
      </c>
      <c r="F805" t="s">
        <v>40</v>
      </c>
      <c r="G805" t="s">
        <v>38</v>
      </c>
      <c r="H805" t="s">
        <v>39</v>
      </c>
      <c r="I805" t="s">
        <v>2671</v>
      </c>
      <c r="J805" t="s">
        <v>2706</v>
      </c>
      <c r="K805" t="s">
        <v>52</v>
      </c>
      <c r="L805">
        <v>55</v>
      </c>
      <c r="M805">
        <v>5</v>
      </c>
      <c r="N805">
        <v>20</v>
      </c>
      <c r="O805" t="s">
        <v>296</v>
      </c>
      <c r="P805" t="s">
        <v>33</v>
      </c>
      <c r="Q805" t="s">
        <v>31</v>
      </c>
      <c r="R805" t="s">
        <v>71</v>
      </c>
      <c r="S805" t="s">
        <v>41</v>
      </c>
      <c r="T805">
        <v>1</v>
      </c>
      <c r="U805" s="5">
        <v>63.74</v>
      </c>
      <c r="V805" s="5">
        <v>156.87</v>
      </c>
      <c r="W805">
        <v>1</v>
      </c>
      <c r="X805" t="s">
        <v>34</v>
      </c>
      <c r="Y805">
        <v>2026</v>
      </c>
      <c r="Z805" t="str">
        <f>TEXT(Table1[[#This Row],[Order Date]],"MMM")</f>
        <v>Jan</v>
      </c>
      <c r="AA805" s="5">
        <f>Table1[[#This Row],[Unit Price]]*Table1[[#This Row],[Quantity]]*(1-Table1[[#This Row],[Discount %]]/100)</f>
        <v>254.96</v>
      </c>
      <c r="AB805" s="5">
        <f>Table1[[#This Row],[Sales]]-Table1[[#This Row],[Cost]]</f>
        <v>98.09</v>
      </c>
    </row>
    <row r="806" spans="1:28" x14ac:dyDescent="0.3">
      <c r="A806" t="s">
        <v>2170</v>
      </c>
      <c r="B806" s="1">
        <v>45371</v>
      </c>
      <c r="C806" t="s">
        <v>1119</v>
      </c>
      <c r="D806" t="s">
        <v>3583</v>
      </c>
      <c r="E806" s="1">
        <v>45373</v>
      </c>
      <c r="F806" t="s">
        <v>40</v>
      </c>
      <c r="G806" t="s">
        <v>38</v>
      </c>
      <c r="H806" t="s">
        <v>39</v>
      </c>
      <c r="I806" t="s">
        <v>2628</v>
      </c>
      <c r="J806" t="s">
        <v>2641</v>
      </c>
      <c r="K806" t="s">
        <v>25</v>
      </c>
      <c r="L806">
        <v>27</v>
      </c>
      <c r="M806">
        <v>1</v>
      </c>
      <c r="N806">
        <v>10</v>
      </c>
      <c r="O806" t="s">
        <v>989</v>
      </c>
      <c r="P806" t="s">
        <v>75</v>
      </c>
      <c r="Q806" t="s">
        <v>117</v>
      </c>
      <c r="R806" t="s">
        <v>71</v>
      </c>
      <c r="S806" t="s">
        <v>41</v>
      </c>
      <c r="T806">
        <v>3</v>
      </c>
      <c r="U806" s="5">
        <v>962.54</v>
      </c>
      <c r="V806" s="5">
        <v>520.92999999999995</v>
      </c>
      <c r="W806">
        <v>2</v>
      </c>
      <c r="X806" t="s">
        <v>34</v>
      </c>
      <c r="Y806">
        <v>2024</v>
      </c>
      <c r="Z806" t="str">
        <f>TEXT(Table1[[#This Row],[Order Date]],"MMM")</f>
        <v>Mar</v>
      </c>
      <c r="AA806" s="5">
        <f>Table1[[#This Row],[Unit Price]]*Table1[[#This Row],[Quantity]]*(1-Table1[[#This Row],[Discount %]]/100)</f>
        <v>866.28599999999994</v>
      </c>
      <c r="AB806" s="5">
        <f>Table1[[#This Row],[Sales]]-Table1[[#This Row],[Cost]]</f>
        <v>345.35599999999999</v>
      </c>
    </row>
    <row r="807" spans="1:28" x14ac:dyDescent="0.3">
      <c r="A807" t="s">
        <v>2171</v>
      </c>
      <c r="B807" s="1">
        <v>45474</v>
      </c>
      <c r="C807" t="s">
        <v>2172</v>
      </c>
      <c r="D807" t="s">
        <v>3584</v>
      </c>
      <c r="E807" s="1">
        <v>45479</v>
      </c>
      <c r="F807" t="s">
        <v>68</v>
      </c>
      <c r="G807" t="s">
        <v>66</v>
      </c>
      <c r="H807" t="s">
        <v>67</v>
      </c>
      <c r="I807" t="s">
        <v>2648</v>
      </c>
      <c r="J807" t="s">
        <v>2684</v>
      </c>
      <c r="K807" t="s">
        <v>25</v>
      </c>
      <c r="L807">
        <v>36</v>
      </c>
      <c r="M807">
        <v>4</v>
      </c>
      <c r="N807">
        <v>25</v>
      </c>
      <c r="O807" t="s">
        <v>2173</v>
      </c>
      <c r="P807" t="s">
        <v>75</v>
      </c>
      <c r="Q807" t="s">
        <v>117</v>
      </c>
      <c r="R807" t="s">
        <v>32</v>
      </c>
      <c r="S807" t="s">
        <v>69</v>
      </c>
      <c r="T807">
        <v>4</v>
      </c>
      <c r="U807" s="5">
        <v>815.52</v>
      </c>
      <c r="V807" s="5">
        <v>1926.55</v>
      </c>
      <c r="W807">
        <v>5</v>
      </c>
      <c r="X807" t="s">
        <v>45</v>
      </c>
      <c r="Y807">
        <v>2024</v>
      </c>
      <c r="Z807" t="str">
        <f>TEXT(Table1[[#This Row],[Order Date]],"MMM")</f>
        <v>Jul</v>
      </c>
      <c r="AA807" s="5">
        <f>Table1[[#This Row],[Unit Price]]*Table1[[#This Row],[Quantity]]*(1-Table1[[#This Row],[Discount %]]/100)</f>
        <v>2446.56</v>
      </c>
      <c r="AB807" s="5">
        <f>Table1[[#This Row],[Sales]]-Table1[[#This Row],[Cost]]</f>
        <v>520.01</v>
      </c>
    </row>
    <row r="808" spans="1:28" x14ac:dyDescent="0.3">
      <c r="A808" t="s">
        <v>2174</v>
      </c>
      <c r="B808" s="1">
        <v>45296</v>
      </c>
      <c r="C808" t="s">
        <v>2175</v>
      </c>
      <c r="D808" t="s">
        <v>3585</v>
      </c>
      <c r="E808" s="1">
        <v>45297</v>
      </c>
      <c r="F808" t="s">
        <v>29</v>
      </c>
      <c r="G808" t="s">
        <v>27</v>
      </c>
      <c r="H808" t="s">
        <v>28</v>
      </c>
      <c r="I808" t="s">
        <v>2648</v>
      </c>
      <c r="J808" t="s">
        <v>2702</v>
      </c>
      <c r="K808" t="s">
        <v>52</v>
      </c>
      <c r="L808">
        <v>49</v>
      </c>
      <c r="M808">
        <v>3</v>
      </c>
      <c r="N808">
        <v>20</v>
      </c>
      <c r="O808" t="s">
        <v>1689</v>
      </c>
      <c r="P808" t="s">
        <v>44</v>
      </c>
      <c r="Q808" t="s">
        <v>58</v>
      </c>
      <c r="R808" t="s">
        <v>62</v>
      </c>
      <c r="S808" t="s">
        <v>30</v>
      </c>
      <c r="T808">
        <v>2</v>
      </c>
      <c r="U808" s="5">
        <v>185.9</v>
      </c>
      <c r="V808" s="5">
        <v>243.33</v>
      </c>
      <c r="W808">
        <v>1</v>
      </c>
      <c r="X808" t="s">
        <v>34</v>
      </c>
      <c r="Y808">
        <v>2024</v>
      </c>
      <c r="Z808" t="str">
        <f>TEXT(Table1[[#This Row],[Order Date]],"MMM")</f>
        <v>Jan</v>
      </c>
      <c r="AA808" s="5">
        <f>Table1[[#This Row],[Unit Price]]*Table1[[#This Row],[Quantity]]*(1-Table1[[#This Row],[Discount %]]/100)</f>
        <v>446.16000000000008</v>
      </c>
      <c r="AB808" s="5">
        <f>Table1[[#This Row],[Sales]]-Table1[[#This Row],[Cost]]</f>
        <v>202.83000000000007</v>
      </c>
    </row>
    <row r="809" spans="1:28" x14ac:dyDescent="0.3">
      <c r="A809" t="s">
        <v>2176</v>
      </c>
      <c r="B809" s="1">
        <v>46083</v>
      </c>
      <c r="C809" t="s">
        <v>2177</v>
      </c>
      <c r="D809" t="s">
        <v>3586</v>
      </c>
      <c r="E809" s="1">
        <v>46088</v>
      </c>
      <c r="F809" t="s">
        <v>128</v>
      </c>
      <c r="G809" t="s">
        <v>98</v>
      </c>
      <c r="H809" t="s">
        <v>127</v>
      </c>
      <c r="I809" t="s">
        <v>2619</v>
      </c>
      <c r="J809" t="s">
        <v>2620</v>
      </c>
      <c r="K809" t="s">
        <v>25</v>
      </c>
      <c r="L809">
        <v>39</v>
      </c>
      <c r="M809">
        <v>5</v>
      </c>
      <c r="N809">
        <v>5</v>
      </c>
      <c r="O809" t="s">
        <v>637</v>
      </c>
      <c r="P809" t="s">
        <v>75</v>
      </c>
      <c r="Q809" t="s">
        <v>70</v>
      </c>
      <c r="R809" t="s">
        <v>32</v>
      </c>
      <c r="S809" t="s">
        <v>129</v>
      </c>
      <c r="T809">
        <v>4</v>
      </c>
      <c r="U809" s="5">
        <v>355.27</v>
      </c>
      <c r="V809" s="5">
        <v>1246.6400000000001</v>
      </c>
      <c r="W809">
        <v>5</v>
      </c>
      <c r="X809" t="s">
        <v>34</v>
      </c>
      <c r="Y809">
        <v>2026</v>
      </c>
      <c r="Z809" t="str">
        <f>TEXT(Table1[[#This Row],[Order Date]],"MMM")</f>
        <v>Mar</v>
      </c>
      <c r="AA809" s="5">
        <f>Table1[[#This Row],[Unit Price]]*Table1[[#This Row],[Quantity]]*(1-Table1[[#This Row],[Discount %]]/100)</f>
        <v>1687.5324999999998</v>
      </c>
      <c r="AB809" s="5">
        <f>Table1[[#This Row],[Sales]]-Table1[[#This Row],[Cost]]</f>
        <v>440.8924999999997</v>
      </c>
    </row>
    <row r="810" spans="1:28" x14ac:dyDescent="0.3">
      <c r="A810" t="s">
        <v>2178</v>
      </c>
      <c r="B810" s="1">
        <v>45868</v>
      </c>
      <c r="C810" t="s">
        <v>2179</v>
      </c>
      <c r="D810" t="s">
        <v>3587</v>
      </c>
      <c r="E810" s="1">
        <v>45869</v>
      </c>
      <c r="F810" t="s">
        <v>56</v>
      </c>
      <c r="G810" t="s">
        <v>54</v>
      </c>
      <c r="H810" t="s">
        <v>55</v>
      </c>
      <c r="I810" t="s">
        <v>2627</v>
      </c>
      <c r="J810" t="s">
        <v>2707</v>
      </c>
      <c r="K810" t="s">
        <v>52</v>
      </c>
      <c r="L810">
        <v>31</v>
      </c>
      <c r="M810">
        <v>3</v>
      </c>
      <c r="N810">
        <v>5</v>
      </c>
      <c r="O810" t="s">
        <v>2127</v>
      </c>
      <c r="P810" t="s">
        <v>44</v>
      </c>
      <c r="Q810" t="s">
        <v>31</v>
      </c>
      <c r="R810" t="s">
        <v>62</v>
      </c>
      <c r="S810" t="s">
        <v>57</v>
      </c>
      <c r="T810">
        <v>3</v>
      </c>
      <c r="U810" s="5">
        <v>852.7</v>
      </c>
      <c r="V810" s="5">
        <v>1944.86</v>
      </c>
      <c r="W810">
        <v>1</v>
      </c>
      <c r="X810" t="s">
        <v>45</v>
      </c>
      <c r="Y810">
        <v>2025</v>
      </c>
      <c r="Z810" t="str">
        <f>TEXT(Table1[[#This Row],[Order Date]],"MMM")</f>
        <v>Jul</v>
      </c>
      <c r="AA810" s="5">
        <f>Table1[[#This Row],[Unit Price]]*Table1[[#This Row],[Quantity]]*(1-Table1[[#This Row],[Discount %]]/100)</f>
        <v>2430.1950000000002</v>
      </c>
      <c r="AB810" s="5">
        <f>Table1[[#This Row],[Sales]]-Table1[[#This Row],[Cost]]</f>
        <v>485.33500000000026</v>
      </c>
    </row>
    <row r="811" spans="1:28" x14ac:dyDescent="0.3">
      <c r="A811" t="s">
        <v>2180</v>
      </c>
      <c r="B811" s="1">
        <v>46115</v>
      </c>
      <c r="C811" t="s">
        <v>2181</v>
      </c>
      <c r="D811" t="s">
        <v>3588</v>
      </c>
      <c r="E811" s="1">
        <v>46116</v>
      </c>
      <c r="F811" t="s">
        <v>56</v>
      </c>
      <c r="G811" t="s">
        <v>54</v>
      </c>
      <c r="H811" t="s">
        <v>55</v>
      </c>
      <c r="I811" t="s">
        <v>2675</v>
      </c>
      <c r="J811" t="s">
        <v>2676</v>
      </c>
      <c r="K811" t="s">
        <v>25</v>
      </c>
      <c r="L811">
        <v>32</v>
      </c>
      <c r="M811">
        <v>3</v>
      </c>
      <c r="N811">
        <v>25</v>
      </c>
      <c r="O811" t="s">
        <v>2065</v>
      </c>
      <c r="P811" t="s">
        <v>33</v>
      </c>
      <c r="Q811" t="s">
        <v>42</v>
      </c>
      <c r="R811" t="s">
        <v>32</v>
      </c>
      <c r="S811" t="s">
        <v>57</v>
      </c>
      <c r="T811">
        <v>1</v>
      </c>
      <c r="U811" s="5">
        <v>555.61</v>
      </c>
      <c r="V811" s="5">
        <v>660.9</v>
      </c>
      <c r="W811">
        <v>1</v>
      </c>
      <c r="X811" t="s">
        <v>49</v>
      </c>
      <c r="Y811">
        <v>2026</v>
      </c>
      <c r="Z811" t="str">
        <f>TEXT(Table1[[#This Row],[Order Date]],"MMM")</f>
        <v>Apr</v>
      </c>
      <c r="AA811" s="5">
        <f>Table1[[#This Row],[Unit Price]]*Table1[[#This Row],[Quantity]]*(1-Table1[[#This Row],[Discount %]]/100)</f>
        <v>1250.1224999999999</v>
      </c>
      <c r="AB811" s="5">
        <f>Table1[[#This Row],[Sales]]-Table1[[#This Row],[Cost]]</f>
        <v>589.22249999999997</v>
      </c>
    </row>
    <row r="812" spans="1:28" x14ac:dyDescent="0.3">
      <c r="A812" t="s">
        <v>2182</v>
      </c>
      <c r="B812" s="1">
        <v>45572</v>
      </c>
      <c r="C812" t="s">
        <v>2183</v>
      </c>
      <c r="D812" t="s">
        <v>3589</v>
      </c>
      <c r="E812" s="1">
        <v>45579</v>
      </c>
      <c r="F812" t="s">
        <v>68</v>
      </c>
      <c r="G812" t="s">
        <v>66</v>
      </c>
      <c r="H812" t="s">
        <v>67</v>
      </c>
      <c r="I812" t="s">
        <v>2625</v>
      </c>
      <c r="J812" t="s">
        <v>2693</v>
      </c>
      <c r="K812" t="s">
        <v>52</v>
      </c>
      <c r="L812">
        <v>21</v>
      </c>
      <c r="M812">
        <v>1</v>
      </c>
      <c r="N812">
        <v>20</v>
      </c>
      <c r="O812" t="s">
        <v>521</v>
      </c>
      <c r="P812" t="s">
        <v>75</v>
      </c>
      <c r="Q812" t="s">
        <v>70</v>
      </c>
      <c r="R812" t="s">
        <v>32</v>
      </c>
      <c r="S812" t="s">
        <v>69</v>
      </c>
      <c r="T812">
        <v>4</v>
      </c>
      <c r="U812" s="5">
        <v>257.57</v>
      </c>
      <c r="V812" s="5">
        <v>153.18</v>
      </c>
      <c r="W812">
        <v>7</v>
      </c>
      <c r="X812" t="s">
        <v>94</v>
      </c>
      <c r="Y812">
        <v>2024</v>
      </c>
      <c r="Z812" t="str">
        <f>TEXT(Table1[[#This Row],[Order Date]],"MMM")</f>
        <v>Oct</v>
      </c>
      <c r="AA812" s="5">
        <f>Table1[[#This Row],[Unit Price]]*Table1[[#This Row],[Quantity]]*(1-Table1[[#This Row],[Discount %]]/100)</f>
        <v>206.05600000000001</v>
      </c>
      <c r="AB812" s="5">
        <f>Table1[[#This Row],[Sales]]-Table1[[#This Row],[Cost]]</f>
        <v>52.876000000000005</v>
      </c>
    </row>
    <row r="813" spans="1:28" x14ac:dyDescent="0.3">
      <c r="A813" t="s">
        <v>2184</v>
      </c>
      <c r="B813" s="1">
        <v>45861</v>
      </c>
      <c r="C813" t="s">
        <v>2185</v>
      </c>
      <c r="D813" t="s">
        <v>3590</v>
      </c>
      <c r="E813" s="1">
        <v>45865</v>
      </c>
      <c r="F813" t="s">
        <v>122</v>
      </c>
      <c r="G813" t="s">
        <v>120</v>
      </c>
      <c r="H813" t="s">
        <v>121</v>
      </c>
      <c r="I813" t="s">
        <v>2625</v>
      </c>
      <c r="J813" t="s">
        <v>2693</v>
      </c>
      <c r="K813" t="s">
        <v>25</v>
      </c>
      <c r="L813">
        <v>40</v>
      </c>
      <c r="M813">
        <v>4</v>
      </c>
      <c r="N813">
        <v>25</v>
      </c>
      <c r="O813" t="s">
        <v>1482</v>
      </c>
      <c r="P813" t="s">
        <v>75</v>
      </c>
      <c r="Q813" t="s">
        <v>117</v>
      </c>
      <c r="R813" t="s">
        <v>43</v>
      </c>
      <c r="S813" t="s">
        <v>123</v>
      </c>
      <c r="T813">
        <v>3</v>
      </c>
      <c r="U813" s="5">
        <v>704.57</v>
      </c>
      <c r="V813" s="5">
        <v>1157.0899999999999</v>
      </c>
      <c r="W813">
        <v>4</v>
      </c>
      <c r="X813" t="s">
        <v>45</v>
      </c>
      <c r="Y813">
        <v>2025</v>
      </c>
      <c r="Z813" t="str">
        <f>TEXT(Table1[[#This Row],[Order Date]],"MMM")</f>
        <v>Jul</v>
      </c>
      <c r="AA813" s="5">
        <f>Table1[[#This Row],[Unit Price]]*Table1[[#This Row],[Quantity]]*(1-Table1[[#This Row],[Discount %]]/100)</f>
        <v>2113.71</v>
      </c>
      <c r="AB813" s="5">
        <f>Table1[[#This Row],[Sales]]-Table1[[#This Row],[Cost]]</f>
        <v>956.62000000000012</v>
      </c>
    </row>
    <row r="814" spans="1:28" x14ac:dyDescent="0.3">
      <c r="A814" t="s">
        <v>2186</v>
      </c>
      <c r="B814" s="1">
        <v>46124</v>
      </c>
      <c r="C814" t="s">
        <v>2187</v>
      </c>
      <c r="D814" t="s">
        <v>3591</v>
      </c>
      <c r="E814" s="1">
        <v>46129</v>
      </c>
      <c r="F814" t="s">
        <v>40</v>
      </c>
      <c r="G814" t="s">
        <v>38</v>
      </c>
      <c r="H814" t="s">
        <v>39</v>
      </c>
      <c r="I814" t="s">
        <v>2630</v>
      </c>
      <c r="J814" t="s">
        <v>2710</v>
      </c>
      <c r="K814" t="s">
        <v>52</v>
      </c>
      <c r="L814">
        <v>24</v>
      </c>
      <c r="M814">
        <v>5</v>
      </c>
      <c r="N814">
        <v>0</v>
      </c>
      <c r="O814" t="s">
        <v>1161</v>
      </c>
      <c r="P814" t="s">
        <v>33</v>
      </c>
      <c r="Q814" t="s">
        <v>70</v>
      </c>
      <c r="R814" t="s">
        <v>71</v>
      </c>
      <c r="S814" t="s">
        <v>41</v>
      </c>
      <c r="T814">
        <v>5</v>
      </c>
      <c r="U814" s="5">
        <v>973.07</v>
      </c>
      <c r="V814" s="5">
        <v>2724.53</v>
      </c>
      <c r="W814">
        <v>5</v>
      </c>
      <c r="X814" t="s">
        <v>49</v>
      </c>
      <c r="Y814">
        <v>2026</v>
      </c>
      <c r="Z814" t="str">
        <f>TEXT(Table1[[#This Row],[Order Date]],"MMM")</f>
        <v>Apr</v>
      </c>
      <c r="AA814" s="5">
        <f>Table1[[#This Row],[Unit Price]]*Table1[[#This Row],[Quantity]]*(1-Table1[[#This Row],[Discount %]]/100)</f>
        <v>4865.3500000000004</v>
      </c>
      <c r="AB814" s="5">
        <f>Table1[[#This Row],[Sales]]-Table1[[#This Row],[Cost]]</f>
        <v>2140.8200000000002</v>
      </c>
    </row>
    <row r="815" spans="1:28" x14ac:dyDescent="0.3">
      <c r="A815" t="s">
        <v>2188</v>
      </c>
      <c r="B815" s="1">
        <v>45839</v>
      </c>
      <c r="C815" t="s">
        <v>2189</v>
      </c>
      <c r="D815" t="s">
        <v>3592</v>
      </c>
      <c r="E815" s="1">
        <v>45842</v>
      </c>
      <c r="F815" t="s">
        <v>56</v>
      </c>
      <c r="G815" t="s">
        <v>54</v>
      </c>
      <c r="H815" t="s">
        <v>55</v>
      </c>
      <c r="I815" t="s">
        <v>2652</v>
      </c>
      <c r="J815" t="s">
        <v>2708</v>
      </c>
      <c r="K815" t="s">
        <v>52</v>
      </c>
      <c r="L815">
        <v>21</v>
      </c>
      <c r="M815">
        <v>3</v>
      </c>
      <c r="N815">
        <v>25</v>
      </c>
      <c r="O815" t="s">
        <v>771</v>
      </c>
      <c r="P815" t="s">
        <v>33</v>
      </c>
      <c r="Q815" t="s">
        <v>70</v>
      </c>
      <c r="R815" t="s">
        <v>43</v>
      </c>
      <c r="S815" t="s">
        <v>57</v>
      </c>
      <c r="T815">
        <v>2</v>
      </c>
      <c r="U815" s="5">
        <v>204.31</v>
      </c>
      <c r="V815" s="5">
        <v>242.68</v>
      </c>
      <c r="W815">
        <v>3</v>
      </c>
      <c r="X815" t="s">
        <v>45</v>
      </c>
      <c r="Y815">
        <v>2025</v>
      </c>
      <c r="Z815" t="str">
        <f>TEXT(Table1[[#This Row],[Order Date]],"MMM")</f>
        <v>Jul</v>
      </c>
      <c r="AA815" s="5">
        <f>Table1[[#This Row],[Unit Price]]*Table1[[#This Row],[Quantity]]*(1-Table1[[#This Row],[Discount %]]/100)</f>
        <v>459.69750000000005</v>
      </c>
      <c r="AB815" s="5">
        <f>Table1[[#This Row],[Sales]]-Table1[[#This Row],[Cost]]</f>
        <v>217.01750000000004</v>
      </c>
    </row>
    <row r="816" spans="1:28" x14ac:dyDescent="0.3">
      <c r="A816" t="s">
        <v>2190</v>
      </c>
      <c r="B816" s="1">
        <v>45988</v>
      </c>
      <c r="C816" t="s">
        <v>2191</v>
      </c>
      <c r="D816" t="s">
        <v>3593</v>
      </c>
      <c r="E816" s="1">
        <v>45995</v>
      </c>
      <c r="F816" t="s">
        <v>29</v>
      </c>
      <c r="G816" t="s">
        <v>27</v>
      </c>
      <c r="H816" t="s">
        <v>28</v>
      </c>
      <c r="I816" t="s">
        <v>2657</v>
      </c>
      <c r="J816" t="s">
        <v>2696</v>
      </c>
      <c r="K816" t="s">
        <v>52</v>
      </c>
      <c r="L816">
        <v>21</v>
      </c>
      <c r="M816">
        <v>2</v>
      </c>
      <c r="N816">
        <v>5</v>
      </c>
      <c r="O816" t="s">
        <v>2192</v>
      </c>
      <c r="P816" t="s">
        <v>33</v>
      </c>
      <c r="Q816" t="s">
        <v>42</v>
      </c>
      <c r="R816" t="s">
        <v>62</v>
      </c>
      <c r="S816" t="s">
        <v>30</v>
      </c>
      <c r="T816">
        <v>2</v>
      </c>
      <c r="U816" s="5">
        <v>980.59</v>
      </c>
      <c r="V816" s="5">
        <v>1042.8599999999999</v>
      </c>
      <c r="W816">
        <v>7</v>
      </c>
      <c r="X816" t="s">
        <v>94</v>
      </c>
      <c r="Y816">
        <v>2025</v>
      </c>
      <c r="Z816" t="str">
        <f>TEXT(Table1[[#This Row],[Order Date]],"MMM")</f>
        <v>Nov</v>
      </c>
      <c r="AA816" s="5">
        <f>Table1[[#This Row],[Unit Price]]*Table1[[#This Row],[Quantity]]*(1-Table1[[#This Row],[Discount %]]/100)</f>
        <v>1863.1209999999999</v>
      </c>
      <c r="AB816" s="5">
        <f>Table1[[#This Row],[Sales]]-Table1[[#This Row],[Cost]]</f>
        <v>820.26099999999997</v>
      </c>
    </row>
    <row r="817" spans="1:28" x14ac:dyDescent="0.3">
      <c r="A817" t="s">
        <v>2193</v>
      </c>
      <c r="B817" s="1">
        <v>45781</v>
      </c>
      <c r="C817" t="s">
        <v>2194</v>
      </c>
      <c r="D817" t="s">
        <v>3594</v>
      </c>
      <c r="E817" s="1">
        <v>45782</v>
      </c>
      <c r="F817" t="s">
        <v>29</v>
      </c>
      <c r="G817" t="s">
        <v>27</v>
      </c>
      <c r="H817" t="s">
        <v>28</v>
      </c>
      <c r="I817" t="s">
        <v>2675</v>
      </c>
      <c r="J817" t="s">
        <v>2703</v>
      </c>
      <c r="K817" t="s">
        <v>52</v>
      </c>
      <c r="L817">
        <v>25</v>
      </c>
      <c r="M817">
        <v>4</v>
      </c>
      <c r="N817">
        <v>10</v>
      </c>
      <c r="O817" t="s">
        <v>1055</v>
      </c>
      <c r="P817" t="s">
        <v>75</v>
      </c>
      <c r="Q817" t="s">
        <v>31</v>
      </c>
      <c r="R817" t="s">
        <v>71</v>
      </c>
      <c r="S817" t="s">
        <v>30</v>
      </c>
      <c r="T817">
        <v>2</v>
      </c>
      <c r="U817" s="5">
        <v>620.63</v>
      </c>
      <c r="V817" s="5">
        <v>1710.12</v>
      </c>
      <c r="W817">
        <v>1</v>
      </c>
      <c r="X817" t="s">
        <v>49</v>
      </c>
      <c r="Y817">
        <v>2025</v>
      </c>
      <c r="Z817" t="str">
        <f>TEXT(Table1[[#This Row],[Order Date]],"MMM")</f>
        <v>May</v>
      </c>
      <c r="AA817" s="5">
        <f>Table1[[#This Row],[Unit Price]]*Table1[[#This Row],[Quantity]]*(1-Table1[[#This Row],[Discount %]]/100)</f>
        <v>2234.268</v>
      </c>
      <c r="AB817" s="5">
        <f>Table1[[#This Row],[Sales]]-Table1[[#This Row],[Cost]]</f>
        <v>524.14800000000014</v>
      </c>
    </row>
    <row r="818" spans="1:28" x14ac:dyDescent="0.3">
      <c r="A818" t="s">
        <v>2195</v>
      </c>
      <c r="B818" s="1">
        <v>45907</v>
      </c>
      <c r="C818" t="s">
        <v>2196</v>
      </c>
      <c r="D818" t="s">
        <v>3595</v>
      </c>
      <c r="E818" s="1">
        <v>45910</v>
      </c>
      <c r="F818" t="s">
        <v>122</v>
      </c>
      <c r="G818" t="s">
        <v>120</v>
      </c>
      <c r="H818" t="s">
        <v>121</v>
      </c>
      <c r="I818" t="s">
        <v>2657</v>
      </c>
      <c r="J818" t="s">
        <v>2696</v>
      </c>
      <c r="K818" t="s">
        <v>52</v>
      </c>
      <c r="L818">
        <v>45</v>
      </c>
      <c r="M818">
        <v>4</v>
      </c>
      <c r="N818">
        <v>5</v>
      </c>
      <c r="O818" t="s">
        <v>2135</v>
      </c>
      <c r="P818" t="s">
        <v>33</v>
      </c>
      <c r="Q818" t="s">
        <v>31</v>
      </c>
      <c r="R818" t="s">
        <v>43</v>
      </c>
      <c r="S818" t="s">
        <v>123</v>
      </c>
      <c r="T818">
        <v>1</v>
      </c>
      <c r="U818" s="5">
        <v>560.63</v>
      </c>
      <c r="V818" s="5">
        <v>1491.85</v>
      </c>
      <c r="W818">
        <v>3</v>
      </c>
      <c r="X818" t="s">
        <v>45</v>
      </c>
      <c r="Y818">
        <v>2025</v>
      </c>
      <c r="Z818" t="str">
        <f>TEXT(Table1[[#This Row],[Order Date]],"MMM")</f>
        <v>Sep</v>
      </c>
      <c r="AA818" s="5">
        <f>Table1[[#This Row],[Unit Price]]*Table1[[#This Row],[Quantity]]*(1-Table1[[#This Row],[Discount %]]/100)</f>
        <v>2130.3939999999998</v>
      </c>
      <c r="AB818" s="5">
        <f>Table1[[#This Row],[Sales]]-Table1[[#This Row],[Cost]]</f>
        <v>638.54399999999987</v>
      </c>
    </row>
    <row r="819" spans="1:28" x14ac:dyDescent="0.3">
      <c r="A819" t="s">
        <v>2197</v>
      </c>
      <c r="B819" s="1">
        <v>45962</v>
      </c>
      <c r="C819" t="s">
        <v>2198</v>
      </c>
      <c r="D819" t="s">
        <v>3596</v>
      </c>
      <c r="E819" s="1">
        <v>45969</v>
      </c>
      <c r="F819" t="s">
        <v>140</v>
      </c>
      <c r="G819" t="s">
        <v>38</v>
      </c>
      <c r="H819" t="s">
        <v>139</v>
      </c>
      <c r="I819" t="s">
        <v>2621</v>
      </c>
      <c r="J819" t="s">
        <v>2663</v>
      </c>
      <c r="K819" t="s">
        <v>25</v>
      </c>
      <c r="L819">
        <v>57</v>
      </c>
      <c r="M819">
        <v>5</v>
      </c>
      <c r="N819">
        <v>0</v>
      </c>
      <c r="O819" t="s">
        <v>2199</v>
      </c>
      <c r="P819" t="s">
        <v>33</v>
      </c>
      <c r="Q819" t="s">
        <v>70</v>
      </c>
      <c r="R819" t="s">
        <v>62</v>
      </c>
      <c r="S819" t="s">
        <v>141</v>
      </c>
      <c r="T819">
        <v>2</v>
      </c>
      <c r="U819" s="5">
        <v>220.23</v>
      </c>
      <c r="V819" s="5">
        <v>660.56</v>
      </c>
      <c r="W819">
        <v>7</v>
      </c>
      <c r="X819" t="s">
        <v>94</v>
      </c>
      <c r="Y819">
        <v>2025</v>
      </c>
      <c r="Z819" t="str">
        <f>TEXT(Table1[[#This Row],[Order Date]],"MMM")</f>
        <v>Nov</v>
      </c>
      <c r="AA819" s="5">
        <f>Table1[[#This Row],[Unit Price]]*Table1[[#This Row],[Quantity]]*(1-Table1[[#This Row],[Discount %]]/100)</f>
        <v>1101.1499999999999</v>
      </c>
      <c r="AB819" s="5">
        <f>Table1[[#This Row],[Sales]]-Table1[[#This Row],[Cost]]</f>
        <v>440.58999999999992</v>
      </c>
    </row>
    <row r="820" spans="1:28" x14ac:dyDescent="0.3">
      <c r="A820" t="s">
        <v>2200</v>
      </c>
      <c r="B820" s="1">
        <v>45528</v>
      </c>
      <c r="C820" t="s">
        <v>2201</v>
      </c>
      <c r="D820" t="s">
        <v>3597</v>
      </c>
      <c r="E820" s="1">
        <v>45531</v>
      </c>
      <c r="F820" t="s">
        <v>29</v>
      </c>
      <c r="G820" t="s">
        <v>27</v>
      </c>
      <c r="H820" t="s">
        <v>28</v>
      </c>
      <c r="I820" t="s">
        <v>2618</v>
      </c>
      <c r="J820" t="s">
        <v>2682</v>
      </c>
      <c r="K820" t="s">
        <v>25</v>
      </c>
      <c r="L820">
        <v>64</v>
      </c>
      <c r="M820">
        <v>5</v>
      </c>
      <c r="N820">
        <v>5</v>
      </c>
      <c r="O820" t="s">
        <v>2202</v>
      </c>
      <c r="P820" t="s">
        <v>75</v>
      </c>
      <c r="Q820" t="s">
        <v>31</v>
      </c>
      <c r="R820" t="s">
        <v>32</v>
      </c>
      <c r="S820" t="s">
        <v>30</v>
      </c>
      <c r="T820">
        <v>3</v>
      </c>
      <c r="U820" s="5">
        <v>704.21</v>
      </c>
      <c r="V820" s="5">
        <v>2405.4699999999998</v>
      </c>
      <c r="W820">
        <v>3</v>
      </c>
      <c r="X820" t="s">
        <v>45</v>
      </c>
      <c r="Y820">
        <v>2024</v>
      </c>
      <c r="Z820" t="str">
        <f>TEXT(Table1[[#This Row],[Order Date]],"MMM")</f>
        <v>Aug</v>
      </c>
      <c r="AA820" s="5">
        <f>Table1[[#This Row],[Unit Price]]*Table1[[#This Row],[Quantity]]*(1-Table1[[#This Row],[Discount %]]/100)</f>
        <v>3344.9974999999999</v>
      </c>
      <c r="AB820" s="5">
        <f>Table1[[#This Row],[Sales]]-Table1[[#This Row],[Cost]]</f>
        <v>939.52750000000015</v>
      </c>
    </row>
    <row r="821" spans="1:28" x14ac:dyDescent="0.3">
      <c r="A821" t="s">
        <v>2203</v>
      </c>
      <c r="B821" s="1">
        <v>45413</v>
      </c>
      <c r="C821" t="s">
        <v>1002</v>
      </c>
      <c r="D821" t="s">
        <v>3598</v>
      </c>
      <c r="E821" s="1">
        <v>45419</v>
      </c>
      <c r="F821" t="s">
        <v>128</v>
      </c>
      <c r="G821" t="s">
        <v>98</v>
      </c>
      <c r="H821" t="s">
        <v>127</v>
      </c>
      <c r="I821" t="s">
        <v>2619</v>
      </c>
      <c r="J821" t="s">
        <v>2687</v>
      </c>
      <c r="K821" t="s">
        <v>52</v>
      </c>
      <c r="L821">
        <v>31</v>
      </c>
      <c r="M821">
        <v>3</v>
      </c>
      <c r="N821">
        <v>20</v>
      </c>
      <c r="O821" t="s">
        <v>2204</v>
      </c>
      <c r="P821" t="s">
        <v>44</v>
      </c>
      <c r="Q821" t="s">
        <v>70</v>
      </c>
      <c r="R821" t="s">
        <v>43</v>
      </c>
      <c r="S821" t="s">
        <v>129</v>
      </c>
      <c r="T821">
        <v>3</v>
      </c>
      <c r="U821" s="5">
        <v>500.85</v>
      </c>
      <c r="V821" s="5">
        <v>795.69</v>
      </c>
      <c r="W821">
        <v>6</v>
      </c>
      <c r="X821" t="s">
        <v>49</v>
      </c>
      <c r="Y821">
        <v>2024</v>
      </c>
      <c r="Z821" t="str">
        <f>TEXT(Table1[[#This Row],[Order Date]],"MMM")</f>
        <v>May</v>
      </c>
      <c r="AA821" s="5">
        <f>Table1[[#This Row],[Unit Price]]*Table1[[#This Row],[Quantity]]*(1-Table1[[#This Row],[Discount %]]/100)</f>
        <v>1202.0400000000002</v>
      </c>
      <c r="AB821" s="5">
        <f>Table1[[#This Row],[Sales]]-Table1[[#This Row],[Cost]]</f>
        <v>406.35000000000014</v>
      </c>
    </row>
    <row r="822" spans="1:28" x14ac:dyDescent="0.3">
      <c r="A822" t="s">
        <v>2205</v>
      </c>
      <c r="B822" s="1">
        <v>45405</v>
      </c>
      <c r="C822" t="s">
        <v>2206</v>
      </c>
      <c r="D822" t="s">
        <v>3599</v>
      </c>
      <c r="E822" s="1">
        <v>45407</v>
      </c>
      <c r="F822" t="s">
        <v>100</v>
      </c>
      <c r="G822" t="s">
        <v>98</v>
      </c>
      <c r="H822" t="s">
        <v>99</v>
      </c>
      <c r="I822" t="s">
        <v>2659</v>
      </c>
      <c r="J822" t="s">
        <v>2666</v>
      </c>
      <c r="K822" t="s">
        <v>25</v>
      </c>
      <c r="L822">
        <v>38</v>
      </c>
      <c r="M822">
        <v>5</v>
      </c>
      <c r="N822">
        <v>10</v>
      </c>
      <c r="O822" t="s">
        <v>1099</v>
      </c>
      <c r="P822" t="s">
        <v>44</v>
      </c>
      <c r="Q822" t="s">
        <v>117</v>
      </c>
      <c r="R822" t="s">
        <v>43</v>
      </c>
      <c r="S822" t="s">
        <v>101</v>
      </c>
      <c r="T822">
        <v>5</v>
      </c>
      <c r="U822" s="5">
        <v>751.5</v>
      </c>
      <c r="V822" s="5">
        <v>2151.2600000000002</v>
      </c>
      <c r="W822">
        <v>2</v>
      </c>
      <c r="X822" t="s">
        <v>49</v>
      </c>
      <c r="Y822">
        <v>2024</v>
      </c>
      <c r="Z822" t="str">
        <f>TEXT(Table1[[#This Row],[Order Date]],"MMM")</f>
        <v>Apr</v>
      </c>
      <c r="AA822" s="5">
        <f>Table1[[#This Row],[Unit Price]]*Table1[[#This Row],[Quantity]]*(1-Table1[[#This Row],[Discount %]]/100)</f>
        <v>3381.75</v>
      </c>
      <c r="AB822" s="5">
        <f>Table1[[#This Row],[Sales]]-Table1[[#This Row],[Cost]]</f>
        <v>1230.4899999999998</v>
      </c>
    </row>
    <row r="823" spans="1:28" x14ac:dyDescent="0.3">
      <c r="A823" t="s">
        <v>2207</v>
      </c>
      <c r="B823" s="1">
        <v>46188</v>
      </c>
      <c r="C823" t="s">
        <v>2208</v>
      </c>
      <c r="D823" t="s">
        <v>3600</v>
      </c>
      <c r="E823" s="1">
        <v>46191</v>
      </c>
      <c r="F823" t="s">
        <v>100</v>
      </c>
      <c r="G823" t="s">
        <v>98</v>
      </c>
      <c r="H823" t="s">
        <v>99</v>
      </c>
      <c r="I823" t="s">
        <v>2635</v>
      </c>
      <c r="J823" t="s">
        <v>2700</v>
      </c>
      <c r="K823" t="s">
        <v>25</v>
      </c>
      <c r="L823">
        <v>56</v>
      </c>
      <c r="M823">
        <v>2</v>
      </c>
      <c r="N823">
        <v>30</v>
      </c>
      <c r="O823" t="s">
        <v>1926</v>
      </c>
      <c r="P823" t="s">
        <v>75</v>
      </c>
      <c r="Q823" t="s">
        <v>117</v>
      </c>
      <c r="R823" t="s">
        <v>62</v>
      </c>
      <c r="S823" t="s">
        <v>101</v>
      </c>
      <c r="T823">
        <v>5</v>
      </c>
      <c r="U823" s="5">
        <v>441.65</v>
      </c>
      <c r="V823" s="5">
        <v>398.58</v>
      </c>
      <c r="W823">
        <v>3</v>
      </c>
      <c r="X823" t="s">
        <v>49</v>
      </c>
      <c r="Y823">
        <v>2026</v>
      </c>
      <c r="Z823" t="str">
        <f>TEXT(Table1[[#This Row],[Order Date]],"MMM")</f>
        <v>Jun</v>
      </c>
      <c r="AA823" s="5">
        <f>Table1[[#This Row],[Unit Price]]*Table1[[#This Row],[Quantity]]*(1-Table1[[#This Row],[Discount %]]/100)</f>
        <v>618.30999999999995</v>
      </c>
      <c r="AB823" s="5">
        <f>Table1[[#This Row],[Sales]]-Table1[[#This Row],[Cost]]</f>
        <v>219.72999999999996</v>
      </c>
    </row>
    <row r="824" spans="1:28" x14ac:dyDescent="0.3">
      <c r="A824" t="s">
        <v>2209</v>
      </c>
      <c r="B824" s="1">
        <v>45790</v>
      </c>
      <c r="C824" t="s">
        <v>1113</v>
      </c>
      <c r="D824" t="s">
        <v>3601</v>
      </c>
      <c r="E824" s="1">
        <v>45795</v>
      </c>
      <c r="F824" t="s">
        <v>56</v>
      </c>
      <c r="G824" t="s">
        <v>54</v>
      </c>
      <c r="H824" t="s">
        <v>55</v>
      </c>
      <c r="I824" t="s">
        <v>2659</v>
      </c>
      <c r="J824" t="s">
        <v>2660</v>
      </c>
      <c r="K824" t="s">
        <v>25</v>
      </c>
      <c r="L824">
        <v>56</v>
      </c>
      <c r="M824">
        <v>4</v>
      </c>
      <c r="N824">
        <v>0</v>
      </c>
      <c r="O824" t="s">
        <v>874</v>
      </c>
      <c r="P824" t="s">
        <v>33</v>
      </c>
      <c r="Q824" t="s">
        <v>70</v>
      </c>
      <c r="R824" t="s">
        <v>43</v>
      </c>
      <c r="S824" t="s">
        <v>57</v>
      </c>
      <c r="T824">
        <v>4</v>
      </c>
      <c r="U824" s="5">
        <v>984.22</v>
      </c>
      <c r="V824" s="5">
        <v>2004.19</v>
      </c>
      <c r="W824">
        <v>5</v>
      </c>
      <c r="X824" t="s">
        <v>49</v>
      </c>
      <c r="Y824">
        <v>2025</v>
      </c>
      <c r="Z824" t="str">
        <f>TEXT(Table1[[#This Row],[Order Date]],"MMM")</f>
        <v>May</v>
      </c>
      <c r="AA824" s="5">
        <f>Table1[[#This Row],[Unit Price]]*Table1[[#This Row],[Quantity]]*(1-Table1[[#This Row],[Discount %]]/100)</f>
        <v>3936.88</v>
      </c>
      <c r="AB824" s="5">
        <f>Table1[[#This Row],[Sales]]-Table1[[#This Row],[Cost]]</f>
        <v>1932.69</v>
      </c>
    </row>
    <row r="825" spans="1:28" x14ac:dyDescent="0.3">
      <c r="A825" t="s">
        <v>2210</v>
      </c>
      <c r="B825" s="1">
        <v>45295</v>
      </c>
      <c r="C825" t="s">
        <v>2211</v>
      </c>
      <c r="D825" t="s">
        <v>3602</v>
      </c>
      <c r="E825" s="1">
        <v>45297</v>
      </c>
      <c r="F825" t="s">
        <v>122</v>
      </c>
      <c r="G825" t="s">
        <v>120</v>
      </c>
      <c r="H825" t="s">
        <v>121</v>
      </c>
      <c r="I825" t="s">
        <v>2633</v>
      </c>
      <c r="J825" t="s">
        <v>2634</v>
      </c>
      <c r="K825" t="s">
        <v>52</v>
      </c>
      <c r="L825">
        <v>18</v>
      </c>
      <c r="M825">
        <v>5</v>
      </c>
      <c r="N825">
        <v>25</v>
      </c>
      <c r="O825" t="s">
        <v>515</v>
      </c>
      <c r="P825" t="s">
        <v>33</v>
      </c>
      <c r="Q825" t="s">
        <v>58</v>
      </c>
      <c r="R825" t="s">
        <v>71</v>
      </c>
      <c r="S825" t="s">
        <v>123</v>
      </c>
      <c r="T825">
        <v>1</v>
      </c>
      <c r="U825" s="5">
        <v>749.03</v>
      </c>
      <c r="V825" s="5">
        <v>2308.09</v>
      </c>
      <c r="W825">
        <v>2</v>
      </c>
      <c r="X825" t="s">
        <v>34</v>
      </c>
      <c r="Y825">
        <v>2024</v>
      </c>
      <c r="Z825" t="str">
        <f>TEXT(Table1[[#This Row],[Order Date]],"MMM")</f>
        <v>Jan</v>
      </c>
      <c r="AA825" s="5">
        <f>Table1[[#This Row],[Unit Price]]*Table1[[#This Row],[Quantity]]*(1-Table1[[#This Row],[Discount %]]/100)</f>
        <v>2808.8624999999997</v>
      </c>
      <c r="AB825" s="5">
        <f>Table1[[#This Row],[Sales]]-Table1[[#This Row],[Cost]]</f>
        <v>500.77249999999958</v>
      </c>
    </row>
    <row r="826" spans="1:28" x14ac:dyDescent="0.3">
      <c r="A826" t="s">
        <v>2212</v>
      </c>
      <c r="B826" s="1">
        <v>46089</v>
      </c>
      <c r="C826" t="s">
        <v>2213</v>
      </c>
      <c r="D826" t="s">
        <v>3603</v>
      </c>
      <c r="E826" s="1">
        <v>46093</v>
      </c>
      <c r="F826" t="s">
        <v>40</v>
      </c>
      <c r="G826" t="s">
        <v>38</v>
      </c>
      <c r="H826" t="s">
        <v>39</v>
      </c>
      <c r="I826" t="s">
        <v>2627</v>
      </c>
      <c r="J826" t="s">
        <v>2707</v>
      </c>
      <c r="K826" t="s">
        <v>25</v>
      </c>
      <c r="L826">
        <v>33</v>
      </c>
      <c r="M826">
        <v>5</v>
      </c>
      <c r="N826">
        <v>5</v>
      </c>
      <c r="O826" t="s">
        <v>2081</v>
      </c>
      <c r="P826" t="s">
        <v>75</v>
      </c>
      <c r="Q826" t="s">
        <v>70</v>
      </c>
      <c r="R826" t="s">
        <v>62</v>
      </c>
      <c r="S826" t="s">
        <v>41</v>
      </c>
      <c r="T826">
        <v>1</v>
      </c>
      <c r="U826" s="5">
        <v>601.1</v>
      </c>
      <c r="V826" s="5">
        <v>1949.41</v>
      </c>
      <c r="W826">
        <v>4</v>
      </c>
      <c r="X826" t="s">
        <v>34</v>
      </c>
      <c r="Y826">
        <v>2026</v>
      </c>
      <c r="Z826" t="str">
        <f>TEXT(Table1[[#This Row],[Order Date]],"MMM")</f>
        <v>Mar</v>
      </c>
      <c r="AA826" s="5">
        <f>Table1[[#This Row],[Unit Price]]*Table1[[#This Row],[Quantity]]*(1-Table1[[#This Row],[Discount %]]/100)</f>
        <v>2855.2249999999999</v>
      </c>
      <c r="AB826" s="5">
        <f>Table1[[#This Row],[Sales]]-Table1[[#This Row],[Cost]]</f>
        <v>905.81499999999983</v>
      </c>
    </row>
    <row r="827" spans="1:28" x14ac:dyDescent="0.3">
      <c r="A827" t="s">
        <v>2214</v>
      </c>
      <c r="B827" s="1">
        <v>45565</v>
      </c>
      <c r="C827" t="s">
        <v>2215</v>
      </c>
      <c r="D827" t="s">
        <v>3604</v>
      </c>
      <c r="E827" s="1">
        <v>45566</v>
      </c>
      <c r="F827" t="s">
        <v>115</v>
      </c>
      <c r="G827" t="s">
        <v>66</v>
      </c>
      <c r="H827" t="s">
        <v>114</v>
      </c>
      <c r="I827" t="s">
        <v>2650</v>
      </c>
      <c r="J827" t="s">
        <v>2698</v>
      </c>
      <c r="K827" t="s">
        <v>52</v>
      </c>
      <c r="L827">
        <v>56</v>
      </c>
      <c r="M827">
        <v>3</v>
      </c>
      <c r="N827">
        <v>5</v>
      </c>
      <c r="O827" t="s">
        <v>2216</v>
      </c>
      <c r="P827" t="s">
        <v>44</v>
      </c>
      <c r="Q827" t="s">
        <v>31</v>
      </c>
      <c r="R827" t="s">
        <v>62</v>
      </c>
      <c r="S827" t="s">
        <v>116</v>
      </c>
      <c r="T827">
        <v>1</v>
      </c>
      <c r="U827" s="5">
        <v>397.06</v>
      </c>
      <c r="V827" s="5">
        <v>878.77</v>
      </c>
      <c r="W827">
        <v>1</v>
      </c>
      <c r="X827" t="s">
        <v>45</v>
      </c>
      <c r="Y827">
        <v>2024</v>
      </c>
      <c r="Z827" t="str">
        <f>TEXT(Table1[[#This Row],[Order Date]],"MMM")</f>
        <v>Sep</v>
      </c>
      <c r="AA827" s="5">
        <f>Table1[[#This Row],[Unit Price]]*Table1[[#This Row],[Quantity]]*(1-Table1[[#This Row],[Discount %]]/100)</f>
        <v>1131.6210000000001</v>
      </c>
      <c r="AB827" s="5">
        <f>Table1[[#This Row],[Sales]]-Table1[[#This Row],[Cost]]</f>
        <v>252.85100000000011</v>
      </c>
    </row>
    <row r="828" spans="1:28" x14ac:dyDescent="0.3">
      <c r="A828" t="s">
        <v>2217</v>
      </c>
      <c r="B828" s="1">
        <v>45596</v>
      </c>
      <c r="C828" t="s">
        <v>2218</v>
      </c>
      <c r="D828" t="s">
        <v>3605</v>
      </c>
      <c r="E828" s="1">
        <v>45597</v>
      </c>
      <c r="F828" t="s">
        <v>128</v>
      </c>
      <c r="G828" t="s">
        <v>98</v>
      </c>
      <c r="H828" t="s">
        <v>127</v>
      </c>
      <c r="I828" t="s">
        <v>2650</v>
      </c>
      <c r="J828" t="s">
        <v>2651</v>
      </c>
      <c r="K828" t="s">
        <v>25</v>
      </c>
      <c r="L828">
        <v>51</v>
      </c>
      <c r="M828">
        <v>5</v>
      </c>
      <c r="N828">
        <v>0</v>
      </c>
      <c r="O828" t="s">
        <v>2219</v>
      </c>
      <c r="P828" t="s">
        <v>44</v>
      </c>
      <c r="Q828" t="s">
        <v>70</v>
      </c>
      <c r="R828" t="s">
        <v>43</v>
      </c>
      <c r="S828" t="s">
        <v>129</v>
      </c>
      <c r="T828">
        <v>1</v>
      </c>
      <c r="U828" s="5">
        <v>126.68</v>
      </c>
      <c r="V828" s="5">
        <v>362.03</v>
      </c>
      <c r="W828">
        <v>1</v>
      </c>
      <c r="X828" t="s">
        <v>94</v>
      </c>
      <c r="Y828">
        <v>2024</v>
      </c>
      <c r="Z828" t="str">
        <f>TEXT(Table1[[#This Row],[Order Date]],"MMM")</f>
        <v>Oct</v>
      </c>
      <c r="AA828" s="5">
        <f>Table1[[#This Row],[Unit Price]]*Table1[[#This Row],[Quantity]]*(1-Table1[[#This Row],[Discount %]]/100)</f>
        <v>633.40000000000009</v>
      </c>
      <c r="AB828" s="5">
        <f>Table1[[#This Row],[Sales]]-Table1[[#This Row],[Cost]]</f>
        <v>271.37000000000012</v>
      </c>
    </row>
    <row r="829" spans="1:28" x14ac:dyDescent="0.3">
      <c r="A829" t="s">
        <v>2220</v>
      </c>
      <c r="B829" s="1">
        <v>45868</v>
      </c>
      <c r="C829" t="s">
        <v>2221</v>
      </c>
      <c r="D829" t="s">
        <v>3606</v>
      </c>
      <c r="E829" s="1">
        <v>45872</v>
      </c>
      <c r="F829" t="s">
        <v>56</v>
      </c>
      <c r="G829" t="s">
        <v>54</v>
      </c>
      <c r="H829" t="s">
        <v>55</v>
      </c>
      <c r="I829" t="s">
        <v>2675</v>
      </c>
      <c r="J829" t="s">
        <v>2676</v>
      </c>
      <c r="K829" t="s">
        <v>25</v>
      </c>
      <c r="L829">
        <v>25</v>
      </c>
      <c r="M829">
        <v>5</v>
      </c>
      <c r="N829">
        <v>15</v>
      </c>
      <c r="O829" t="s">
        <v>945</v>
      </c>
      <c r="P829" t="s">
        <v>44</v>
      </c>
      <c r="Q829" t="s">
        <v>42</v>
      </c>
      <c r="R829" t="s">
        <v>71</v>
      </c>
      <c r="S829" t="s">
        <v>57</v>
      </c>
      <c r="T829">
        <v>4</v>
      </c>
      <c r="U829" s="5">
        <v>655.23</v>
      </c>
      <c r="V829" s="5">
        <v>1657.49</v>
      </c>
      <c r="W829">
        <v>4</v>
      </c>
      <c r="X829" t="s">
        <v>45</v>
      </c>
      <c r="Y829">
        <v>2025</v>
      </c>
      <c r="Z829" t="str">
        <f>TEXT(Table1[[#This Row],[Order Date]],"MMM")</f>
        <v>Jul</v>
      </c>
      <c r="AA829" s="5">
        <f>Table1[[#This Row],[Unit Price]]*Table1[[#This Row],[Quantity]]*(1-Table1[[#This Row],[Discount %]]/100)</f>
        <v>2784.7275</v>
      </c>
      <c r="AB829" s="5">
        <f>Table1[[#This Row],[Sales]]-Table1[[#This Row],[Cost]]</f>
        <v>1127.2375</v>
      </c>
    </row>
    <row r="830" spans="1:28" x14ac:dyDescent="0.3">
      <c r="A830" t="s">
        <v>2222</v>
      </c>
      <c r="B830" s="1">
        <v>45508</v>
      </c>
      <c r="C830" t="s">
        <v>2223</v>
      </c>
      <c r="D830" t="s">
        <v>3607</v>
      </c>
      <c r="E830" s="1">
        <v>45509</v>
      </c>
      <c r="F830" t="s">
        <v>140</v>
      </c>
      <c r="G830" t="s">
        <v>38</v>
      </c>
      <c r="H830" t="s">
        <v>139</v>
      </c>
      <c r="I830" t="s">
        <v>2621</v>
      </c>
      <c r="J830" t="s">
        <v>2699</v>
      </c>
      <c r="K830" t="s">
        <v>25</v>
      </c>
      <c r="L830">
        <v>26</v>
      </c>
      <c r="M830">
        <v>3</v>
      </c>
      <c r="N830">
        <v>20</v>
      </c>
      <c r="O830" t="s">
        <v>2224</v>
      </c>
      <c r="P830" t="s">
        <v>33</v>
      </c>
      <c r="Q830" t="s">
        <v>70</v>
      </c>
      <c r="R830" t="s">
        <v>43</v>
      </c>
      <c r="S830" t="s">
        <v>141</v>
      </c>
      <c r="T830">
        <v>4</v>
      </c>
      <c r="U830" s="5">
        <v>725.16</v>
      </c>
      <c r="V830" s="5">
        <v>1311.93</v>
      </c>
      <c r="W830">
        <v>1</v>
      </c>
      <c r="X830" t="s">
        <v>45</v>
      </c>
      <c r="Y830">
        <v>2024</v>
      </c>
      <c r="Z830" t="str">
        <f>TEXT(Table1[[#This Row],[Order Date]],"MMM")</f>
        <v>Aug</v>
      </c>
      <c r="AA830" s="5">
        <f>Table1[[#This Row],[Unit Price]]*Table1[[#This Row],[Quantity]]*(1-Table1[[#This Row],[Discount %]]/100)</f>
        <v>1740.384</v>
      </c>
      <c r="AB830" s="5">
        <f>Table1[[#This Row],[Sales]]-Table1[[#This Row],[Cost]]</f>
        <v>428.45399999999995</v>
      </c>
    </row>
    <row r="831" spans="1:28" x14ac:dyDescent="0.3">
      <c r="A831" t="s">
        <v>2225</v>
      </c>
      <c r="B831" s="1">
        <v>45486</v>
      </c>
      <c r="C831" t="s">
        <v>2226</v>
      </c>
      <c r="D831" t="s">
        <v>3608</v>
      </c>
      <c r="E831" s="1">
        <v>45490</v>
      </c>
      <c r="F831" t="s">
        <v>29</v>
      </c>
      <c r="G831" t="s">
        <v>27</v>
      </c>
      <c r="H831" t="s">
        <v>28</v>
      </c>
      <c r="I831" t="s">
        <v>2619</v>
      </c>
      <c r="J831" t="s">
        <v>2692</v>
      </c>
      <c r="K831" t="s">
        <v>52</v>
      </c>
      <c r="L831">
        <v>62</v>
      </c>
      <c r="M831">
        <v>3</v>
      </c>
      <c r="N831">
        <v>5</v>
      </c>
      <c r="O831" t="s">
        <v>2227</v>
      </c>
      <c r="P831" t="s">
        <v>75</v>
      </c>
      <c r="Q831" t="s">
        <v>70</v>
      </c>
      <c r="R831" t="s">
        <v>62</v>
      </c>
      <c r="S831" t="s">
        <v>30</v>
      </c>
      <c r="T831">
        <v>3</v>
      </c>
      <c r="U831" s="5">
        <v>740.68</v>
      </c>
      <c r="V831" s="5">
        <v>1404.19</v>
      </c>
      <c r="W831">
        <v>4</v>
      </c>
      <c r="X831" t="s">
        <v>45</v>
      </c>
      <c r="Y831">
        <v>2024</v>
      </c>
      <c r="Z831" t="str">
        <f>TEXT(Table1[[#This Row],[Order Date]],"MMM")</f>
        <v>Jul</v>
      </c>
      <c r="AA831" s="5">
        <f>Table1[[#This Row],[Unit Price]]*Table1[[#This Row],[Quantity]]*(1-Table1[[#This Row],[Discount %]]/100)</f>
        <v>2110.9379999999996</v>
      </c>
      <c r="AB831" s="5">
        <f>Table1[[#This Row],[Sales]]-Table1[[#This Row],[Cost]]</f>
        <v>706.74799999999959</v>
      </c>
    </row>
    <row r="832" spans="1:28" x14ac:dyDescent="0.3">
      <c r="A832" t="s">
        <v>2228</v>
      </c>
      <c r="B832" s="1">
        <v>45815</v>
      </c>
      <c r="C832" t="s">
        <v>2229</v>
      </c>
      <c r="D832" t="s">
        <v>3609</v>
      </c>
      <c r="E832" s="1">
        <v>45817</v>
      </c>
      <c r="F832" t="s">
        <v>56</v>
      </c>
      <c r="G832" t="s">
        <v>54</v>
      </c>
      <c r="H832" t="s">
        <v>55</v>
      </c>
      <c r="I832" t="s">
        <v>2619</v>
      </c>
      <c r="J832" t="s">
        <v>2692</v>
      </c>
      <c r="K832" t="s">
        <v>52</v>
      </c>
      <c r="L832">
        <v>28</v>
      </c>
      <c r="M832">
        <v>3</v>
      </c>
      <c r="N832">
        <v>15</v>
      </c>
      <c r="O832" t="s">
        <v>1460</v>
      </c>
      <c r="P832" t="s">
        <v>44</v>
      </c>
      <c r="Q832" t="s">
        <v>117</v>
      </c>
      <c r="R832" t="s">
        <v>71</v>
      </c>
      <c r="S832" t="s">
        <v>57</v>
      </c>
      <c r="T832">
        <v>2</v>
      </c>
      <c r="U832" s="5">
        <v>712.14</v>
      </c>
      <c r="V832" s="5">
        <v>1172.94</v>
      </c>
      <c r="W832">
        <v>2</v>
      </c>
      <c r="X832" t="s">
        <v>49</v>
      </c>
      <c r="Y832">
        <v>2025</v>
      </c>
      <c r="Z832" t="str">
        <f>TEXT(Table1[[#This Row],[Order Date]],"MMM")</f>
        <v>Jun</v>
      </c>
      <c r="AA832" s="5">
        <f>Table1[[#This Row],[Unit Price]]*Table1[[#This Row],[Quantity]]*(1-Table1[[#This Row],[Discount %]]/100)</f>
        <v>1815.9570000000001</v>
      </c>
      <c r="AB832" s="5">
        <f>Table1[[#This Row],[Sales]]-Table1[[#This Row],[Cost]]</f>
        <v>643.01700000000005</v>
      </c>
    </row>
    <row r="833" spans="1:28" x14ac:dyDescent="0.3">
      <c r="A833" t="s">
        <v>2230</v>
      </c>
      <c r="B833" s="1">
        <v>45746</v>
      </c>
      <c r="C833" t="s">
        <v>225</v>
      </c>
      <c r="D833" t="s">
        <v>3610</v>
      </c>
      <c r="E833" s="1">
        <v>45749</v>
      </c>
      <c r="F833" t="s">
        <v>100</v>
      </c>
      <c r="G833" t="s">
        <v>98</v>
      </c>
      <c r="H833" t="s">
        <v>99</v>
      </c>
      <c r="I833" t="s">
        <v>2643</v>
      </c>
      <c r="J833" t="s">
        <v>2717</v>
      </c>
      <c r="K833" t="s">
        <v>52</v>
      </c>
      <c r="L833">
        <v>38</v>
      </c>
      <c r="M833">
        <v>3</v>
      </c>
      <c r="N833">
        <v>0</v>
      </c>
      <c r="O833" t="s">
        <v>2231</v>
      </c>
      <c r="P833" t="s">
        <v>75</v>
      </c>
      <c r="Q833" t="s">
        <v>58</v>
      </c>
      <c r="R833" t="s">
        <v>71</v>
      </c>
      <c r="S833" t="s">
        <v>101</v>
      </c>
      <c r="T833">
        <v>3</v>
      </c>
      <c r="U833" s="5">
        <v>393.08</v>
      </c>
      <c r="V833" s="5">
        <v>812.99</v>
      </c>
      <c r="W833">
        <v>3</v>
      </c>
      <c r="X833" t="s">
        <v>34</v>
      </c>
      <c r="Y833">
        <v>2025</v>
      </c>
      <c r="Z833" t="str">
        <f>TEXT(Table1[[#This Row],[Order Date]],"MMM")</f>
        <v>Mar</v>
      </c>
      <c r="AA833" s="5">
        <f>Table1[[#This Row],[Unit Price]]*Table1[[#This Row],[Quantity]]*(1-Table1[[#This Row],[Discount %]]/100)</f>
        <v>1179.24</v>
      </c>
      <c r="AB833" s="5">
        <f>Table1[[#This Row],[Sales]]-Table1[[#This Row],[Cost]]</f>
        <v>366.25</v>
      </c>
    </row>
    <row r="834" spans="1:28" x14ac:dyDescent="0.3">
      <c r="A834" t="s">
        <v>2232</v>
      </c>
      <c r="B834" s="1">
        <v>45696</v>
      </c>
      <c r="C834" t="s">
        <v>2233</v>
      </c>
      <c r="D834" t="s">
        <v>3611</v>
      </c>
      <c r="E834" s="1">
        <v>45699</v>
      </c>
      <c r="F834" t="s">
        <v>40</v>
      </c>
      <c r="G834" t="s">
        <v>38</v>
      </c>
      <c r="H834" t="s">
        <v>39</v>
      </c>
      <c r="I834" t="s">
        <v>2621</v>
      </c>
      <c r="J834" t="s">
        <v>2699</v>
      </c>
      <c r="K834" t="s">
        <v>25</v>
      </c>
      <c r="L834">
        <v>24</v>
      </c>
      <c r="M834">
        <v>3</v>
      </c>
      <c r="N834">
        <v>30</v>
      </c>
      <c r="O834" t="s">
        <v>512</v>
      </c>
      <c r="P834" t="s">
        <v>33</v>
      </c>
      <c r="Q834" t="s">
        <v>42</v>
      </c>
      <c r="R834" t="s">
        <v>32</v>
      </c>
      <c r="S834" t="s">
        <v>41</v>
      </c>
      <c r="T834">
        <v>4</v>
      </c>
      <c r="U834" s="5">
        <v>960.6</v>
      </c>
      <c r="V834" s="5">
        <v>1193.2</v>
      </c>
      <c r="W834">
        <v>3</v>
      </c>
      <c r="X834" t="s">
        <v>34</v>
      </c>
      <c r="Y834">
        <v>2025</v>
      </c>
      <c r="Z834" t="str">
        <f>TEXT(Table1[[#This Row],[Order Date]],"MMM")</f>
        <v>Feb</v>
      </c>
      <c r="AA834" s="5">
        <f>Table1[[#This Row],[Unit Price]]*Table1[[#This Row],[Quantity]]*(1-Table1[[#This Row],[Discount %]]/100)</f>
        <v>2017.26</v>
      </c>
      <c r="AB834" s="5">
        <f>Table1[[#This Row],[Sales]]-Table1[[#This Row],[Cost]]</f>
        <v>824.06</v>
      </c>
    </row>
    <row r="835" spans="1:28" x14ac:dyDescent="0.3">
      <c r="A835" t="s">
        <v>2234</v>
      </c>
      <c r="B835" s="1">
        <v>45495</v>
      </c>
      <c r="C835" t="s">
        <v>2235</v>
      </c>
      <c r="D835" t="s">
        <v>3612</v>
      </c>
      <c r="E835" s="1">
        <v>45496</v>
      </c>
      <c r="F835" t="s">
        <v>140</v>
      </c>
      <c r="G835" t="s">
        <v>38</v>
      </c>
      <c r="H835" t="s">
        <v>139</v>
      </c>
      <c r="I835" t="s">
        <v>2625</v>
      </c>
      <c r="J835" t="s">
        <v>2626</v>
      </c>
      <c r="K835" t="s">
        <v>25</v>
      </c>
      <c r="L835">
        <v>55</v>
      </c>
      <c r="M835">
        <v>5</v>
      </c>
      <c r="N835">
        <v>15</v>
      </c>
      <c r="O835" t="s">
        <v>350</v>
      </c>
      <c r="P835" t="s">
        <v>44</v>
      </c>
      <c r="Q835" t="s">
        <v>42</v>
      </c>
      <c r="R835" t="s">
        <v>62</v>
      </c>
      <c r="S835" t="s">
        <v>141</v>
      </c>
      <c r="T835">
        <v>5</v>
      </c>
      <c r="U835" s="5">
        <v>788.42</v>
      </c>
      <c r="V835" s="5">
        <v>2814.03</v>
      </c>
      <c r="W835">
        <v>1</v>
      </c>
      <c r="X835" t="s">
        <v>45</v>
      </c>
      <c r="Y835">
        <v>2024</v>
      </c>
      <c r="Z835" t="str">
        <f>TEXT(Table1[[#This Row],[Order Date]],"MMM")</f>
        <v>Jul</v>
      </c>
      <c r="AA835" s="5">
        <f>Table1[[#This Row],[Unit Price]]*Table1[[#This Row],[Quantity]]*(1-Table1[[#This Row],[Discount %]]/100)</f>
        <v>3350.7849999999999</v>
      </c>
      <c r="AB835" s="5">
        <f>Table1[[#This Row],[Sales]]-Table1[[#This Row],[Cost]]</f>
        <v>536.75499999999965</v>
      </c>
    </row>
    <row r="836" spans="1:28" x14ac:dyDescent="0.3">
      <c r="A836" t="s">
        <v>2236</v>
      </c>
      <c r="B836" s="1">
        <v>45787</v>
      </c>
      <c r="C836" t="s">
        <v>796</v>
      </c>
      <c r="D836" t="s">
        <v>3613</v>
      </c>
      <c r="E836" s="1">
        <v>45793</v>
      </c>
      <c r="F836" t="s">
        <v>68</v>
      </c>
      <c r="G836" t="s">
        <v>66</v>
      </c>
      <c r="H836" t="s">
        <v>67</v>
      </c>
      <c r="I836" t="s">
        <v>2675</v>
      </c>
      <c r="J836" t="s">
        <v>2703</v>
      </c>
      <c r="K836" t="s">
        <v>25</v>
      </c>
      <c r="L836">
        <v>42</v>
      </c>
      <c r="M836">
        <v>3</v>
      </c>
      <c r="N836">
        <v>15</v>
      </c>
      <c r="O836" t="s">
        <v>2237</v>
      </c>
      <c r="P836" t="s">
        <v>33</v>
      </c>
      <c r="Q836" t="s">
        <v>117</v>
      </c>
      <c r="R836" t="s">
        <v>71</v>
      </c>
      <c r="S836" t="s">
        <v>69</v>
      </c>
      <c r="T836">
        <v>3</v>
      </c>
      <c r="U836" s="5">
        <v>816.34</v>
      </c>
      <c r="V836" s="5">
        <v>1476.6</v>
      </c>
      <c r="W836">
        <v>6</v>
      </c>
      <c r="X836" t="s">
        <v>49</v>
      </c>
      <c r="Y836">
        <v>2025</v>
      </c>
      <c r="Z836" t="str">
        <f>TEXT(Table1[[#This Row],[Order Date]],"MMM")</f>
        <v>May</v>
      </c>
      <c r="AA836" s="5">
        <f>Table1[[#This Row],[Unit Price]]*Table1[[#This Row],[Quantity]]*(1-Table1[[#This Row],[Discount %]]/100)</f>
        <v>2081.6669999999999</v>
      </c>
      <c r="AB836" s="5">
        <f>Table1[[#This Row],[Sales]]-Table1[[#This Row],[Cost]]</f>
        <v>605.06700000000001</v>
      </c>
    </row>
    <row r="837" spans="1:28" x14ac:dyDescent="0.3">
      <c r="A837" t="s">
        <v>2238</v>
      </c>
      <c r="B837" s="1">
        <v>46121</v>
      </c>
      <c r="C837" t="s">
        <v>2239</v>
      </c>
      <c r="D837" t="s">
        <v>3614</v>
      </c>
      <c r="E837" s="1">
        <v>46124</v>
      </c>
      <c r="F837" t="s">
        <v>29</v>
      </c>
      <c r="G837" t="s">
        <v>27</v>
      </c>
      <c r="H837" t="s">
        <v>28</v>
      </c>
      <c r="I837" t="s">
        <v>2630</v>
      </c>
      <c r="J837" t="s">
        <v>2646</v>
      </c>
      <c r="K837" t="s">
        <v>52</v>
      </c>
      <c r="L837">
        <v>57</v>
      </c>
      <c r="M837">
        <v>3</v>
      </c>
      <c r="N837">
        <v>25</v>
      </c>
      <c r="O837" t="s">
        <v>2216</v>
      </c>
      <c r="P837" t="s">
        <v>75</v>
      </c>
      <c r="Q837" t="s">
        <v>58</v>
      </c>
      <c r="R837" t="s">
        <v>43</v>
      </c>
      <c r="S837" t="s">
        <v>30</v>
      </c>
      <c r="T837">
        <v>2</v>
      </c>
      <c r="U837" s="5">
        <v>626.71</v>
      </c>
      <c r="V837" s="5">
        <v>756.38</v>
      </c>
      <c r="W837">
        <v>3</v>
      </c>
      <c r="X837" t="s">
        <v>49</v>
      </c>
      <c r="Y837">
        <v>2026</v>
      </c>
      <c r="Z837" t="str">
        <f>TEXT(Table1[[#This Row],[Order Date]],"MMM")</f>
        <v>Apr</v>
      </c>
      <c r="AA837" s="5">
        <f>Table1[[#This Row],[Unit Price]]*Table1[[#This Row],[Quantity]]*(1-Table1[[#This Row],[Discount %]]/100)</f>
        <v>1410.0975000000001</v>
      </c>
      <c r="AB837" s="5">
        <f>Table1[[#This Row],[Sales]]-Table1[[#This Row],[Cost]]</f>
        <v>653.71750000000009</v>
      </c>
    </row>
    <row r="838" spans="1:28" x14ac:dyDescent="0.3">
      <c r="A838" t="s">
        <v>2240</v>
      </c>
      <c r="B838" s="1">
        <v>46102</v>
      </c>
      <c r="C838" t="s">
        <v>2241</v>
      </c>
      <c r="D838" t="s">
        <v>3615</v>
      </c>
      <c r="E838" s="1">
        <v>46103</v>
      </c>
      <c r="F838" t="s">
        <v>56</v>
      </c>
      <c r="G838" t="s">
        <v>54</v>
      </c>
      <c r="H838" t="s">
        <v>55</v>
      </c>
      <c r="I838" t="s">
        <v>2621</v>
      </c>
      <c r="J838" t="s">
        <v>2699</v>
      </c>
      <c r="K838" t="s">
        <v>52</v>
      </c>
      <c r="L838">
        <v>58</v>
      </c>
      <c r="M838">
        <v>1</v>
      </c>
      <c r="N838">
        <v>15</v>
      </c>
      <c r="O838" t="s">
        <v>613</v>
      </c>
      <c r="P838" t="s">
        <v>33</v>
      </c>
      <c r="Q838" t="s">
        <v>70</v>
      </c>
      <c r="R838" t="s">
        <v>71</v>
      </c>
      <c r="S838" t="s">
        <v>57</v>
      </c>
      <c r="T838">
        <v>5</v>
      </c>
      <c r="U838" s="5">
        <v>48.22</v>
      </c>
      <c r="V838" s="5">
        <v>23.83</v>
      </c>
      <c r="W838">
        <v>1</v>
      </c>
      <c r="X838" t="s">
        <v>34</v>
      </c>
      <c r="Y838">
        <v>2026</v>
      </c>
      <c r="Z838" t="str">
        <f>TEXT(Table1[[#This Row],[Order Date]],"MMM")</f>
        <v>Mar</v>
      </c>
      <c r="AA838" s="5">
        <f>Table1[[#This Row],[Unit Price]]*Table1[[#This Row],[Quantity]]*(1-Table1[[#This Row],[Discount %]]/100)</f>
        <v>40.986999999999995</v>
      </c>
      <c r="AB838" s="5">
        <f>Table1[[#This Row],[Sales]]-Table1[[#This Row],[Cost]]</f>
        <v>17.156999999999996</v>
      </c>
    </row>
    <row r="839" spans="1:28" x14ac:dyDescent="0.3">
      <c r="A839" t="s">
        <v>2242</v>
      </c>
      <c r="B839" s="1">
        <v>46072</v>
      </c>
      <c r="C839" t="s">
        <v>2243</v>
      </c>
      <c r="D839" t="s">
        <v>3616</v>
      </c>
      <c r="E839" s="1">
        <v>46076</v>
      </c>
      <c r="F839" t="s">
        <v>40</v>
      </c>
      <c r="G839" t="s">
        <v>38</v>
      </c>
      <c r="H839" t="s">
        <v>39</v>
      </c>
      <c r="I839" t="s">
        <v>2637</v>
      </c>
      <c r="J839" t="s">
        <v>2638</v>
      </c>
      <c r="K839" t="s">
        <v>25</v>
      </c>
      <c r="L839">
        <v>41</v>
      </c>
      <c r="M839">
        <v>2</v>
      </c>
      <c r="N839">
        <v>5</v>
      </c>
      <c r="O839" t="s">
        <v>540</v>
      </c>
      <c r="P839" t="s">
        <v>44</v>
      </c>
      <c r="Q839" t="s">
        <v>117</v>
      </c>
      <c r="R839" t="s">
        <v>62</v>
      </c>
      <c r="S839" t="s">
        <v>41</v>
      </c>
      <c r="T839">
        <v>2</v>
      </c>
      <c r="U839" s="5">
        <v>562.91</v>
      </c>
      <c r="V839" s="5">
        <v>889.06</v>
      </c>
      <c r="W839">
        <v>4</v>
      </c>
      <c r="X839" t="s">
        <v>34</v>
      </c>
      <c r="Y839">
        <v>2026</v>
      </c>
      <c r="Z839" t="str">
        <f>TEXT(Table1[[#This Row],[Order Date]],"MMM")</f>
        <v>Feb</v>
      </c>
      <c r="AA839" s="5">
        <f>Table1[[#This Row],[Unit Price]]*Table1[[#This Row],[Quantity]]*(1-Table1[[#This Row],[Discount %]]/100)</f>
        <v>1069.529</v>
      </c>
      <c r="AB839" s="5">
        <f>Table1[[#This Row],[Sales]]-Table1[[#This Row],[Cost]]</f>
        <v>180.46900000000005</v>
      </c>
    </row>
    <row r="840" spans="1:28" x14ac:dyDescent="0.3">
      <c r="A840" t="s">
        <v>2244</v>
      </c>
      <c r="B840" s="1">
        <v>45638</v>
      </c>
      <c r="C840" t="s">
        <v>2143</v>
      </c>
      <c r="D840" t="s">
        <v>3617</v>
      </c>
      <c r="E840" s="1">
        <v>45641</v>
      </c>
      <c r="F840" t="s">
        <v>40</v>
      </c>
      <c r="G840" t="s">
        <v>38</v>
      </c>
      <c r="H840" t="s">
        <v>39</v>
      </c>
      <c r="I840" t="s">
        <v>2621</v>
      </c>
      <c r="J840" t="s">
        <v>2699</v>
      </c>
      <c r="K840" t="s">
        <v>52</v>
      </c>
      <c r="L840">
        <v>48</v>
      </c>
      <c r="M840">
        <v>4</v>
      </c>
      <c r="N840">
        <v>10</v>
      </c>
      <c r="O840" t="s">
        <v>2245</v>
      </c>
      <c r="P840" t="s">
        <v>44</v>
      </c>
      <c r="Q840" t="s">
        <v>42</v>
      </c>
      <c r="R840" t="s">
        <v>62</v>
      </c>
      <c r="S840" t="s">
        <v>41</v>
      </c>
      <c r="T840">
        <v>2</v>
      </c>
      <c r="U840" s="5">
        <v>62.54</v>
      </c>
      <c r="V840" s="5">
        <v>136.88999999999999</v>
      </c>
      <c r="W840">
        <v>3</v>
      </c>
      <c r="X840" t="s">
        <v>94</v>
      </c>
      <c r="Y840">
        <v>2024</v>
      </c>
      <c r="Z840" t="str">
        <f>TEXT(Table1[[#This Row],[Order Date]],"MMM")</f>
        <v>Dec</v>
      </c>
      <c r="AA840" s="5">
        <f>Table1[[#This Row],[Unit Price]]*Table1[[#This Row],[Quantity]]*(1-Table1[[#This Row],[Discount %]]/100)</f>
        <v>225.14400000000001</v>
      </c>
      <c r="AB840" s="5">
        <f>Table1[[#This Row],[Sales]]-Table1[[#This Row],[Cost]]</f>
        <v>88.254000000000019</v>
      </c>
    </row>
    <row r="841" spans="1:28" x14ac:dyDescent="0.3">
      <c r="A841" t="s">
        <v>2246</v>
      </c>
      <c r="B841" s="1">
        <v>45495</v>
      </c>
      <c r="C841" t="s">
        <v>2247</v>
      </c>
      <c r="D841" t="s">
        <v>3618</v>
      </c>
      <c r="E841" s="1">
        <v>45501</v>
      </c>
      <c r="F841" t="s">
        <v>29</v>
      </c>
      <c r="G841" t="s">
        <v>27</v>
      </c>
      <c r="H841" t="s">
        <v>28</v>
      </c>
      <c r="I841" t="s">
        <v>2619</v>
      </c>
      <c r="J841" t="s">
        <v>2620</v>
      </c>
      <c r="K841" t="s">
        <v>25</v>
      </c>
      <c r="L841">
        <v>57</v>
      </c>
      <c r="M841">
        <v>1</v>
      </c>
      <c r="N841">
        <v>20</v>
      </c>
      <c r="O841" t="s">
        <v>2248</v>
      </c>
      <c r="P841" t="s">
        <v>44</v>
      </c>
      <c r="Q841" t="s">
        <v>42</v>
      </c>
      <c r="R841" t="s">
        <v>71</v>
      </c>
      <c r="S841" t="s">
        <v>30</v>
      </c>
      <c r="T841">
        <v>5</v>
      </c>
      <c r="U841" s="5">
        <v>736.79</v>
      </c>
      <c r="V841" s="5">
        <v>356.69</v>
      </c>
      <c r="W841">
        <v>6</v>
      </c>
      <c r="X841" t="s">
        <v>45</v>
      </c>
      <c r="Y841">
        <v>2024</v>
      </c>
      <c r="Z841" t="str">
        <f>TEXT(Table1[[#This Row],[Order Date]],"MMM")</f>
        <v>Jul</v>
      </c>
      <c r="AA841" s="5">
        <f>Table1[[#This Row],[Unit Price]]*Table1[[#This Row],[Quantity]]*(1-Table1[[#This Row],[Discount %]]/100)</f>
        <v>589.43200000000002</v>
      </c>
      <c r="AB841" s="5">
        <f>Table1[[#This Row],[Sales]]-Table1[[#This Row],[Cost]]</f>
        <v>232.74200000000002</v>
      </c>
    </row>
    <row r="842" spans="1:28" x14ac:dyDescent="0.3">
      <c r="A842" t="s">
        <v>2249</v>
      </c>
      <c r="B842" s="1">
        <v>45843</v>
      </c>
      <c r="C842" t="s">
        <v>2250</v>
      </c>
      <c r="D842" t="s">
        <v>3619</v>
      </c>
      <c r="E842" s="1">
        <v>45847</v>
      </c>
      <c r="F842" t="s">
        <v>29</v>
      </c>
      <c r="G842" t="s">
        <v>27</v>
      </c>
      <c r="H842" t="s">
        <v>28</v>
      </c>
      <c r="I842" t="s">
        <v>2619</v>
      </c>
      <c r="J842" t="s">
        <v>2687</v>
      </c>
      <c r="K842" t="s">
        <v>52</v>
      </c>
      <c r="L842">
        <v>60</v>
      </c>
      <c r="M842">
        <v>1</v>
      </c>
      <c r="N842">
        <v>0</v>
      </c>
      <c r="O842" t="s">
        <v>698</v>
      </c>
      <c r="P842" t="s">
        <v>44</v>
      </c>
      <c r="Q842" t="s">
        <v>58</v>
      </c>
      <c r="R842" t="s">
        <v>62</v>
      </c>
      <c r="S842" t="s">
        <v>30</v>
      </c>
      <c r="T842">
        <v>3</v>
      </c>
      <c r="U842" s="5">
        <v>250.52</v>
      </c>
      <c r="V842" s="5">
        <v>143.87</v>
      </c>
      <c r="W842">
        <v>4</v>
      </c>
      <c r="X842" t="s">
        <v>45</v>
      </c>
      <c r="Y842">
        <v>2025</v>
      </c>
      <c r="Z842" t="str">
        <f>TEXT(Table1[[#This Row],[Order Date]],"MMM")</f>
        <v>Jul</v>
      </c>
      <c r="AA842" s="5">
        <f>Table1[[#This Row],[Unit Price]]*Table1[[#This Row],[Quantity]]*(1-Table1[[#This Row],[Discount %]]/100)</f>
        <v>250.52</v>
      </c>
      <c r="AB842" s="5">
        <f>Table1[[#This Row],[Sales]]-Table1[[#This Row],[Cost]]</f>
        <v>106.65</v>
      </c>
    </row>
    <row r="843" spans="1:28" x14ac:dyDescent="0.3">
      <c r="A843" t="s">
        <v>2251</v>
      </c>
      <c r="B843" s="1">
        <v>46134</v>
      </c>
      <c r="C843" t="s">
        <v>2252</v>
      </c>
      <c r="D843" t="s">
        <v>3620</v>
      </c>
      <c r="E843" s="1">
        <v>46141</v>
      </c>
      <c r="F843" t="s">
        <v>29</v>
      </c>
      <c r="G843" t="s">
        <v>27</v>
      </c>
      <c r="H843" t="s">
        <v>28</v>
      </c>
      <c r="I843" t="s">
        <v>2671</v>
      </c>
      <c r="J843" t="s">
        <v>2695</v>
      </c>
      <c r="K843" t="s">
        <v>25</v>
      </c>
      <c r="L843">
        <v>54</v>
      </c>
      <c r="M843">
        <v>2</v>
      </c>
      <c r="N843">
        <v>25</v>
      </c>
      <c r="O843" t="s">
        <v>1897</v>
      </c>
      <c r="P843" t="s">
        <v>33</v>
      </c>
      <c r="Q843" t="s">
        <v>58</v>
      </c>
      <c r="R843" t="s">
        <v>62</v>
      </c>
      <c r="S843" t="s">
        <v>30</v>
      </c>
      <c r="T843">
        <v>3</v>
      </c>
      <c r="U843" s="5">
        <v>675.13</v>
      </c>
      <c r="V843" s="5">
        <v>544.86</v>
      </c>
      <c r="W843">
        <v>7</v>
      </c>
      <c r="X843" t="s">
        <v>49</v>
      </c>
      <c r="Y843">
        <v>2026</v>
      </c>
      <c r="Z843" t="str">
        <f>TEXT(Table1[[#This Row],[Order Date]],"MMM")</f>
        <v>Apr</v>
      </c>
      <c r="AA843" s="5">
        <f>Table1[[#This Row],[Unit Price]]*Table1[[#This Row],[Quantity]]*(1-Table1[[#This Row],[Discount %]]/100)</f>
        <v>1012.6949999999999</v>
      </c>
      <c r="AB843" s="5">
        <f>Table1[[#This Row],[Sales]]-Table1[[#This Row],[Cost]]</f>
        <v>467.83499999999992</v>
      </c>
    </row>
    <row r="844" spans="1:28" x14ac:dyDescent="0.3">
      <c r="A844" t="s">
        <v>2253</v>
      </c>
      <c r="B844" s="1">
        <v>46087</v>
      </c>
      <c r="C844" t="s">
        <v>2254</v>
      </c>
      <c r="D844" t="s">
        <v>3621</v>
      </c>
      <c r="E844" s="1">
        <v>46092</v>
      </c>
      <c r="F844" t="s">
        <v>140</v>
      </c>
      <c r="G844" t="s">
        <v>38</v>
      </c>
      <c r="H844" t="s">
        <v>139</v>
      </c>
      <c r="I844" t="s">
        <v>2630</v>
      </c>
      <c r="J844" t="s">
        <v>2710</v>
      </c>
      <c r="K844" t="s">
        <v>25</v>
      </c>
      <c r="L844">
        <v>24</v>
      </c>
      <c r="M844">
        <v>5</v>
      </c>
      <c r="N844">
        <v>20</v>
      </c>
      <c r="O844" t="s">
        <v>316</v>
      </c>
      <c r="P844" t="s">
        <v>44</v>
      </c>
      <c r="Q844" t="s">
        <v>70</v>
      </c>
      <c r="R844" t="s">
        <v>32</v>
      </c>
      <c r="S844" t="s">
        <v>141</v>
      </c>
      <c r="T844">
        <v>2</v>
      </c>
      <c r="U844" s="5">
        <v>970.76</v>
      </c>
      <c r="V844" s="5">
        <v>1989.74</v>
      </c>
      <c r="W844">
        <v>5</v>
      </c>
      <c r="X844" t="s">
        <v>34</v>
      </c>
      <c r="Y844">
        <v>2026</v>
      </c>
      <c r="Z844" t="str">
        <f>TEXT(Table1[[#This Row],[Order Date]],"MMM")</f>
        <v>Mar</v>
      </c>
      <c r="AA844" s="5">
        <f>Table1[[#This Row],[Unit Price]]*Table1[[#This Row],[Quantity]]*(1-Table1[[#This Row],[Discount %]]/100)</f>
        <v>3883.0400000000004</v>
      </c>
      <c r="AB844" s="5">
        <f>Table1[[#This Row],[Sales]]-Table1[[#This Row],[Cost]]</f>
        <v>1893.3000000000004</v>
      </c>
    </row>
    <row r="845" spans="1:28" x14ac:dyDescent="0.3">
      <c r="A845" t="s">
        <v>2255</v>
      </c>
      <c r="B845" s="1">
        <v>45671</v>
      </c>
      <c r="C845" t="s">
        <v>2256</v>
      </c>
      <c r="D845" t="s">
        <v>3622</v>
      </c>
      <c r="E845" s="1">
        <v>45673</v>
      </c>
      <c r="F845" t="s">
        <v>140</v>
      </c>
      <c r="G845" t="s">
        <v>38</v>
      </c>
      <c r="H845" t="s">
        <v>139</v>
      </c>
      <c r="I845" t="s">
        <v>2630</v>
      </c>
      <c r="J845" t="s">
        <v>2640</v>
      </c>
      <c r="K845" t="s">
        <v>25</v>
      </c>
      <c r="L845">
        <v>45</v>
      </c>
      <c r="M845">
        <v>1</v>
      </c>
      <c r="N845">
        <v>20</v>
      </c>
      <c r="O845" t="s">
        <v>2257</v>
      </c>
      <c r="P845" t="s">
        <v>33</v>
      </c>
      <c r="Q845" t="s">
        <v>31</v>
      </c>
      <c r="R845" t="s">
        <v>71</v>
      </c>
      <c r="S845" t="s">
        <v>141</v>
      </c>
      <c r="T845">
        <v>2</v>
      </c>
      <c r="U845" s="5">
        <v>571.15</v>
      </c>
      <c r="V845" s="5">
        <v>236.83</v>
      </c>
      <c r="W845">
        <v>2</v>
      </c>
      <c r="X845" t="s">
        <v>34</v>
      </c>
      <c r="Y845">
        <v>2025</v>
      </c>
      <c r="Z845" t="str">
        <f>TEXT(Table1[[#This Row],[Order Date]],"MMM")</f>
        <v>Jan</v>
      </c>
      <c r="AA845" s="5">
        <f>Table1[[#This Row],[Unit Price]]*Table1[[#This Row],[Quantity]]*(1-Table1[[#This Row],[Discount %]]/100)</f>
        <v>456.92</v>
      </c>
      <c r="AB845" s="5">
        <f>Table1[[#This Row],[Sales]]-Table1[[#This Row],[Cost]]</f>
        <v>220.09</v>
      </c>
    </row>
    <row r="846" spans="1:28" x14ac:dyDescent="0.3">
      <c r="A846" t="s">
        <v>2258</v>
      </c>
      <c r="B846" s="1">
        <v>46074</v>
      </c>
      <c r="C846" t="s">
        <v>2259</v>
      </c>
      <c r="D846" t="s">
        <v>3623</v>
      </c>
      <c r="E846" s="1">
        <v>46076</v>
      </c>
      <c r="F846" t="s">
        <v>122</v>
      </c>
      <c r="G846" t="s">
        <v>120</v>
      </c>
      <c r="H846" t="s">
        <v>121</v>
      </c>
      <c r="I846" t="s">
        <v>2621</v>
      </c>
      <c r="J846" t="s">
        <v>2647</v>
      </c>
      <c r="K846" t="s">
        <v>52</v>
      </c>
      <c r="L846">
        <v>47</v>
      </c>
      <c r="M846">
        <v>3</v>
      </c>
      <c r="N846">
        <v>5</v>
      </c>
      <c r="O846" t="s">
        <v>980</v>
      </c>
      <c r="P846" t="s">
        <v>75</v>
      </c>
      <c r="Q846" t="s">
        <v>70</v>
      </c>
      <c r="R846" t="s">
        <v>32</v>
      </c>
      <c r="S846" t="s">
        <v>123</v>
      </c>
      <c r="T846">
        <v>3</v>
      </c>
      <c r="U846" s="5">
        <v>391.14</v>
      </c>
      <c r="V846" s="5">
        <v>847.48</v>
      </c>
      <c r="W846">
        <v>2</v>
      </c>
      <c r="X846" t="s">
        <v>34</v>
      </c>
      <c r="Y846">
        <v>2026</v>
      </c>
      <c r="Z846" t="str">
        <f>TEXT(Table1[[#This Row],[Order Date]],"MMM")</f>
        <v>Feb</v>
      </c>
      <c r="AA846" s="5">
        <f>Table1[[#This Row],[Unit Price]]*Table1[[#This Row],[Quantity]]*(1-Table1[[#This Row],[Discount %]]/100)</f>
        <v>1114.749</v>
      </c>
      <c r="AB846" s="5">
        <f>Table1[[#This Row],[Sales]]-Table1[[#This Row],[Cost]]</f>
        <v>267.26900000000001</v>
      </c>
    </row>
    <row r="847" spans="1:28" x14ac:dyDescent="0.3">
      <c r="A847" t="s">
        <v>2260</v>
      </c>
      <c r="B847" s="1">
        <v>45978</v>
      </c>
      <c r="C847" t="s">
        <v>1067</v>
      </c>
      <c r="D847" t="s">
        <v>3624</v>
      </c>
      <c r="E847" s="1">
        <v>45982</v>
      </c>
      <c r="F847" t="s">
        <v>122</v>
      </c>
      <c r="G847" t="s">
        <v>120</v>
      </c>
      <c r="H847" t="s">
        <v>121</v>
      </c>
      <c r="I847" t="s">
        <v>2630</v>
      </c>
      <c r="J847" t="s">
        <v>2640</v>
      </c>
      <c r="K847" t="s">
        <v>52</v>
      </c>
      <c r="L847">
        <v>43</v>
      </c>
      <c r="M847">
        <v>5</v>
      </c>
      <c r="N847">
        <v>0</v>
      </c>
      <c r="O847" t="s">
        <v>2261</v>
      </c>
      <c r="P847" t="s">
        <v>33</v>
      </c>
      <c r="Q847" t="s">
        <v>70</v>
      </c>
      <c r="R847" t="s">
        <v>32</v>
      </c>
      <c r="S847" t="s">
        <v>123</v>
      </c>
      <c r="T847">
        <v>2</v>
      </c>
      <c r="U847" s="5">
        <v>124.79</v>
      </c>
      <c r="V847" s="5">
        <v>345.12</v>
      </c>
      <c r="W847">
        <v>4</v>
      </c>
      <c r="X847" t="s">
        <v>94</v>
      </c>
      <c r="Y847">
        <v>2025</v>
      </c>
      <c r="Z847" t="str">
        <f>TEXT(Table1[[#This Row],[Order Date]],"MMM")</f>
        <v>Nov</v>
      </c>
      <c r="AA847" s="5">
        <f>Table1[[#This Row],[Unit Price]]*Table1[[#This Row],[Quantity]]*(1-Table1[[#This Row],[Discount %]]/100)</f>
        <v>623.95000000000005</v>
      </c>
      <c r="AB847" s="5">
        <f>Table1[[#This Row],[Sales]]-Table1[[#This Row],[Cost]]</f>
        <v>278.83000000000004</v>
      </c>
    </row>
    <row r="848" spans="1:28" x14ac:dyDescent="0.3">
      <c r="A848" t="s">
        <v>2262</v>
      </c>
      <c r="B848" s="1">
        <v>45753</v>
      </c>
      <c r="C848" t="s">
        <v>2263</v>
      </c>
      <c r="D848" t="s">
        <v>2723</v>
      </c>
      <c r="E848" s="1">
        <v>45759</v>
      </c>
      <c r="F848" t="s">
        <v>56</v>
      </c>
      <c r="G848" t="s">
        <v>54</v>
      </c>
      <c r="H848" t="s">
        <v>55</v>
      </c>
      <c r="I848" t="s">
        <v>2664</v>
      </c>
      <c r="J848" t="s">
        <v>2678</v>
      </c>
      <c r="K848" t="s">
        <v>52</v>
      </c>
      <c r="L848">
        <v>28</v>
      </c>
      <c r="M848">
        <v>4</v>
      </c>
      <c r="N848">
        <v>10</v>
      </c>
      <c r="O848" t="s">
        <v>613</v>
      </c>
      <c r="P848" t="s">
        <v>33</v>
      </c>
      <c r="Q848" t="s">
        <v>58</v>
      </c>
      <c r="R848" t="s">
        <v>62</v>
      </c>
      <c r="S848" t="s">
        <v>57</v>
      </c>
      <c r="T848">
        <v>1</v>
      </c>
      <c r="U848" s="5">
        <v>484.61</v>
      </c>
      <c r="V848" s="5">
        <v>984.07</v>
      </c>
      <c r="W848">
        <v>6</v>
      </c>
      <c r="X848" t="s">
        <v>49</v>
      </c>
      <c r="Y848">
        <v>2025</v>
      </c>
      <c r="Z848" t="str">
        <f>TEXT(Table1[[#This Row],[Order Date]],"MMM")</f>
        <v>Apr</v>
      </c>
      <c r="AA848" s="5">
        <f>Table1[[#This Row],[Unit Price]]*Table1[[#This Row],[Quantity]]*(1-Table1[[#This Row],[Discount %]]/100)</f>
        <v>1744.596</v>
      </c>
      <c r="AB848" s="5">
        <f>Table1[[#This Row],[Sales]]-Table1[[#This Row],[Cost]]</f>
        <v>760.52599999999995</v>
      </c>
    </row>
    <row r="849" spans="1:28" x14ac:dyDescent="0.3">
      <c r="A849" t="s">
        <v>2264</v>
      </c>
      <c r="B849" s="1">
        <v>45825</v>
      </c>
      <c r="C849" t="s">
        <v>2265</v>
      </c>
      <c r="D849" t="s">
        <v>3625</v>
      </c>
      <c r="E849" s="1">
        <v>45832</v>
      </c>
      <c r="F849" t="s">
        <v>56</v>
      </c>
      <c r="G849" t="s">
        <v>54</v>
      </c>
      <c r="H849" t="s">
        <v>55</v>
      </c>
      <c r="I849" t="s">
        <v>2625</v>
      </c>
      <c r="J849" t="s">
        <v>2705</v>
      </c>
      <c r="K849" t="s">
        <v>52</v>
      </c>
      <c r="L849">
        <v>64</v>
      </c>
      <c r="M849">
        <v>1</v>
      </c>
      <c r="N849">
        <v>25</v>
      </c>
      <c r="O849" t="s">
        <v>2266</v>
      </c>
      <c r="P849" t="s">
        <v>75</v>
      </c>
      <c r="Q849" t="s">
        <v>58</v>
      </c>
      <c r="R849" t="s">
        <v>71</v>
      </c>
      <c r="S849" t="s">
        <v>57</v>
      </c>
      <c r="T849">
        <v>3</v>
      </c>
      <c r="U849" s="5">
        <v>253.2</v>
      </c>
      <c r="V849" s="5">
        <v>125.5</v>
      </c>
      <c r="W849">
        <v>7</v>
      </c>
      <c r="X849" t="s">
        <v>49</v>
      </c>
      <c r="Y849">
        <v>2025</v>
      </c>
      <c r="Z849" t="str">
        <f>TEXT(Table1[[#This Row],[Order Date]],"MMM")</f>
        <v>Jun</v>
      </c>
      <c r="AA849" s="5">
        <f>Table1[[#This Row],[Unit Price]]*Table1[[#This Row],[Quantity]]*(1-Table1[[#This Row],[Discount %]]/100)</f>
        <v>189.89999999999998</v>
      </c>
      <c r="AB849" s="5">
        <f>Table1[[#This Row],[Sales]]-Table1[[#This Row],[Cost]]</f>
        <v>64.399999999999977</v>
      </c>
    </row>
    <row r="850" spans="1:28" x14ac:dyDescent="0.3">
      <c r="A850" t="s">
        <v>2267</v>
      </c>
      <c r="B850" s="1">
        <v>45935</v>
      </c>
      <c r="C850" t="s">
        <v>2268</v>
      </c>
      <c r="D850" t="s">
        <v>2722</v>
      </c>
      <c r="E850" s="1">
        <v>45940</v>
      </c>
      <c r="F850" t="s">
        <v>68</v>
      </c>
      <c r="G850" t="s">
        <v>66</v>
      </c>
      <c r="H850" t="s">
        <v>67</v>
      </c>
      <c r="I850" t="s">
        <v>2652</v>
      </c>
      <c r="J850" t="s">
        <v>2653</v>
      </c>
      <c r="K850" t="s">
        <v>52</v>
      </c>
      <c r="L850">
        <v>23</v>
      </c>
      <c r="M850">
        <v>4</v>
      </c>
      <c r="N850">
        <v>5</v>
      </c>
      <c r="O850" t="s">
        <v>1528</v>
      </c>
      <c r="P850" t="s">
        <v>44</v>
      </c>
      <c r="Q850" t="s">
        <v>58</v>
      </c>
      <c r="R850" t="s">
        <v>71</v>
      </c>
      <c r="S850" t="s">
        <v>69</v>
      </c>
      <c r="T850">
        <v>3</v>
      </c>
      <c r="U850" s="5">
        <v>880.81</v>
      </c>
      <c r="V850" s="5">
        <v>2666.82</v>
      </c>
      <c r="W850">
        <v>5</v>
      </c>
      <c r="X850" t="s">
        <v>94</v>
      </c>
      <c r="Y850">
        <v>2025</v>
      </c>
      <c r="Z850" t="str">
        <f>TEXT(Table1[[#This Row],[Order Date]],"MMM")</f>
        <v>Oct</v>
      </c>
      <c r="AA850" s="5">
        <f>Table1[[#This Row],[Unit Price]]*Table1[[#This Row],[Quantity]]*(1-Table1[[#This Row],[Discount %]]/100)</f>
        <v>3347.0779999999995</v>
      </c>
      <c r="AB850" s="5">
        <f>Table1[[#This Row],[Sales]]-Table1[[#This Row],[Cost]]</f>
        <v>680.25799999999936</v>
      </c>
    </row>
    <row r="851" spans="1:28" x14ac:dyDescent="0.3">
      <c r="A851" t="s">
        <v>2269</v>
      </c>
      <c r="B851" s="1">
        <v>46093</v>
      </c>
      <c r="C851" t="s">
        <v>2270</v>
      </c>
      <c r="D851" t="s">
        <v>3626</v>
      </c>
      <c r="E851" s="1">
        <v>46100</v>
      </c>
      <c r="F851" t="s">
        <v>56</v>
      </c>
      <c r="G851" t="s">
        <v>54</v>
      </c>
      <c r="H851" t="s">
        <v>55</v>
      </c>
      <c r="I851" t="s">
        <v>2668</v>
      </c>
      <c r="J851" t="s">
        <v>2686</v>
      </c>
      <c r="K851" t="s">
        <v>25</v>
      </c>
      <c r="L851">
        <v>50</v>
      </c>
      <c r="M851">
        <v>4</v>
      </c>
      <c r="N851">
        <v>30</v>
      </c>
      <c r="O851" t="s">
        <v>2271</v>
      </c>
      <c r="P851" t="s">
        <v>44</v>
      </c>
      <c r="Q851" t="s">
        <v>31</v>
      </c>
      <c r="R851" t="s">
        <v>43</v>
      </c>
      <c r="S851" t="s">
        <v>57</v>
      </c>
      <c r="T851">
        <v>4</v>
      </c>
      <c r="U851" s="5">
        <v>303.17</v>
      </c>
      <c r="V851" s="5">
        <v>640.20000000000005</v>
      </c>
      <c r="W851">
        <v>7</v>
      </c>
      <c r="X851" t="s">
        <v>34</v>
      </c>
      <c r="Y851">
        <v>2026</v>
      </c>
      <c r="Z851" t="str">
        <f>TEXT(Table1[[#This Row],[Order Date]],"MMM")</f>
        <v>Mar</v>
      </c>
      <c r="AA851" s="5">
        <f>Table1[[#This Row],[Unit Price]]*Table1[[#This Row],[Quantity]]*(1-Table1[[#This Row],[Discount %]]/100)</f>
        <v>848.87599999999998</v>
      </c>
      <c r="AB851" s="5">
        <f>Table1[[#This Row],[Sales]]-Table1[[#This Row],[Cost]]</f>
        <v>208.67599999999993</v>
      </c>
    </row>
    <row r="852" spans="1:28" x14ac:dyDescent="0.3">
      <c r="A852" t="s">
        <v>2272</v>
      </c>
      <c r="B852" s="1">
        <v>46017</v>
      </c>
      <c r="C852" t="s">
        <v>2273</v>
      </c>
      <c r="D852" t="s">
        <v>3627</v>
      </c>
      <c r="E852" s="1">
        <v>46024</v>
      </c>
      <c r="F852" t="s">
        <v>40</v>
      </c>
      <c r="G852" t="s">
        <v>38</v>
      </c>
      <c r="H852" t="s">
        <v>39</v>
      </c>
      <c r="I852" t="s">
        <v>2650</v>
      </c>
      <c r="J852" t="s">
        <v>2680</v>
      </c>
      <c r="K852" t="s">
        <v>25</v>
      </c>
      <c r="L852">
        <v>50</v>
      </c>
      <c r="M852">
        <v>3</v>
      </c>
      <c r="N852">
        <v>0</v>
      </c>
      <c r="O852" t="s">
        <v>2274</v>
      </c>
      <c r="P852" t="s">
        <v>33</v>
      </c>
      <c r="Q852" t="s">
        <v>42</v>
      </c>
      <c r="R852" t="s">
        <v>62</v>
      </c>
      <c r="S852" t="s">
        <v>41</v>
      </c>
      <c r="T852">
        <v>2</v>
      </c>
      <c r="U852" s="5">
        <v>769.53</v>
      </c>
      <c r="V852" s="5">
        <v>1265.69</v>
      </c>
      <c r="W852">
        <v>7</v>
      </c>
      <c r="X852" t="s">
        <v>94</v>
      </c>
      <c r="Y852">
        <v>2025</v>
      </c>
      <c r="Z852" t="str">
        <f>TEXT(Table1[[#This Row],[Order Date]],"MMM")</f>
        <v>Dec</v>
      </c>
      <c r="AA852" s="5">
        <f>Table1[[#This Row],[Unit Price]]*Table1[[#This Row],[Quantity]]*(1-Table1[[#This Row],[Discount %]]/100)</f>
        <v>2308.59</v>
      </c>
      <c r="AB852" s="5">
        <f>Table1[[#This Row],[Sales]]-Table1[[#This Row],[Cost]]</f>
        <v>1042.9000000000001</v>
      </c>
    </row>
    <row r="853" spans="1:28" x14ac:dyDescent="0.3">
      <c r="A853" t="s">
        <v>2275</v>
      </c>
      <c r="B853" s="1">
        <v>45383</v>
      </c>
      <c r="C853" t="s">
        <v>2276</v>
      </c>
      <c r="D853" t="s">
        <v>3628</v>
      </c>
      <c r="E853" s="1">
        <v>45387</v>
      </c>
      <c r="F853" t="s">
        <v>122</v>
      </c>
      <c r="G853" t="s">
        <v>120</v>
      </c>
      <c r="H853" t="s">
        <v>121</v>
      </c>
      <c r="I853" t="s">
        <v>2621</v>
      </c>
      <c r="J853" t="s">
        <v>2622</v>
      </c>
      <c r="K853" t="s">
        <v>25</v>
      </c>
      <c r="L853">
        <v>59</v>
      </c>
      <c r="M853">
        <v>1</v>
      </c>
      <c r="N853">
        <v>30</v>
      </c>
      <c r="O853" t="s">
        <v>1093</v>
      </c>
      <c r="P853" t="s">
        <v>75</v>
      </c>
      <c r="Q853" t="s">
        <v>117</v>
      </c>
      <c r="R853" t="s">
        <v>43</v>
      </c>
      <c r="S853" t="s">
        <v>123</v>
      </c>
      <c r="T853">
        <v>4</v>
      </c>
      <c r="U853" s="5">
        <v>129.47</v>
      </c>
      <c r="V853" s="5">
        <v>72.36</v>
      </c>
      <c r="W853">
        <v>4</v>
      </c>
      <c r="X853" t="s">
        <v>49</v>
      </c>
      <c r="Y853">
        <v>2024</v>
      </c>
      <c r="Z853" t="str">
        <f>TEXT(Table1[[#This Row],[Order Date]],"MMM")</f>
        <v>Apr</v>
      </c>
      <c r="AA853" s="5">
        <f>Table1[[#This Row],[Unit Price]]*Table1[[#This Row],[Quantity]]*(1-Table1[[#This Row],[Discount %]]/100)</f>
        <v>90.628999999999991</v>
      </c>
      <c r="AB853" s="5">
        <f>Table1[[#This Row],[Sales]]-Table1[[#This Row],[Cost]]</f>
        <v>18.268999999999991</v>
      </c>
    </row>
    <row r="854" spans="1:28" x14ac:dyDescent="0.3">
      <c r="A854" t="s">
        <v>2277</v>
      </c>
      <c r="B854" s="1">
        <v>45744</v>
      </c>
      <c r="C854" t="s">
        <v>2278</v>
      </c>
      <c r="D854" t="s">
        <v>3629</v>
      </c>
      <c r="E854" s="1">
        <v>45748</v>
      </c>
      <c r="F854" t="s">
        <v>100</v>
      </c>
      <c r="G854" t="s">
        <v>98</v>
      </c>
      <c r="H854" t="s">
        <v>99</v>
      </c>
      <c r="I854" t="s">
        <v>2619</v>
      </c>
      <c r="J854" t="s">
        <v>2687</v>
      </c>
      <c r="K854" t="s">
        <v>52</v>
      </c>
      <c r="L854">
        <v>56</v>
      </c>
      <c r="M854">
        <v>2</v>
      </c>
      <c r="N854">
        <v>25</v>
      </c>
      <c r="O854" t="s">
        <v>359</v>
      </c>
      <c r="P854" t="s">
        <v>75</v>
      </c>
      <c r="Q854" t="s">
        <v>70</v>
      </c>
      <c r="R854" t="s">
        <v>32</v>
      </c>
      <c r="S854" t="s">
        <v>101</v>
      </c>
      <c r="T854">
        <v>3</v>
      </c>
      <c r="U854" s="5">
        <v>632.55999999999995</v>
      </c>
      <c r="V854" s="5">
        <v>712.9</v>
      </c>
      <c r="W854">
        <v>4</v>
      </c>
      <c r="X854" t="s">
        <v>34</v>
      </c>
      <c r="Y854">
        <v>2025</v>
      </c>
      <c r="Z854" t="str">
        <f>TEXT(Table1[[#This Row],[Order Date]],"MMM")</f>
        <v>Mar</v>
      </c>
      <c r="AA854" s="5">
        <f>Table1[[#This Row],[Unit Price]]*Table1[[#This Row],[Quantity]]*(1-Table1[[#This Row],[Discount %]]/100)</f>
        <v>948.83999999999992</v>
      </c>
      <c r="AB854" s="5">
        <f>Table1[[#This Row],[Sales]]-Table1[[#This Row],[Cost]]</f>
        <v>235.93999999999994</v>
      </c>
    </row>
    <row r="855" spans="1:28" x14ac:dyDescent="0.3">
      <c r="A855" t="s">
        <v>2279</v>
      </c>
      <c r="B855" s="1">
        <v>45612</v>
      </c>
      <c r="C855" t="s">
        <v>2280</v>
      </c>
      <c r="D855" t="s">
        <v>3630</v>
      </c>
      <c r="E855" s="1">
        <v>45614</v>
      </c>
      <c r="F855" t="s">
        <v>128</v>
      </c>
      <c r="G855" t="s">
        <v>98</v>
      </c>
      <c r="H855" t="s">
        <v>127</v>
      </c>
      <c r="I855" t="s">
        <v>2648</v>
      </c>
      <c r="J855" t="s">
        <v>2702</v>
      </c>
      <c r="K855" t="s">
        <v>25</v>
      </c>
      <c r="L855">
        <v>41</v>
      </c>
      <c r="M855">
        <v>2</v>
      </c>
      <c r="N855">
        <v>15</v>
      </c>
      <c r="O855" t="s">
        <v>2281</v>
      </c>
      <c r="P855" t="s">
        <v>33</v>
      </c>
      <c r="Q855" t="s">
        <v>42</v>
      </c>
      <c r="R855" t="s">
        <v>62</v>
      </c>
      <c r="S855" t="s">
        <v>129</v>
      </c>
      <c r="T855">
        <v>5</v>
      </c>
      <c r="U855" s="5">
        <v>849.02</v>
      </c>
      <c r="V855" s="5">
        <v>1027.22</v>
      </c>
      <c r="W855">
        <v>2</v>
      </c>
      <c r="X855" t="s">
        <v>94</v>
      </c>
      <c r="Y855">
        <v>2024</v>
      </c>
      <c r="Z855" t="str">
        <f>TEXT(Table1[[#This Row],[Order Date]],"MMM")</f>
        <v>Nov</v>
      </c>
      <c r="AA855" s="5">
        <f>Table1[[#This Row],[Unit Price]]*Table1[[#This Row],[Quantity]]*(1-Table1[[#This Row],[Discount %]]/100)</f>
        <v>1443.3339999999998</v>
      </c>
      <c r="AB855" s="5">
        <f>Table1[[#This Row],[Sales]]-Table1[[#This Row],[Cost]]</f>
        <v>416.11399999999981</v>
      </c>
    </row>
    <row r="856" spans="1:28" x14ac:dyDescent="0.3">
      <c r="A856" t="s">
        <v>2282</v>
      </c>
      <c r="B856" s="1">
        <v>45781</v>
      </c>
      <c r="C856" t="s">
        <v>2283</v>
      </c>
      <c r="D856" t="s">
        <v>3631</v>
      </c>
      <c r="E856" s="1">
        <v>45788</v>
      </c>
      <c r="F856" t="s">
        <v>140</v>
      </c>
      <c r="G856" t="s">
        <v>38</v>
      </c>
      <c r="H856" t="s">
        <v>139</v>
      </c>
      <c r="I856" t="s">
        <v>2633</v>
      </c>
      <c r="J856" t="s">
        <v>2645</v>
      </c>
      <c r="K856" t="s">
        <v>25</v>
      </c>
      <c r="L856">
        <v>27</v>
      </c>
      <c r="M856">
        <v>5</v>
      </c>
      <c r="N856">
        <v>15</v>
      </c>
      <c r="O856" t="s">
        <v>2045</v>
      </c>
      <c r="P856" t="s">
        <v>75</v>
      </c>
      <c r="Q856" t="s">
        <v>31</v>
      </c>
      <c r="R856" t="s">
        <v>32</v>
      </c>
      <c r="S856" t="s">
        <v>141</v>
      </c>
      <c r="T856">
        <v>3</v>
      </c>
      <c r="U856" s="5">
        <v>258.74</v>
      </c>
      <c r="V856" s="5">
        <v>760.35</v>
      </c>
      <c r="W856">
        <v>7</v>
      </c>
      <c r="X856" t="s">
        <v>49</v>
      </c>
      <c r="Y856">
        <v>2025</v>
      </c>
      <c r="Z856" t="str">
        <f>TEXT(Table1[[#This Row],[Order Date]],"MMM")</f>
        <v>May</v>
      </c>
      <c r="AA856" s="5">
        <f>Table1[[#This Row],[Unit Price]]*Table1[[#This Row],[Quantity]]*(1-Table1[[#This Row],[Discount %]]/100)</f>
        <v>1099.645</v>
      </c>
      <c r="AB856" s="5">
        <f>Table1[[#This Row],[Sales]]-Table1[[#This Row],[Cost]]</f>
        <v>339.29499999999996</v>
      </c>
    </row>
    <row r="857" spans="1:28" x14ac:dyDescent="0.3">
      <c r="A857" t="s">
        <v>2284</v>
      </c>
      <c r="B857" s="1">
        <v>46158</v>
      </c>
      <c r="C857" t="s">
        <v>2285</v>
      </c>
      <c r="D857" t="s">
        <v>3632</v>
      </c>
      <c r="E857" s="1">
        <v>46159</v>
      </c>
      <c r="F857" t="s">
        <v>122</v>
      </c>
      <c r="G857" t="s">
        <v>120</v>
      </c>
      <c r="H857" t="s">
        <v>121</v>
      </c>
      <c r="I857" t="s">
        <v>2664</v>
      </c>
      <c r="J857" t="s">
        <v>2678</v>
      </c>
      <c r="K857" t="s">
        <v>25</v>
      </c>
      <c r="L857">
        <v>26</v>
      </c>
      <c r="M857">
        <v>2</v>
      </c>
      <c r="N857">
        <v>20</v>
      </c>
      <c r="O857" t="s">
        <v>2286</v>
      </c>
      <c r="P857" t="s">
        <v>75</v>
      </c>
      <c r="Q857" t="s">
        <v>31</v>
      </c>
      <c r="R857" t="s">
        <v>43</v>
      </c>
      <c r="S857" t="s">
        <v>123</v>
      </c>
      <c r="T857">
        <v>2</v>
      </c>
      <c r="U857" s="5">
        <v>882.36</v>
      </c>
      <c r="V857" s="5">
        <v>961.12</v>
      </c>
      <c r="W857">
        <v>1</v>
      </c>
      <c r="X857" t="s">
        <v>49</v>
      </c>
      <c r="Y857">
        <v>2026</v>
      </c>
      <c r="Z857" t="str">
        <f>TEXT(Table1[[#This Row],[Order Date]],"MMM")</f>
        <v>May</v>
      </c>
      <c r="AA857" s="5">
        <f>Table1[[#This Row],[Unit Price]]*Table1[[#This Row],[Quantity]]*(1-Table1[[#This Row],[Discount %]]/100)</f>
        <v>1411.7760000000001</v>
      </c>
      <c r="AB857" s="5">
        <f>Table1[[#This Row],[Sales]]-Table1[[#This Row],[Cost]]</f>
        <v>450.65600000000006</v>
      </c>
    </row>
    <row r="858" spans="1:28" x14ac:dyDescent="0.3">
      <c r="A858" t="s">
        <v>2287</v>
      </c>
      <c r="B858" s="1">
        <v>46006</v>
      </c>
      <c r="C858" t="s">
        <v>2288</v>
      </c>
      <c r="D858" t="s">
        <v>3633</v>
      </c>
      <c r="E858" s="1">
        <v>46010</v>
      </c>
      <c r="F858" t="s">
        <v>29</v>
      </c>
      <c r="G858" t="s">
        <v>27</v>
      </c>
      <c r="H858" t="s">
        <v>28</v>
      </c>
      <c r="I858" t="s">
        <v>2619</v>
      </c>
      <c r="J858" t="s">
        <v>2687</v>
      </c>
      <c r="K858" t="s">
        <v>25</v>
      </c>
      <c r="L858">
        <v>58</v>
      </c>
      <c r="M858">
        <v>4</v>
      </c>
      <c r="N858">
        <v>0</v>
      </c>
      <c r="O858" t="s">
        <v>1723</v>
      </c>
      <c r="P858" t="s">
        <v>44</v>
      </c>
      <c r="Q858" t="s">
        <v>31</v>
      </c>
      <c r="R858" t="s">
        <v>32</v>
      </c>
      <c r="S858" t="s">
        <v>30</v>
      </c>
      <c r="T858">
        <v>5</v>
      </c>
      <c r="U858" s="5">
        <v>202.32</v>
      </c>
      <c r="V858" s="5">
        <v>419.93</v>
      </c>
      <c r="W858">
        <v>4</v>
      </c>
      <c r="X858" t="s">
        <v>94</v>
      </c>
      <c r="Y858">
        <v>2025</v>
      </c>
      <c r="Z858" t="str">
        <f>TEXT(Table1[[#This Row],[Order Date]],"MMM")</f>
        <v>Dec</v>
      </c>
      <c r="AA858" s="5">
        <f>Table1[[#This Row],[Unit Price]]*Table1[[#This Row],[Quantity]]*(1-Table1[[#This Row],[Discount %]]/100)</f>
        <v>809.28</v>
      </c>
      <c r="AB858" s="5">
        <f>Table1[[#This Row],[Sales]]-Table1[[#This Row],[Cost]]</f>
        <v>389.34999999999997</v>
      </c>
    </row>
    <row r="859" spans="1:28" x14ac:dyDescent="0.3">
      <c r="A859" t="s">
        <v>2289</v>
      </c>
      <c r="B859" s="1">
        <v>46115</v>
      </c>
      <c r="C859" t="s">
        <v>2290</v>
      </c>
      <c r="D859" t="s">
        <v>3634</v>
      </c>
      <c r="E859" s="1">
        <v>46116</v>
      </c>
      <c r="F859" t="s">
        <v>115</v>
      </c>
      <c r="G859" t="s">
        <v>66</v>
      </c>
      <c r="H859" t="s">
        <v>114</v>
      </c>
      <c r="I859" t="s">
        <v>2630</v>
      </c>
      <c r="J859" t="s">
        <v>2646</v>
      </c>
      <c r="K859" t="s">
        <v>52</v>
      </c>
      <c r="L859">
        <v>48</v>
      </c>
      <c r="M859">
        <v>3</v>
      </c>
      <c r="N859">
        <v>25</v>
      </c>
      <c r="O859" t="s">
        <v>2291</v>
      </c>
      <c r="P859" t="s">
        <v>33</v>
      </c>
      <c r="Q859" t="s">
        <v>42</v>
      </c>
      <c r="R859" t="s">
        <v>71</v>
      </c>
      <c r="S859" t="s">
        <v>116</v>
      </c>
      <c r="T859">
        <v>2</v>
      </c>
      <c r="U859" s="5">
        <v>391.89</v>
      </c>
      <c r="V859" s="5">
        <v>542.44000000000005</v>
      </c>
      <c r="W859">
        <v>1</v>
      </c>
      <c r="X859" t="s">
        <v>49</v>
      </c>
      <c r="Y859">
        <v>2026</v>
      </c>
      <c r="Z859" t="str">
        <f>TEXT(Table1[[#This Row],[Order Date]],"MMM")</f>
        <v>Apr</v>
      </c>
      <c r="AA859" s="5">
        <f>Table1[[#This Row],[Unit Price]]*Table1[[#This Row],[Quantity]]*(1-Table1[[#This Row],[Discount %]]/100)</f>
        <v>881.75250000000005</v>
      </c>
      <c r="AB859" s="5">
        <f>Table1[[#This Row],[Sales]]-Table1[[#This Row],[Cost]]</f>
        <v>339.3125</v>
      </c>
    </row>
    <row r="860" spans="1:28" x14ac:dyDescent="0.3">
      <c r="A860" t="s">
        <v>2292</v>
      </c>
      <c r="B860" s="1">
        <v>45363</v>
      </c>
      <c r="C860" t="s">
        <v>2293</v>
      </c>
      <c r="D860" t="s">
        <v>3635</v>
      </c>
      <c r="E860" s="1">
        <v>45364</v>
      </c>
      <c r="F860" t="s">
        <v>29</v>
      </c>
      <c r="G860" t="s">
        <v>27</v>
      </c>
      <c r="H860" t="s">
        <v>28</v>
      </c>
      <c r="I860" t="s">
        <v>2627</v>
      </c>
      <c r="J860" t="s">
        <v>2690</v>
      </c>
      <c r="K860" t="s">
        <v>25</v>
      </c>
      <c r="L860">
        <v>37</v>
      </c>
      <c r="M860">
        <v>5</v>
      </c>
      <c r="N860">
        <v>25</v>
      </c>
      <c r="O860" t="s">
        <v>2294</v>
      </c>
      <c r="P860" t="s">
        <v>33</v>
      </c>
      <c r="Q860" t="s">
        <v>42</v>
      </c>
      <c r="R860" t="s">
        <v>43</v>
      </c>
      <c r="S860" t="s">
        <v>30</v>
      </c>
      <c r="T860">
        <v>5</v>
      </c>
      <c r="U860" s="5">
        <v>609.29</v>
      </c>
      <c r="V860" s="5">
        <v>1309.47</v>
      </c>
      <c r="W860">
        <v>1</v>
      </c>
      <c r="X860" t="s">
        <v>34</v>
      </c>
      <c r="Y860">
        <v>2024</v>
      </c>
      <c r="Z860" t="str">
        <f>TEXT(Table1[[#This Row],[Order Date]],"MMM")</f>
        <v>Mar</v>
      </c>
      <c r="AA860" s="5">
        <f>Table1[[#This Row],[Unit Price]]*Table1[[#This Row],[Quantity]]*(1-Table1[[#This Row],[Discount %]]/100)</f>
        <v>2284.8374999999996</v>
      </c>
      <c r="AB860" s="5">
        <f>Table1[[#This Row],[Sales]]-Table1[[#This Row],[Cost]]</f>
        <v>975.36749999999961</v>
      </c>
    </row>
    <row r="861" spans="1:28" x14ac:dyDescent="0.3">
      <c r="A861" t="s">
        <v>2295</v>
      </c>
      <c r="B861" s="1">
        <v>45295</v>
      </c>
      <c r="C861" t="s">
        <v>2296</v>
      </c>
      <c r="D861" t="s">
        <v>3636</v>
      </c>
      <c r="E861" s="1">
        <v>45297</v>
      </c>
      <c r="F861" t="s">
        <v>68</v>
      </c>
      <c r="G861" t="s">
        <v>66</v>
      </c>
      <c r="H861" t="s">
        <v>67</v>
      </c>
      <c r="I861" t="s">
        <v>2619</v>
      </c>
      <c r="J861" t="s">
        <v>2687</v>
      </c>
      <c r="K861" t="s">
        <v>25</v>
      </c>
      <c r="L861">
        <v>43</v>
      </c>
      <c r="M861">
        <v>2</v>
      </c>
      <c r="N861">
        <v>10</v>
      </c>
      <c r="O861" t="s">
        <v>969</v>
      </c>
      <c r="P861" t="s">
        <v>33</v>
      </c>
      <c r="Q861" t="s">
        <v>42</v>
      </c>
      <c r="R861" t="s">
        <v>71</v>
      </c>
      <c r="S861" t="s">
        <v>69</v>
      </c>
      <c r="T861">
        <v>3</v>
      </c>
      <c r="U861" s="5">
        <v>349.45</v>
      </c>
      <c r="V861" s="5">
        <v>346.33</v>
      </c>
      <c r="W861">
        <v>2</v>
      </c>
      <c r="X861" t="s">
        <v>34</v>
      </c>
      <c r="Y861">
        <v>2024</v>
      </c>
      <c r="Z861" t="str">
        <f>TEXT(Table1[[#This Row],[Order Date]],"MMM")</f>
        <v>Jan</v>
      </c>
      <c r="AA861" s="5">
        <f>Table1[[#This Row],[Unit Price]]*Table1[[#This Row],[Quantity]]*(1-Table1[[#This Row],[Discount %]]/100)</f>
        <v>629.01</v>
      </c>
      <c r="AB861" s="5">
        <f>Table1[[#This Row],[Sales]]-Table1[[#This Row],[Cost]]</f>
        <v>282.68</v>
      </c>
    </row>
    <row r="862" spans="1:28" x14ac:dyDescent="0.3">
      <c r="A862" t="s">
        <v>2297</v>
      </c>
      <c r="B862" s="1">
        <v>46115</v>
      </c>
      <c r="C862" t="s">
        <v>2298</v>
      </c>
      <c r="D862" t="s">
        <v>3637</v>
      </c>
      <c r="E862" s="1">
        <v>46121</v>
      </c>
      <c r="F862" t="s">
        <v>56</v>
      </c>
      <c r="G862" t="s">
        <v>54</v>
      </c>
      <c r="H862" t="s">
        <v>55</v>
      </c>
      <c r="I862" t="s">
        <v>2629</v>
      </c>
      <c r="J862" t="s">
        <v>2691</v>
      </c>
      <c r="K862" t="s">
        <v>25</v>
      </c>
      <c r="L862">
        <v>39</v>
      </c>
      <c r="M862">
        <v>5</v>
      </c>
      <c r="N862">
        <v>25</v>
      </c>
      <c r="O862" t="s">
        <v>693</v>
      </c>
      <c r="P862" t="s">
        <v>75</v>
      </c>
      <c r="Q862" t="s">
        <v>42</v>
      </c>
      <c r="R862" t="s">
        <v>43</v>
      </c>
      <c r="S862" t="s">
        <v>57</v>
      </c>
      <c r="T862">
        <v>3</v>
      </c>
      <c r="U862" s="5">
        <v>172.66</v>
      </c>
      <c r="V862" s="5">
        <v>514.34</v>
      </c>
      <c r="W862">
        <v>6</v>
      </c>
      <c r="X862" t="s">
        <v>49</v>
      </c>
      <c r="Y862">
        <v>2026</v>
      </c>
      <c r="Z862" t="str">
        <f>TEXT(Table1[[#This Row],[Order Date]],"MMM")</f>
        <v>Apr</v>
      </c>
      <c r="AA862" s="5">
        <f>Table1[[#This Row],[Unit Price]]*Table1[[#This Row],[Quantity]]*(1-Table1[[#This Row],[Discount %]]/100)</f>
        <v>647.47499999999991</v>
      </c>
      <c r="AB862" s="5">
        <f>Table1[[#This Row],[Sales]]-Table1[[#This Row],[Cost]]</f>
        <v>133.13499999999988</v>
      </c>
    </row>
    <row r="863" spans="1:28" x14ac:dyDescent="0.3">
      <c r="A863" t="s">
        <v>2299</v>
      </c>
      <c r="B863" s="1">
        <v>45991</v>
      </c>
      <c r="C863" t="s">
        <v>2300</v>
      </c>
      <c r="D863" t="s">
        <v>3638</v>
      </c>
      <c r="E863" s="1">
        <v>45992</v>
      </c>
      <c r="F863" t="s">
        <v>56</v>
      </c>
      <c r="G863" t="s">
        <v>54</v>
      </c>
      <c r="H863" t="s">
        <v>55</v>
      </c>
      <c r="I863" t="s">
        <v>2650</v>
      </c>
      <c r="J863" t="s">
        <v>2698</v>
      </c>
      <c r="K863" t="s">
        <v>25</v>
      </c>
      <c r="L863">
        <v>35</v>
      </c>
      <c r="M863">
        <v>2</v>
      </c>
      <c r="N863">
        <v>15</v>
      </c>
      <c r="O863" t="s">
        <v>832</v>
      </c>
      <c r="P863" t="s">
        <v>44</v>
      </c>
      <c r="Q863" t="s">
        <v>70</v>
      </c>
      <c r="R863" t="s">
        <v>71</v>
      </c>
      <c r="S863" t="s">
        <v>57</v>
      </c>
      <c r="T863">
        <v>3</v>
      </c>
      <c r="U863" s="5">
        <v>905.65</v>
      </c>
      <c r="V863" s="5">
        <v>1160.08</v>
      </c>
      <c r="W863">
        <v>1</v>
      </c>
      <c r="X863" t="s">
        <v>94</v>
      </c>
      <c r="Y863">
        <v>2025</v>
      </c>
      <c r="Z863" t="str">
        <f>TEXT(Table1[[#This Row],[Order Date]],"MMM")</f>
        <v>Nov</v>
      </c>
      <c r="AA863" s="5">
        <f>Table1[[#This Row],[Unit Price]]*Table1[[#This Row],[Quantity]]*(1-Table1[[#This Row],[Discount %]]/100)</f>
        <v>1539.605</v>
      </c>
      <c r="AB863" s="5">
        <f>Table1[[#This Row],[Sales]]-Table1[[#This Row],[Cost]]</f>
        <v>379.52500000000009</v>
      </c>
    </row>
    <row r="864" spans="1:28" x14ac:dyDescent="0.3">
      <c r="A864" t="s">
        <v>2301</v>
      </c>
      <c r="B864" s="1">
        <v>45345</v>
      </c>
      <c r="C864" t="s">
        <v>2302</v>
      </c>
      <c r="D864" t="s">
        <v>3639</v>
      </c>
      <c r="E864" s="1">
        <v>45350</v>
      </c>
      <c r="F864" t="s">
        <v>29</v>
      </c>
      <c r="G864" t="s">
        <v>27</v>
      </c>
      <c r="H864" t="s">
        <v>28</v>
      </c>
      <c r="I864" t="s">
        <v>2625</v>
      </c>
      <c r="J864" t="s">
        <v>2685</v>
      </c>
      <c r="K864" t="s">
        <v>25</v>
      </c>
      <c r="L864">
        <v>33</v>
      </c>
      <c r="M864">
        <v>1</v>
      </c>
      <c r="N864">
        <v>30</v>
      </c>
      <c r="O864" t="s">
        <v>2303</v>
      </c>
      <c r="P864" t="s">
        <v>44</v>
      </c>
      <c r="Q864" t="s">
        <v>42</v>
      </c>
      <c r="R864" t="s">
        <v>32</v>
      </c>
      <c r="S864" t="s">
        <v>30</v>
      </c>
      <c r="T864">
        <v>2</v>
      </c>
      <c r="U864" s="5">
        <v>833.89</v>
      </c>
      <c r="V864" s="5">
        <v>413.64</v>
      </c>
      <c r="W864">
        <v>5</v>
      </c>
      <c r="X864" t="s">
        <v>34</v>
      </c>
      <c r="Y864">
        <v>2024</v>
      </c>
      <c r="Z864" t="str">
        <f>TEXT(Table1[[#This Row],[Order Date]],"MMM")</f>
        <v>Feb</v>
      </c>
      <c r="AA864" s="5">
        <f>Table1[[#This Row],[Unit Price]]*Table1[[#This Row],[Quantity]]*(1-Table1[[#This Row],[Discount %]]/100)</f>
        <v>583.72299999999996</v>
      </c>
      <c r="AB864" s="5">
        <f>Table1[[#This Row],[Sales]]-Table1[[#This Row],[Cost]]</f>
        <v>170.08299999999997</v>
      </c>
    </row>
    <row r="865" spans="1:28" x14ac:dyDescent="0.3">
      <c r="A865" t="s">
        <v>2304</v>
      </c>
      <c r="B865" s="1">
        <v>45793</v>
      </c>
      <c r="C865" t="s">
        <v>2305</v>
      </c>
      <c r="D865" t="s">
        <v>3640</v>
      </c>
      <c r="E865" s="1">
        <v>45798</v>
      </c>
      <c r="F865" t="s">
        <v>122</v>
      </c>
      <c r="G865" t="s">
        <v>120</v>
      </c>
      <c r="H865" t="s">
        <v>121</v>
      </c>
      <c r="I865" t="s">
        <v>2668</v>
      </c>
      <c r="J865" t="s">
        <v>2712</v>
      </c>
      <c r="K865" t="s">
        <v>25</v>
      </c>
      <c r="L865">
        <v>60</v>
      </c>
      <c r="M865">
        <v>4</v>
      </c>
      <c r="N865">
        <v>10</v>
      </c>
      <c r="O865" t="s">
        <v>832</v>
      </c>
      <c r="P865" t="s">
        <v>44</v>
      </c>
      <c r="Q865" t="s">
        <v>42</v>
      </c>
      <c r="R865" t="s">
        <v>32</v>
      </c>
      <c r="S865" t="s">
        <v>123</v>
      </c>
      <c r="T865">
        <v>2</v>
      </c>
      <c r="U865" s="5">
        <v>631.94000000000005</v>
      </c>
      <c r="V865" s="5">
        <v>1697.36</v>
      </c>
      <c r="W865">
        <v>5</v>
      </c>
      <c r="X865" t="s">
        <v>49</v>
      </c>
      <c r="Y865">
        <v>2025</v>
      </c>
      <c r="Z865" t="str">
        <f>TEXT(Table1[[#This Row],[Order Date]],"MMM")</f>
        <v>May</v>
      </c>
      <c r="AA865" s="5">
        <f>Table1[[#This Row],[Unit Price]]*Table1[[#This Row],[Quantity]]*(1-Table1[[#This Row],[Discount %]]/100)</f>
        <v>2274.9840000000004</v>
      </c>
      <c r="AB865" s="5">
        <f>Table1[[#This Row],[Sales]]-Table1[[#This Row],[Cost]]</f>
        <v>577.62400000000048</v>
      </c>
    </row>
    <row r="866" spans="1:28" x14ac:dyDescent="0.3">
      <c r="A866" t="s">
        <v>2306</v>
      </c>
      <c r="B866" s="1">
        <v>45713</v>
      </c>
      <c r="C866" t="s">
        <v>2307</v>
      </c>
      <c r="D866" t="s">
        <v>3641</v>
      </c>
      <c r="E866" s="1">
        <v>45719</v>
      </c>
      <c r="F866" t="s">
        <v>140</v>
      </c>
      <c r="G866" t="s">
        <v>38</v>
      </c>
      <c r="H866" t="s">
        <v>139</v>
      </c>
      <c r="I866" t="s">
        <v>2657</v>
      </c>
      <c r="J866" t="s">
        <v>2696</v>
      </c>
      <c r="K866" t="s">
        <v>25</v>
      </c>
      <c r="L866">
        <v>61</v>
      </c>
      <c r="M866">
        <v>3</v>
      </c>
      <c r="N866">
        <v>0</v>
      </c>
      <c r="O866" t="s">
        <v>2308</v>
      </c>
      <c r="P866" t="s">
        <v>44</v>
      </c>
      <c r="Q866" t="s">
        <v>117</v>
      </c>
      <c r="R866" t="s">
        <v>62</v>
      </c>
      <c r="S866" t="s">
        <v>141</v>
      </c>
      <c r="T866">
        <v>2</v>
      </c>
      <c r="U866" s="5">
        <v>47.77</v>
      </c>
      <c r="V866" s="5">
        <v>81.17</v>
      </c>
      <c r="W866">
        <v>6</v>
      </c>
      <c r="X866" t="s">
        <v>34</v>
      </c>
      <c r="Y866">
        <v>2025</v>
      </c>
      <c r="Z866" t="str">
        <f>TEXT(Table1[[#This Row],[Order Date]],"MMM")</f>
        <v>Feb</v>
      </c>
      <c r="AA866" s="5">
        <f>Table1[[#This Row],[Unit Price]]*Table1[[#This Row],[Quantity]]*(1-Table1[[#This Row],[Discount %]]/100)</f>
        <v>143.31</v>
      </c>
      <c r="AB866" s="5">
        <f>Table1[[#This Row],[Sales]]-Table1[[#This Row],[Cost]]</f>
        <v>62.14</v>
      </c>
    </row>
    <row r="867" spans="1:28" x14ac:dyDescent="0.3">
      <c r="A867" t="s">
        <v>2309</v>
      </c>
      <c r="B867" s="1">
        <v>45340</v>
      </c>
      <c r="C867" t="s">
        <v>2310</v>
      </c>
      <c r="D867" t="s">
        <v>3642</v>
      </c>
      <c r="E867" s="1">
        <v>45345</v>
      </c>
      <c r="F867" t="s">
        <v>29</v>
      </c>
      <c r="G867" t="s">
        <v>27</v>
      </c>
      <c r="H867" t="s">
        <v>28</v>
      </c>
      <c r="I867" t="s">
        <v>2621</v>
      </c>
      <c r="J867" t="s">
        <v>2647</v>
      </c>
      <c r="K867" t="s">
        <v>52</v>
      </c>
      <c r="L867">
        <v>32</v>
      </c>
      <c r="M867">
        <v>3</v>
      </c>
      <c r="N867">
        <v>0</v>
      </c>
      <c r="O867" t="s">
        <v>821</v>
      </c>
      <c r="P867" t="s">
        <v>75</v>
      </c>
      <c r="Q867" t="s">
        <v>31</v>
      </c>
      <c r="R867" t="s">
        <v>43</v>
      </c>
      <c r="S867" t="s">
        <v>30</v>
      </c>
      <c r="T867">
        <v>3</v>
      </c>
      <c r="U867" s="5">
        <v>97.46</v>
      </c>
      <c r="V867" s="5">
        <v>146.54</v>
      </c>
      <c r="W867">
        <v>5</v>
      </c>
      <c r="X867" t="s">
        <v>34</v>
      </c>
      <c r="Y867">
        <v>2024</v>
      </c>
      <c r="Z867" t="str">
        <f>TEXT(Table1[[#This Row],[Order Date]],"MMM")</f>
        <v>Feb</v>
      </c>
      <c r="AA867" s="5">
        <f>Table1[[#This Row],[Unit Price]]*Table1[[#This Row],[Quantity]]*(1-Table1[[#This Row],[Discount %]]/100)</f>
        <v>292.38</v>
      </c>
      <c r="AB867" s="5">
        <f>Table1[[#This Row],[Sales]]-Table1[[#This Row],[Cost]]</f>
        <v>145.84</v>
      </c>
    </row>
    <row r="868" spans="1:28" x14ac:dyDescent="0.3">
      <c r="A868" t="s">
        <v>2311</v>
      </c>
      <c r="B868" s="1">
        <v>46161</v>
      </c>
      <c r="C868" t="s">
        <v>2312</v>
      </c>
      <c r="D868" t="s">
        <v>3643</v>
      </c>
      <c r="E868" s="1">
        <v>46163</v>
      </c>
      <c r="F868" t="s">
        <v>29</v>
      </c>
      <c r="G868" t="s">
        <v>27</v>
      </c>
      <c r="H868" t="s">
        <v>28</v>
      </c>
      <c r="I868" t="s">
        <v>2625</v>
      </c>
      <c r="J868" t="s">
        <v>2626</v>
      </c>
      <c r="K868" t="s">
        <v>52</v>
      </c>
      <c r="L868">
        <v>51</v>
      </c>
      <c r="M868">
        <v>2</v>
      </c>
      <c r="N868">
        <v>10</v>
      </c>
      <c r="O868" t="s">
        <v>2313</v>
      </c>
      <c r="P868" t="s">
        <v>33</v>
      </c>
      <c r="Q868" t="s">
        <v>117</v>
      </c>
      <c r="R868" t="s">
        <v>43</v>
      </c>
      <c r="S868" t="s">
        <v>30</v>
      </c>
      <c r="T868">
        <v>3</v>
      </c>
      <c r="U868" s="5">
        <v>163.69</v>
      </c>
      <c r="V868" s="5">
        <v>213.53</v>
      </c>
      <c r="W868">
        <v>2</v>
      </c>
      <c r="X868" t="s">
        <v>49</v>
      </c>
      <c r="Y868">
        <v>2026</v>
      </c>
      <c r="Z868" t="str">
        <f>TEXT(Table1[[#This Row],[Order Date]],"MMM")</f>
        <v>May</v>
      </c>
      <c r="AA868" s="5">
        <f>Table1[[#This Row],[Unit Price]]*Table1[[#This Row],[Quantity]]*(1-Table1[[#This Row],[Discount %]]/100)</f>
        <v>294.642</v>
      </c>
      <c r="AB868" s="5">
        <f>Table1[[#This Row],[Sales]]-Table1[[#This Row],[Cost]]</f>
        <v>81.111999999999995</v>
      </c>
    </row>
    <row r="869" spans="1:28" x14ac:dyDescent="0.3">
      <c r="A869" t="s">
        <v>2314</v>
      </c>
      <c r="B869" s="1">
        <v>45860</v>
      </c>
      <c r="C869" t="s">
        <v>2315</v>
      </c>
      <c r="D869" t="s">
        <v>3644</v>
      </c>
      <c r="E869" s="1">
        <v>45864</v>
      </c>
      <c r="F869" t="s">
        <v>100</v>
      </c>
      <c r="G869" t="s">
        <v>98</v>
      </c>
      <c r="H869" t="s">
        <v>99</v>
      </c>
      <c r="I869" t="s">
        <v>2630</v>
      </c>
      <c r="J869" t="s">
        <v>2646</v>
      </c>
      <c r="K869" t="s">
        <v>52</v>
      </c>
      <c r="L869">
        <v>26</v>
      </c>
      <c r="M869">
        <v>2</v>
      </c>
      <c r="N869">
        <v>5</v>
      </c>
      <c r="O869" t="s">
        <v>693</v>
      </c>
      <c r="P869" t="s">
        <v>75</v>
      </c>
      <c r="Q869" t="s">
        <v>70</v>
      </c>
      <c r="R869" t="s">
        <v>62</v>
      </c>
      <c r="S869" t="s">
        <v>101</v>
      </c>
      <c r="T869">
        <v>2</v>
      </c>
      <c r="U869" s="5">
        <v>336.42</v>
      </c>
      <c r="V869" s="5">
        <v>454.3</v>
      </c>
      <c r="W869">
        <v>4</v>
      </c>
      <c r="X869" t="s">
        <v>45</v>
      </c>
      <c r="Y869">
        <v>2025</v>
      </c>
      <c r="Z869" t="str">
        <f>TEXT(Table1[[#This Row],[Order Date]],"MMM")</f>
        <v>Jul</v>
      </c>
      <c r="AA869" s="5">
        <f>Table1[[#This Row],[Unit Price]]*Table1[[#This Row],[Quantity]]*(1-Table1[[#This Row],[Discount %]]/100)</f>
        <v>639.19799999999998</v>
      </c>
      <c r="AB869" s="5">
        <f>Table1[[#This Row],[Sales]]-Table1[[#This Row],[Cost]]</f>
        <v>184.89799999999997</v>
      </c>
    </row>
    <row r="870" spans="1:28" x14ac:dyDescent="0.3">
      <c r="A870" t="s">
        <v>2316</v>
      </c>
      <c r="B870" s="1">
        <v>45863</v>
      </c>
      <c r="C870" t="s">
        <v>2317</v>
      </c>
      <c r="D870" t="s">
        <v>3645</v>
      </c>
      <c r="E870" s="1">
        <v>45867</v>
      </c>
      <c r="F870" t="s">
        <v>128</v>
      </c>
      <c r="G870" t="s">
        <v>98</v>
      </c>
      <c r="H870" t="s">
        <v>127</v>
      </c>
      <c r="I870" t="s">
        <v>2650</v>
      </c>
      <c r="J870" t="s">
        <v>2698</v>
      </c>
      <c r="K870" t="s">
        <v>25</v>
      </c>
      <c r="L870">
        <v>41</v>
      </c>
      <c r="M870">
        <v>2</v>
      </c>
      <c r="N870">
        <v>25</v>
      </c>
      <c r="O870" t="s">
        <v>1070</v>
      </c>
      <c r="P870" t="s">
        <v>44</v>
      </c>
      <c r="Q870" t="s">
        <v>70</v>
      </c>
      <c r="R870" t="s">
        <v>43</v>
      </c>
      <c r="S870" t="s">
        <v>129</v>
      </c>
      <c r="T870">
        <v>2</v>
      </c>
      <c r="U870" s="5">
        <v>165.57</v>
      </c>
      <c r="V870" s="5">
        <v>169.37</v>
      </c>
      <c r="W870">
        <v>4</v>
      </c>
      <c r="X870" t="s">
        <v>45</v>
      </c>
      <c r="Y870">
        <v>2025</v>
      </c>
      <c r="Z870" t="str">
        <f>TEXT(Table1[[#This Row],[Order Date]],"MMM")</f>
        <v>Jul</v>
      </c>
      <c r="AA870" s="5">
        <f>Table1[[#This Row],[Unit Price]]*Table1[[#This Row],[Quantity]]*(1-Table1[[#This Row],[Discount %]]/100)</f>
        <v>248.35499999999999</v>
      </c>
      <c r="AB870" s="5">
        <f>Table1[[#This Row],[Sales]]-Table1[[#This Row],[Cost]]</f>
        <v>78.984999999999985</v>
      </c>
    </row>
    <row r="871" spans="1:28" x14ac:dyDescent="0.3">
      <c r="A871" t="s">
        <v>2318</v>
      </c>
      <c r="B871" s="1">
        <v>45958</v>
      </c>
      <c r="C871" t="s">
        <v>2319</v>
      </c>
      <c r="D871" t="s">
        <v>3646</v>
      </c>
      <c r="E871" s="1">
        <v>45961</v>
      </c>
      <c r="F871" t="s">
        <v>29</v>
      </c>
      <c r="G871" t="s">
        <v>27</v>
      </c>
      <c r="H871" t="s">
        <v>28</v>
      </c>
      <c r="I871" t="s">
        <v>2675</v>
      </c>
      <c r="J871" t="s">
        <v>2681</v>
      </c>
      <c r="K871" t="s">
        <v>52</v>
      </c>
      <c r="L871">
        <v>59</v>
      </c>
      <c r="M871">
        <v>1</v>
      </c>
      <c r="N871">
        <v>30</v>
      </c>
      <c r="O871" t="s">
        <v>1848</v>
      </c>
      <c r="P871" t="s">
        <v>33</v>
      </c>
      <c r="Q871" t="s">
        <v>70</v>
      </c>
      <c r="R871" t="s">
        <v>43</v>
      </c>
      <c r="S871" t="s">
        <v>30</v>
      </c>
      <c r="T871">
        <v>4</v>
      </c>
      <c r="U871" s="5">
        <v>392.65</v>
      </c>
      <c r="V871" s="5">
        <v>218.78</v>
      </c>
      <c r="W871">
        <v>3</v>
      </c>
      <c r="X871" t="s">
        <v>94</v>
      </c>
      <c r="Y871">
        <v>2025</v>
      </c>
      <c r="Z871" t="str">
        <f>TEXT(Table1[[#This Row],[Order Date]],"MMM")</f>
        <v>Oct</v>
      </c>
      <c r="AA871" s="5">
        <f>Table1[[#This Row],[Unit Price]]*Table1[[#This Row],[Quantity]]*(1-Table1[[#This Row],[Discount %]]/100)</f>
        <v>274.85499999999996</v>
      </c>
      <c r="AB871" s="5">
        <f>Table1[[#This Row],[Sales]]-Table1[[#This Row],[Cost]]</f>
        <v>56.07499999999996</v>
      </c>
    </row>
    <row r="872" spans="1:28" x14ac:dyDescent="0.3">
      <c r="A872" t="s">
        <v>2320</v>
      </c>
      <c r="B872" s="1">
        <v>45750</v>
      </c>
      <c r="C872" t="s">
        <v>2321</v>
      </c>
      <c r="D872" t="s">
        <v>3647</v>
      </c>
      <c r="E872" s="1">
        <v>45753</v>
      </c>
      <c r="F872" t="s">
        <v>128</v>
      </c>
      <c r="G872" t="s">
        <v>98</v>
      </c>
      <c r="H872" t="s">
        <v>127</v>
      </c>
      <c r="I872" t="s">
        <v>2629</v>
      </c>
      <c r="J872" t="s">
        <v>2674</v>
      </c>
      <c r="K872" t="s">
        <v>52</v>
      </c>
      <c r="L872">
        <v>30</v>
      </c>
      <c r="M872">
        <v>3</v>
      </c>
      <c r="N872">
        <v>5</v>
      </c>
      <c r="O872" t="s">
        <v>2322</v>
      </c>
      <c r="P872" t="s">
        <v>44</v>
      </c>
      <c r="Q872" t="s">
        <v>70</v>
      </c>
      <c r="R872" t="s">
        <v>43</v>
      </c>
      <c r="S872" t="s">
        <v>129</v>
      </c>
      <c r="T872">
        <v>1</v>
      </c>
      <c r="U872" s="5">
        <v>483.44</v>
      </c>
      <c r="V872" s="5">
        <v>1136.78</v>
      </c>
      <c r="W872">
        <v>3</v>
      </c>
      <c r="X872" t="s">
        <v>49</v>
      </c>
      <c r="Y872">
        <v>2025</v>
      </c>
      <c r="Z872" t="str">
        <f>TEXT(Table1[[#This Row],[Order Date]],"MMM")</f>
        <v>Apr</v>
      </c>
      <c r="AA872" s="5">
        <f>Table1[[#This Row],[Unit Price]]*Table1[[#This Row],[Quantity]]*(1-Table1[[#This Row],[Discount %]]/100)</f>
        <v>1377.8039999999999</v>
      </c>
      <c r="AB872" s="5">
        <f>Table1[[#This Row],[Sales]]-Table1[[#This Row],[Cost]]</f>
        <v>241.02399999999989</v>
      </c>
    </row>
    <row r="873" spans="1:28" x14ac:dyDescent="0.3">
      <c r="A873" t="s">
        <v>2323</v>
      </c>
      <c r="B873" s="1">
        <v>45844</v>
      </c>
      <c r="C873" t="s">
        <v>2324</v>
      </c>
      <c r="D873" t="s">
        <v>3648</v>
      </c>
      <c r="E873" s="1">
        <v>45851</v>
      </c>
      <c r="F873" t="s">
        <v>140</v>
      </c>
      <c r="G873" t="s">
        <v>38</v>
      </c>
      <c r="H873" t="s">
        <v>139</v>
      </c>
      <c r="I873" t="s">
        <v>2668</v>
      </c>
      <c r="J873" t="s">
        <v>2669</v>
      </c>
      <c r="K873" t="s">
        <v>52</v>
      </c>
      <c r="L873">
        <v>56</v>
      </c>
      <c r="M873">
        <v>1</v>
      </c>
      <c r="N873">
        <v>5</v>
      </c>
      <c r="O873" t="s">
        <v>1209</v>
      </c>
      <c r="P873" t="s">
        <v>44</v>
      </c>
      <c r="Q873" t="s">
        <v>42</v>
      </c>
      <c r="R873" t="s">
        <v>43</v>
      </c>
      <c r="S873" t="s">
        <v>141</v>
      </c>
      <c r="T873">
        <v>3</v>
      </c>
      <c r="U873" s="5">
        <v>618.33000000000004</v>
      </c>
      <c r="V873" s="5">
        <v>449.77</v>
      </c>
      <c r="W873">
        <v>7</v>
      </c>
      <c r="X873" t="s">
        <v>45</v>
      </c>
      <c r="Y873">
        <v>2025</v>
      </c>
      <c r="Z873" t="str">
        <f>TEXT(Table1[[#This Row],[Order Date]],"MMM")</f>
        <v>Jul</v>
      </c>
      <c r="AA873" s="5">
        <f>Table1[[#This Row],[Unit Price]]*Table1[[#This Row],[Quantity]]*(1-Table1[[#This Row],[Discount %]]/100)</f>
        <v>587.4135</v>
      </c>
      <c r="AB873" s="5">
        <f>Table1[[#This Row],[Sales]]-Table1[[#This Row],[Cost]]</f>
        <v>137.64350000000002</v>
      </c>
    </row>
    <row r="874" spans="1:28" x14ac:dyDescent="0.3">
      <c r="A874" t="s">
        <v>2325</v>
      </c>
      <c r="B874" s="1">
        <v>46020</v>
      </c>
      <c r="C874" t="s">
        <v>2326</v>
      </c>
      <c r="D874" t="s">
        <v>3649</v>
      </c>
      <c r="E874" s="1">
        <v>46027</v>
      </c>
      <c r="F874" t="s">
        <v>100</v>
      </c>
      <c r="G874" t="s">
        <v>98</v>
      </c>
      <c r="H874" t="s">
        <v>99</v>
      </c>
      <c r="I874" t="s">
        <v>2637</v>
      </c>
      <c r="J874" t="s">
        <v>2688</v>
      </c>
      <c r="K874" t="s">
        <v>52</v>
      </c>
      <c r="L874">
        <v>58</v>
      </c>
      <c r="M874">
        <v>4</v>
      </c>
      <c r="N874">
        <v>10</v>
      </c>
      <c r="O874" t="s">
        <v>2327</v>
      </c>
      <c r="P874" t="s">
        <v>33</v>
      </c>
      <c r="Q874" t="s">
        <v>31</v>
      </c>
      <c r="R874" t="s">
        <v>43</v>
      </c>
      <c r="S874" t="s">
        <v>101</v>
      </c>
      <c r="T874">
        <v>2</v>
      </c>
      <c r="U874" s="5">
        <v>760.17</v>
      </c>
      <c r="V874" s="5">
        <v>1483.27</v>
      </c>
      <c r="W874">
        <v>7</v>
      </c>
      <c r="X874" t="s">
        <v>94</v>
      </c>
      <c r="Y874">
        <v>2025</v>
      </c>
      <c r="Z874" t="str">
        <f>TEXT(Table1[[#This Row],[Order Date]],"MMM")</f>
        <v>Dec</v>
      </c>
      <c r="AA874" s="5">
        <f>Table1[[#This Row],[Unit Price]]*Table1[[#This Row],[Quantity]]*(1-Table1[[#This Row],[Discount %]]/100)</f>
        <v>2736.6120000000001</v>
      </c>
      <c r="AB874" s="5">
        <f>Table1[[#This Row],[Sales]]-Table1[[#This Row],[Cost]]</f>
        <v>1253.3420000000001</v>
      </c>
    </row>
    <row r="875" spans="1:28" x14ac:dyDescent="0.3">
      <c r="A875" t="s">
        <v>2328</v>
      </c>
      <c r="B875" s="1">
        <v>45367</v>
      </c>
      <c r="C875" t="s">
        <v>2329</v>
      </c>
      <c r="D875" t="s">
        <v>3650</v>
      </c>
      <c r="E875" s="1">
        <v>45368</v>
      </c>
      <c r="F875" t="s">
        <v>56</v>
      </c>
      <c r="G875" t="s">
        <v>54</v>
      </c>
      <c r="H875" t="s">
        <v>55</v>
      </c>
      <c r="I875" t="s">
        <v>2618</v>
      </c>
      <c r="J875" t="s">
        <v>2618</v>
      </c>
      <c r="K875" t="s">
        <v>25</v>
      </c>
      <c r="L875">
        <v>63</v>
      </c>
      <c r="M875">
        <v>1</v>
      </c>
      <c r="N875">
        <v>30</v>
      </c>
      <c r="O875" t="s">
        <v>1250</v>
      </c>
      <c r="P875" t="s">
        <v>75</v>
      </c>
      <c r="Q875" t="s">
        <v>42</v>
      </c>
      <c r="R875" t="s">
        <v>43</v>
      </c>
      <c r="S875" t="s">
        <v>57</v>
      </c>
      <c r="T875">
        <v>4</v>
      </c>
      <c r="U875" s="5">
        <v>385.95</v>
      </c>
      <c r="V875" s="5">
        <v>223.65</v>
      </c>
      <c r="W875">
        <v>1</v>
      </c>
      <c r="X875" t="s">
        <v>34</v>
      </c>
      <c r="Y875">
        <v>2024</v>
      </c>
      <c r="Z875" t="str">
        <f>TEXT(Table1[[#This Row],[Order Date]],"MMM")</f>
        <v>Mar</v>
      </c>
      <c r="AA875" s="5">
        <f>Table1[[#This Row],[Unit Price]]*Table1[[#This Row],[Quantity]]*(1-Table1[[#This Row],[Discount %]]/100)</f>
        <v>270.16499999999996</v>
      </c>
      <c r="AB875" s="5">
        <f>Table1[[#This Row],[Sales]]-Table1[[#This Row],[Cost]]</f>
        <v>46.514999999999958</v>
      </c>
    </row>
    <row r="876" spans="1:28" x14ac:dyDescent="0.3">
      <c r="A876" t="s">
        <v>2330</v>
      </c>
      <c r="B876" s="1">
        <v>45990</v>
      </c>
      <c r="C876" t="s">
        <v>2331</v>
      </c>
      <c r="D876" t="s">
        <v>3651</v>
      </c>
      <c r="E876" s="1">
        <v>45993</v>
      </c>
      <c r="F876" t="s">
        <v>40</v>
      </c>
      <c r="G876" t="s">
        <v>38</v>
      </c>
      <c r="H876" t="s">
        <v>39</v>
      </c>
      <c r="I876" t="s">
        <v>2633</v>
      </c>
      <c r="J876" t="s">
        <v>2645</v>
      </c>
      <c r="K876" t="s">
        <v>52</v>
      </c>
      <c r="L876">
        <v>61</v>
      </c>
      <c r="M876">
        <v>5</v>
      </c>
      <c r="N876">
        <v>0</v>
      </c>
      <c r="O876" t="s">
        <v>1271</v>
      </c>
      <c r="P876" t="s">
        <v>75</v>
      </c>
      <c r="Q876" t="s">
        <v>70</v>
      </c>
      <c r="R876" t="s">
        <v>32</v>
      </c>
      <c r="S876" t="s">
        <v>41</v>
      </c>
      <c r="T876">
        <v>1</v>
      </c>
      <c r="U876" s="5">
        <v>318.04000000000002</v>
      </c>
      <c r="V876" s="5">
        <v>965.33</v>
      </c>
      <c r="W876">
        <v>3</v>
      </c>
      <c r="X876" t="s">
        <v>94</v>
      </c>
      <c r="Y876">
        <v>2025</v>
      </c>
      <c r="Z876" t="str">
        <f>TEXT(Table1[[#This Row],[Order Date]],"MMM")</f>
        <v>Nov</v>
      </c>
      <c r="AA876" s="5">
        <f>Table1[[#This Row],[Unit Price]]*Table1[[#This Row],[Quantity]]*(1-Table1[[#This Row],[Discount %]]/100)</f>
        <v>1590.2</v>
      </c>
      <c r="AB876" s="5">
        <f>Table1[[#This Row],[Sales]]-Table1[[#This Row],[Cost]]</f>
        <v>624.87</v>
      </c>
    </row>
    <row r="877" spans="1:28" x14ac:dyDescent="0.3">
      <c r="A877" t="s">
        <v>2332</v>
      </c>
      <c r="B877" s="1">
        <v>45927</v>
      </c>
      <c r="C877" t="s">
        <v>2333</v>
      </c>
      <c r="D877" t="s">
        <v>3652</v>
      </c>
      <c r="E877" s="1">
        <v>45931</v>
      </c>
      <c r="F877" t="s">
        <v>56</v>
      </c>
      <c r="G877" t="s">
        <v>54</v>
      </c>
      <c r="H877" t="s">
        <v>55</v>
      </c>
      <c r="I877" t="s">
        <v>2629</v>
      </c>
      <c r="J877" t="s">
        <v>2691</v>
      </c>
      <c r="K877" t="s">
        <v>52</v>
      </c>
      <c r="L877">
        <v>53</v>
      </c>
      <c r="M877">
        <v>2</v>
      </c>
      <c r="N877">
        <v>20</v>
      </c>
      <c r="O877" t="s">
        <v>1164</v>
      </c>
      <c r="P877" t="s">
        <v>33</v>
      </c>
      <c r="Q877" t="s">
        <v>70</v>
      </c>
      <c r="R877" t="s">
        <v>71</v>
      </c>
      <c r="S877" t="s">
        <v>57</v>
      </c>
      <c r="T877">
        <v>2</v>
      </c>
      <c r="U877" s="5">
        <v>20.100000000000001</v>
      </c>
      <c r="V877" s="5">
        <v>26.33</v>
      </c>
      <c r="W877">
        <v>4</v>
      </c>
      <c r="X877" t="s">
        <v>45</v>
      </c>
      <c r="Y877">
        <v>2025</v>
      </c>
      <c r="Z877" t="str">
        <f>TEXT(Table1[[#This Row],[Order Date]],"MMM")</f>
        <v>Sep</v>
      </c>
      <c r="AA877" s="5">
        <f>Table1[[#This Row],[Unit Price]]*Table1[[#This Row],[Quantity]]*(1-Table1[[#This Row],[Discount %]]/100)</f>
        <v>32.160000000000004</v>
      </c>
      <c r="AB877" s="5">
        <f>Table1[[#This Row],[Sales]]-Table1[[#This Row],[Cost]]</f>
        <v>5.8300000000000054</v>
      </c>
    </row>
    <row r="878" spans="1:28" x14ac:dyDescent="0.3">
      <c r="A878" t="s">
        <v>2334</v>
      </c>
      <c r="B878" s="1">
        <v>45458</v>
      </c>
      <c r="C878" t="s">
        <v>2335</v>
      </c>
      <c r="D878" t="s">
        <v>3653</v>
      </c>
      <c r="E878" s="1">
        <v>45461</v>
      </c>
      <c r="F878" t="s">
        <v>122</v>
      </c>
      <c r="G878" t="s">
        <v>120</v>
      </c>
      <c r="H878" t="s">
        <v>121</v>
      </c>
      <c r="I878" t="s">
        <v>2652</v>
      </c>
      <c r="J878" t="s">
        <v>2679</v>
      </c>
      <c r="K878" t="s">
        <v>52</v>
      </c>
      <c r="L878">
        <v>26</v>
      </c>
      <c r="M878">
        <v>2</v>
      </c>
      <c r="N878">
        <v>0</v>
      </c>
      <c r="O878" t="s">
        <v>1848</v>
      </c>
      <c r="P878" t="s">
        <v>44</v>
      </c>
      <c r="Q878" t="s">
        <v>117</v>
      </c>
      <c r="R878" t="s">
        <v>43</v>
      </c>
      <c r="S878" t="s">
        <v>123</v>
      </c>
      <c r="T878">
        <v>4</v>
      </c>
      <c r="U878" s="5">
        <v>32.49</v>
      </c>
      <c r="V878" s="5">
        <v>33.96</v>
      </c>
      <c r="W878">
        <v>3</v>
      </c>
      <c r="X878" t="s">
        <v>49</v>
      </c>
      <c r="Y878">
        <v>2024</v>
      </c>
      <c r="Z878" t="str">
        <f>TEXT(Table1[[#This Row],[Order Date]],"MMM")</f>
        <v>Jun</v>
      </c>
      <c r="AA878" s="5">
        <f>Table1[[#This Row],[Unit Price]]*Table1[[#This Row],[Quantity]]*(1-Table1[[#This Row],[Discount %]]/100)</f>
        <v>64.98</v>
      </c>
      <c r="AB878" s="5">
        <f>Table1[[#This Row],[Sales]]-Table1[[#This Row],[Cost]]</f>
        <v>31.020000000000003</v>
      </c>
    </row>
    <row r="879" spans="1:28" x14ac:dyDescent="0.3">
      <c r="A879" t="s">
        <v>2336</v>
      </c>
      <c r="B879" s="1">
        <v>46088</v>
      </c>
      <c r="C879" t="s">
        <v>2337</v>
      </c>
      <c r="D879" t="s">
        <v>3654</v>
      </c>
      <c r="E879" s="1">
        <v>46092</v>
      </c>
      <c r="F879" t="s">
        <v>140</v>
      </c>
      <c r="G879" t="s">
        <v>38</v>
      </c>
      <c r="H879" t="s">
        <v>139</v>
      </c>
      <c r="I879" t="s">
        <v>2627</v>
      </c>
      <c r="J879" t="s">
        <v>2690</v>
      </c>
      <c r="K879" t="s">
        <v>25</v>
      </c>
      <c r="L879">
        <v>55</v>
      </c>
      <c r="M879">
        <v>1</v>
      </c>
      <c r="N879">
        <v>15</v>
      </c>
      <c r="O879" t="s">
        <v>2338</v>
      </c>
      <c r="P879" t="s">
        <v>44</v>
      </c>
      <c r="Q879" t="s">
        <v>117</v>
      </c>
      <c r="R879" t="s">
        <v>32</v>
      </c>
      <c r="S879" t="s">
        <v>141</v>
      </c>
      <c r="T879">
        <v>4</v>
      </c>
      <c r="U879" s="5">
        <v>569.91999999999996</v>
      </c>
      <c r="V879" s="5">
        <v>289.02</v>
      </c>
      <c r="W879">
        <v>4</v>
      </c>
      <c r="X879" t="s">
        <v>34</v>
      </c>
      <c r="Y879">
        <v>2026</v>
      </c>
      <c r="Z879" t="str">
        <f>TEXT(Table1[[#This Row],[Order Date]],"MMM")</f>
        <v>Mar</v>
      </c>
      <c r="AA879" s="5">
        <f>Table1[[#This Row],[Unit Price]]*Table1[[#This Row],[Quantity]]*(1-Table1[[#This Row],[Discount %]]/100)</f>
        <v>484.43199999999996</v>
      </c>
      <c r="AB879" s="5">
        <f>Table1[[#This Row],[Sales]]-Table1[[#This Row],[Cost]]</f>
        <v>195.41199999999998</v>
      </c>
    </row>
    <row r="880" spans="1:28" x14ac:dyDescent="0.3">
      <c r="A880" t="s">
        <v>2339</v>
      </c>
      <c r="B880" s="1">
        <v>45517</v>
      </c>
      <c r="C880" t="s">
        <v>2340</v>
      </c>
      <c r="D880" t="s">
        <v>3655</v>
      </c>
      <c r="E880" s="1">
        <v>45523</v>
      </c>
      <c r="F880" t="s">
        <v>128</v>
      </c>
      <c r="G880" t="s">
        <v>98</v>
      </c>
      <c r="H880" t="s">
        <v>127</v>
      </c>
      <c r="I880" t="s">
        <v>2623</v>
      </c>
      <c r="J880" t="s">
        <v>2713</v>
      </c>
      <c r="K880" t="s">
        <v>25</v>
      </c>
      <c r="L880">
        <v>35</v>
      </c>
      <c r="M880">
        <v>1</v>
      </c>
      <c r="N880">
        <v>10</v>
      </c>
      <c r="O880" t="s">
        <v>2341</v>
      </c>
      <c r="P880" t="s">
        <v>44</v>
      </c>
      <c r="Q880" t="s">
        <v>31</v>
      </c>
      <c r="R880" t="s">
        <v>62</v>
      </c>
      <c r="S880" t="s">
        <v>129</v>
      </c>
      <c r="T880">
        <v>4</v>
      </c>
      <c r="U880" s="5">
        <v>759.44</v>
      </c>
      <c r="V880" s="5">
        <v>500.36</v>
      </c>
      <c r="W880">
        <v>6</v>
      </c>
      <c r="X880" t="s">
        <v>45</v>
      </c>
      <c r="Y880">
        <v>2024</v>
      </c>
      <c r="Z880" t="str">
        <f>TEXT(Table1[[#This Row],[Order Date]],"MMM")</f>
        <v>Aug</v>
      </c>
      <c r="AA880" s="5">
        <f>Table1[[#This Row],[Unit Price]]*Table1[[#This Row],[Quantity]]*(1-Table1[[#This Row],[Discount %]]/100)</f>
        <v>683.49600000000009</v>
      </c>
      <c r="AB880" s="5">
        <f>Table1[[#This Row],[Sales]]-Table1[[#This Row],[Cost]]</f>
        <v>183.13600000000008</v>
      </c>
    </row>
    <row r="881" spans="1:28" x14ac:dyDescent="0.3">
      <c r="A881" t="s">
        <v>2342</v>
      </c>
      <c r="B881" s="1">
        <v>46091</v>
      </c>
      <c r="C881" t="s">
        <v>1890</v>
      </c>
      <c r="D881" t="s">
        <v>3656</v>
      </c>
      <c r="E881" s="1">
        <v>46093</v>
      </c>
      <c r="F881" t="s">
        <v>56</v>
      </c>
      <c r="G881" t="s">
        <v>54</v>
      </c>
      <c r="H881" t="s">
        <v>55</v>
      </c>
      <c r="I881" t="s">
        <v>2675</v>
      </c>
      <c r="J881" t="s">
        <v>2676</v>
      </c>
      <c r="K881" t="s">
        <v>25</v>
      </c>
      <c r="L881">
        <v>50</v>
      </c>
      <c r="M881">
        <v>2</v>
      </c>
      <c r="N881">
        <v>15</v>
      </c>
      <c r="O881" t="s">
        <v>2343</v>
      </c>
      <c r="P881" t="s">
        <v>44</v>
      </c>
      <c r="Q881" t="s">
        <v>70</v>
      </c>
      <c r="R881" t="s">
        <v>32</v>
      </c>
      <c r="S881" t="s">
        <v>57</v>
      </c>
      <c r="T881">
        <v>3</v>
      </c>
      <c r="U881" s="5">
        <v>839.31</v>
      </c>
      <c r="V881" s="5">
        <v>1164.76</v>
      </c>
      <c r="W881">
        <v>2</v>
      </c>
      <c r="X881" t="s">
        <v>34</v>
      </c>
      <c r="Y881">
        <v>2026</v>
      </c>
      <c r="Z881" t="str">
        <f>TEXT(Table1[[#This Row],[Order Date]],"MMM")</f>
        <v>Mar</v>
      </c>
      <c r="AA881" s="5">
        <f>Table1[[#This Row],[Unit Price]]*Table1[[#This Row],[Quantity]]*(1-Table1[[#This Row],[Discount %]]/100)</f>
        <v>1426.8269999999998</v>
      </c>
      <c r="AB881" s="5">
        <f>Table1[[#This Row],[Sales]]-Table1[[#This Row],[Cost]]</f>
        <v>262.06699999999978</v>
      </c>
    </row>
    <row r="882" spans="1:28" x14ac:dyDescent="0.3">
      <c r="A882" t="s">
        <v>2344</v>
      </c>
      <c r="B882" s="1">
        <v>45463</v>
      </c>
      <c r="C882" t="s">
        <v>2345</v>
      </c>
      <c r="D882" t="s">
        <v>3657</v>
      </c>
      <c r="E882" s="1">
        <v>45468</v>
      </c>
      <c r="F882" t="s">
        <v>100</v>
      </c>
      <c r="G882" t="s">
        <v>98</v>
      </c>
      <c r="H882" t="s">
        <v>99</v>
      </c>
      <c r="I882" t="s">
        <v>2621</v>
      </c>
      <c r="J882" t="s">
        <v>2699</v>
      </c>
      <c r="K882" t="s">
        <v>25</v>
      </c>
      <c r="L882">
        <v>21</v>
      </c>
      <c r="M882">
        <v>4</v>
      </c>
      <c r="N882">
        <v>30</v>
      </c>
      <c r="O882" t="s">
        <v>382</v>
      </c>
      <c r="P882" t="s">
        <v>75</v>
      </c>
      <c r="Q882" t="s">
        <v>42</v>
      </c>
      <c r="R882" t="s">
        <v>43</v>
      </c>
      <c r="S882" t="s">
        <v>101</v>
      </c>
      <c r="T882">
        <v>3</v>
      </c>
      <c r="U882" s="5">
        <v>377.03</v>
      </c>
      <c r="V882" s="5">
        <v>644.16</v>
      </c>
      <c r="W882">
        <v>5</v>
      </c>
      <c r="X882" t="s">
        <v>49</v>
      </c>
      <c r="Y882">
        <v>2024</v>
      </c>
      <c r="Z882" t="str">
        <f>TEXT(Table1[[#This Row],[Order Date]],"MMM")</f>
        <v>Jun</v>
      </c>
      <c r="AA882" s="5">
        <f>Table1[[#This Row],[Unit Price]]*Table1[[#This Row],[Quantity]]*(1-Table1[[#This Row],[Discount %]]/100)</f>
        <v>1055.684</v>
      </c>
      <c r="AB882" s="5">
        <f>Table1[[#This Row],[Sales]]-Table1[[#This Row],[Cost]]</f>
        <v>411.524</v>
      </c>
    </row>
    <row r="883" spans="1:28" x14ac:dyDescent="0.3">
      <c r="A883" t="s">
        <v>2346</v>
      </c>
      <c r="B883" s="1">
        <v>45491</v>
      </c>
      <c r="C883" t="s">
        <v>536</v>
      </c>
      <c r="D883" t="s">
        <v>3658</v>
      </c>
      <c r="E883" s="1">
        <v>45496</v>
      </c>
      <c r="F883" t="s">
        <v>122</v>
      </c>
      <c r="G883" t="s">
        <v>120</v>
      </c>
      <c r="H883" t="s">
        <v>121</v>
      </c>
      <c r="I883" t="s">
        <v>2625</v>
      </c>
      <c r="J883" t="s">
        <v>2626</v>
      </c>
      <c r="K883" t="s">
        <v>52</v>
      </c>
      <c r="L883">
        <v>21</v>
      </c>
      <c r="M883">
        <v>5</v>
      </c>
      <c r="N883">
        <v>10</v>
      </c>
      <c r="O883" t="s">
        <v>198</v>
      </c>
      <c r="P883" t="s">
        <v>44</v>
      </c>
      <c r="Q883" t="s">
        <v>117</v>
      </c>
      <c r="R883" t="s">
        <v>71</v>
      </c>
      <c r="S883" t="s">
        <v>123</v>
      </c>
      <c r="T883">
        <v>5</v>
      </c>
      <c r="U883" s="5">
        <v>330.68</v>
      </c>
      <c r="V883" s="5">
        <v>803.19</v>
      </c>
      <c r="W883">
        <v>5</v>
      </c>
      <c r="X883" t="s">
        <v>45</v>
      </c>
      <c r="Y883">
        <v>2024</v>
      </c>
      <c r="Z883" t="str">
        <f>TEXT(Table1[[#This Row],[Order Date]],"MMM")</f>
        <v>Jul</v>
      </c>
      <c r="AA883" s="5">
        <f>Table1[[#This Row],[Unit Price]]*Table1[[#This Row],[Quantity]]*(1-Table1[[#This Row],[Discount %]]/100)</f>
        <v>1488.0600000000002</v>
      </c>
      <c r="AB883" s="5">
        <f>Table1[[#This Row],[Sales]]-Table1[[#This Row],[Cost]]</f>
        <v>684.87000000000012</v>
      </c>
    </row>
    <row r="884" spans="1:28" x14ac:dyDescent="0.3">
      <c r="A884" t="s">
        <v>2347</v>
      </c>
      <c r="B884" s="1">
        <v>45520</v>
      </c>
      <c r="C884" t="s">
        <v>2348</v>
      </c>
      <c r="D884" t="s">
        <v>3659</v>
      </c>
      <c r="E884" s="1">
        <v>45523</v>
      </c>
      <c r="F884" t="s">
        <v>140</v>
      </c>
      <c r="G884" t="s">
        <v>38</v>
      </c>
      <c r="H884" t="s">
        <v>139</v>
      </c>
      <c r="I884" t="s">
        <v>2618</v>
      </c>
      <c r="J884" t="s">
        <v>2682</v>
      </c>
      <c r="K884" t="s">
        <v>52</v>
      </c>
      <c r="L884">
        <v>19</v>
      </c>
      <c r="M884">
        <v>5</v>
      </c>
      <c r="N884">
        <v>20</v>
      </c>
      <c r="O884" t="s">
        <v>264</v>
      </c>
      <c r="P884" t="s">
        <v>44</v>
      </c>
      <c r="Q884" t="s">
        <v>70</v>
      </c>
      <c r="R884" t="s">
        <v>62</v>
      </c>
      <c r="S884" t="s">
        <v>141</v>
      </c>
      <c r="T884">
        <v>2</v>
      </c>
      <c r="U884" s="5">
        <v>466.54</v>
      </c>
      <c r="V884" s="5">
        <v>1553.81</v>
      </c>
      <c r="W884">
        <v>3</v>
      </c>
      <c r="X884" t="s">
        <v>45</v>
      </c>
      <c r="Y884">
        <v>2024</v>
      </c>
      <c r="Z884" t="str">
        <f>TEXT(Table1[[#This Row],[Order Date]],"MMM")</f>
        <v>Aug</v>
      </c>
      <c r="AA884" s="5">
        <f>Table1[[#This Row],[Unit Price]]*Table1[[#This Row],[Quantity]]*(1-Table1[[#This Row],[Discount %]]/100)</f>
        <v>1866.1600000000003</v>
      </c>
      <c r="AB884" s="5">
        <f>Table1[[#This Row],[Sales]]-Table1[[#This Row],[Cost]]</f>
        <v>312.35000000000036</v>
      </c>
    </row>
    <row r="885" spans="1:28" x14ac:dyDescent="0.3">
      <c r="A885" t="s">
        <v>2349</v>
      </c>
      <c r="B885" s="1">
        <v>45986</v>
      </c>
      <c r="C885" t="s">
        <v>2350</v>
      </c>
      <c r="D885" t="s">
        <v>3660</v>
      </c>
      <c r="E885" s="1">
        <v>45993</v>
      </c>
      <c r="F885" t="s">
        <v>140</v>
      </c>
      <c r="G885" t="s">
        <v>38</v>
      </c>
      <c r="H885" t="s">
        <v>139</v>
      </c>
      <c r="I885" t="s">
        <v>2664</v>
      </c>
      <c r="J885" t="s">
        <v>2665</v>
      </c>
      <c r="K885" t="s">
        <v>25</v>
      </c>
      <c r="L885">
        <v>64</v>
      </c>
      <c r="M885">
        <v>1</v>
      </c>
      <c r="N885">
        <v>25</v>
      </c>
      <c r="O885" t="s">
        <v>2351</v>
      </c>
      <c r="P885" t="s">
        <v>33</v>
      </c>
      <c r="Q885" t="s">
        <v>42</v>
      </c>
      <c r="R885" t="s">
        <v>43</v>
      </c>
      <c r="S885" t="s">
        <v>141</v>
      </c>
      <c r="T885">
        <v>5</v>
      </c>
      <c r="U885" s="5">
        <v>410.52</v>
      </c>
      <c r="V885" s="5">
        <v>173.45</v>
      </c>
      <c r="W885">
        <v>7</v>
      </c>
      <c r="X885" t="s">
        <v>94</v>
      </c>
      <c r="Y885">
        <v>2025</v>
      </c>
      <c r="Z885" t="str">
        <f>TEXT(Table1[[#This Row],[Order Date]],"MMM")</f>
        <v>Nov</v>
      </c>
      <c r="AA885" s="5">
        <f>Table1[[#This Row],[Unit Price]]*Table1[[#This Row],[Quantity]]*(1-Table1[[#This Row],[Discount %]]/100)</f>
        <v>307.89</v>
      </c>
      <c r="AB885" s="5">
        <f>Table1[[#This Row],[Sales]]-Table1[[#This Row],[Cost]]</f>
        <v>134.44</v>
      </c>
    </row>
    <row r="886" spans="1:28" x14ac:dyDescent="0.3">
      <c r="A886" t="s">
        <v>2352</v>
      </c>
      <c r="B886" s="1">
        <v>45821</v>
      </c>
      <c r="C886" t="s">
        <v>2353</v>
      </c>
      <c r="D886" t="s">
        <v>3661</v>
      </c>
      <c r="E886" s="1">
        <v>45824</v>
      </c>
      <c r="F886" t="s">
        <v>68</v>
      </c>
      <c r="G886" t="s">
        <v>66</v>
      </c>
      <c r="H886" t="s">
        <v>67</v>
      </c>
      <c r="I886" t="s">
        <v>2661</v>
      </c>
      <c r="J886" t="s">
        <v>2662</v>
      </c>
      <c r="K886" t="s">
        <v>52</v>
      </c>
      <c r="L886">
        <v>45</v>
      </c>
      <c r="M886">
        <v>2</v>
      </c>
      <c r="N886">
        <v>25</v>
      </c>
      <c r="O886" t="s">
        <v>2354</v>
      </c>
      <c r="P886" t="s">
        <v>44</v>
      </c>
      <c r="Q886" t="s">
        <v>70</v>
      </c>
      <c r="R886" t="s">
        <v>71</v>
      </c>
      <c r="S886" t="s">
        <v>69</v>
      </c>
      <c r="T886">
        <v>3</v>
      </c>
      <c r="U886" s="5">
        <v>33.08</v>
      </c>
      <c r="V886" s="5">
        <v>33.93</v>
      </c>
      <c r="W886">
        <v>3</v>
      </c>
      <c r="X886" t="s">
        <v>49</v>
      </c>
      <c r="Y886">
        <v>2025</v>
      </c>
      <c r="Z886" t="str">
        <f>TEXT(Table1[[#This Row],[Order Date]],"MMM")</f>
        <v>Jun</v>
      </c>
      <c r="AA886" s="5">
        <f>Table1[[#This Row],[Unit Price]]*Table1[[#This Row],[Quantity]]*(1-Table1[[#This Row],[Discount %]]/100)</f>
        <v>49.62</v>
      </c>
      <c r="AB886" s="5">
        <f>Table1[[#This Row],[Sales]]-Table1[[#This Row],[Cost]]</f>
        <v>15.689999999999998</v>
      </c>
    </row>
    <row r="887" spans="1:28" x14ac:dyDescent="0.3">
      <c r="A887" t="s">
        <v>2355</v>
      </c>
      <c r="B887" s="1">
        <v>45835</v>
      </c>
      <c r="C887" t="s">
        <v>2356</v>
      </c>
      <c r="D887" t="s">
        <v>3662</v>
      </c>
      <c r="E887" s="1">
        <v>45840</v>
      </c>
      <c r="F887" t="s">
        <v>122</v>
      </c>
      <c r="G887" t="s">
        <v>120</v>
      </c>
      <c r="H887" t="s">
        <v>121</v>
      </c>
      <c r="I887" t="s">
        <v>2671</v>
      </c>
      <c r="J887" t="s">
        <v>2695</v>
      </c>
      <c r="K887" t="s">
        <v>25</v>
      </c>
      <c r="L887">
        <v>44</v>
      </c>
      <c r="M887">
        <v>5</v>
      </c>
      <c r="N887">
        <v>5</v>
      </c>
      <c r="O887" t="s">
        <v>2357</v>
      </c>
      <c r="P887" t="s">
        <v>33</v>
      </c>
      <c r="Q887" t="s">
        <v>58</v>
      </c>
      <c r="R887" t="s">
        <v>62</v>
      </c>
      <c r="S887" t="s">
        <v>123</v>
      </c>
      <c r="T887">
        <v>2</v>
      </c>
      <c r="U887" s="5">
        <v>686.49</v>
      </c>
      <c r="V887" s="5">
        <v>1882.32</v>
      </c>
      <c r="W887">
        <v>5</v>
      </c>
      <c r="X887" t="s">
        <v>49</v>
      </c>
      <c r="Y887">
        <v>2025</v>
      </c>
      <c r="Z887" t="str">
        <f>TEXT(Table1[[#This Row],[Order Date]],"MMM")</f>
        <v>Jun</v>
      </c>
      <c r="AA887" s="5">
        <f>Table1[[#This Row],[Unit Price]]*Table1[[#This Row],[Quantity]]*(1-Table1[[#This Row],[Discount %]]/100)</f>
        <v>3260.8274999999999</v>
      </c>
      <c r="AB887" s="5">
        <f>Table1[[#This Row],[Sales]]-Table1[[#This Row],[Cost]]</f>
        <v>1378.5074999999999</v>
      </c>
    </row>
    <row r="888" spans="1:28" x14ac:dyDescent="0.3">
      <c r="A888" t="s">
        <v>2358</v>
      </c>
      <c r="B888" s="1">
        <v>46083</v>
      </c>
      <c r="C888" t="s">
        <v>2359</v>
      </c>
      <c r="D888" t="s">
        <v>3663</v>
      </c>
      <c r="E888" s="1">
        <v>46086</v>
      </c>
      <c r="F888" t="s">
        <v>29</v>
      </c>
      <c r="G888" t="s">
        <v>27</v>
      </c>
      <c r="H888" t="s">
        <v>28</v>
      </c>
      <c r="I888" t="s">
        <v>2657</v>
      </c>
      <c r="J888" t="s">
        <v>2658</v>
      </c>
      <c r="K888" t="s">
        <v>52</v>
      </c>
      <c r="L888">
        <v>40</v>
      </c>
      <c r="M888">
        <v>2</v>
      </c>
      <c r="N888">
        <v>0</v>
      </c>
      <c r="O888" t="s">
        <v>2360</v>
      </c>
      <c r="P888" t="s">
        <v>33</v>
      </c>
      <c r="Q888" t="s">
        <v>31</v>
      </c>
      <c r="R888" t="s">
        <v>62</v>
      </c>
      <c r="S888" t="s">
        <v>30</v>
      </c>
      <c r="T888">
        <v>5</v>
      </c>
      <c r="U888" s="5">
        <v>183.67</v>
      </c>
      <c r="V888" s="5">
        <v>303.39999999999998</v>
      </c>
      <c r="W888">
        <v>3</v>
      </c>
      <c r="X888" t="s">
        <v>34</v>
      </c>
      <c r="Y888">
        <v>2026</v>
      </c>
      <c r="Z888" t="str">
        <f>TEXT(Table1[[#This Row],[Order Date]],"MMM")</f>
        <v>Mar</v>
      </c>
      <c r="AA888" s="5">
        <f>Table1[[#This Row],[Unit Price]]*Table1[[#This Row],[Quantity]]*(1-Table1[[#This Row],[Discount %]]/100)</f>
        <v>367.34</v>
      </c>
      <c r="AB888" s="5">
        <f>Table1[[#This Row],[Sales]]-Table1[[#This Row],[Cost]]</f>
        <v>63.94</v>
      </c>
    </row>
    <row r="889" spans="1:28" x14ac:dyDescent="0.3">
      <c r="A889" t="s">
        <v>2361</v>
      </c>
      <c r="B889" s="1">
        <v>46162</v>
      </c>
      <c r="C889" t="s">
        <v>2362</v>
      </c>
      <c r="D889" t="s">
        <v>3664</v>
      </c>
      <c r="E889" s="1">
        <v>46163</v>
      </c>
      <c r="F889" t="s">
        <v>122</v>
      </c>
      <c r="G889" t="s">
        <v>120</v>
      </c>
      <c r="H889" t="s">
        <v>121</v>
      </c>
      <c r="I889" t="s">
        <v>2664</v>
      </c>
      <c r="J889" t="s">
        <v>2665</v>
      </c>
      <c r="K889" t="s">
        <v>52</v>
      </c>
      <c r="L889">
        <v>30</v>
      </c>
      <c r="M889">
        <v>1</v>
      </c>
      <c r="N889">
        <v>10</v>
      </c>
      <c r="O889" t="s">
        <v>2363</v>
      </c>
      <c r="P889" t="s">
        <v>44</v>
      </c>
      <c r="Q889" t="s">
        <v>58</v>
      </c>
      <c r="R889" t="s">
        <v>43</v>
      </c>
      <c r="S889" t="s">
        <v>123</v>
      </c>
      <c r="T889">
        <v>1</v>
      </c>
      <c r="U889" s="5">
        <v>868.73</v>
      </c>
      <c r="V889" s="5">
        <v>405.51</v>
      </c>
      <c r="W889">
        <v>1</v>
      </c>
      <c r="X889" t="s">
        <v>49</v>
      </c>
      <c r="Y889">
        <v>2026</v>
      </c>
      <c r="Z889" t="str">
        <f>TEXT(Table1[[#This Row],[Order Date]],"MMM")</f>
        <v>May</v>
      </c>
      <c r="AA889" s="5">
        <f>Table1[[#This Row],[Unit Price]]*Table1[[#This Row],[Quantity]]*(1-Table1[[#This Row],[Discount %]]/100)</f>
        <v>781.85700000000008</v>
      </c>
      <c r="AB889" s="5">
        <f>Table1[[#This Row],[Sales]]-Table1[[#This Row],[Cost]]</f>
        <v>376.34700000000009</v>
      </c>
    </row>
    <row r="890" spans="1:28" x14ac:dyDescent="0.3">
      <c r="A890" t="s">
        <v>2364</v>
      </c>
      <c r="B890" s="1">
        <v>46192</v>
      </c>
      <c r="C890" t="s">
        <v>2365</v>
      </c>
      <c r="D890" t="s">
        <v>3665</v>
      </c>
      <c r="E890" s="1">
        <v>46197</v>
      </c>
      <c r="F890" t="s">
        <v>122</v>
      </c>
      <c r="G890" t="s">
        <v>120</v>
      </c>
      <c r="H890" t="s">
        <v>121</v>
      </c>
      <c r="I890" t="s">
        <v>2675</v>
      </c>
      <c r="J890" t="s">
        <v>2676</v>
      </c>
      <c r="K890" t="s">
        <v>52</v>
      </c>
      <c r="L890">
        <v>25</v>
      </c>
      <c r="M890">
        <v>4</v>
      </c>
      <c r="N890">
        <v>20</v>
      </c>
      <c r="O890" t="s">
        <v>209</v>
      </c>
      <c r="P890" t="s">
        <v>33</v>
      </c>
      <c r="Q890" t="s">
        <v>70</v>
      </c>
      <c r="R890" t="s">
        <v>32</v>
      </c>
      <c r="S890" t="s">
        <v>123</v>
      </c>
      <c r="T890">
        <v>3</v>
      </c>
      <c r="U890" s="5">
        <v>609.62</v>
      </c>
      <c r="V890" s="5">
        <v>1096.9000000000001</v>
      </c>
      <c r="W890">
        <v>5</v>
      </c>
      <c r="X890" t="s">
        <v>49</v>
      </c>
      <c r="Y890">
        <v>2026</v>
      </c>
      <c r="Z890" t="str">
        <f>TEXT(Table1[[#This Row],[Order Date]],"MMM")</f>
        <v>Jun</v>
      </c>
      <c r="AA890" s="5">
        <f>Table1[[#This Row],[Unit Price]]*Table1[[#This Row],[Quantity]]*(1-Table1[[#This Row],[Discount %]]/100)</f>
        <v>1950.7840000000001</v>
      </c>
      <c r="AB890" s="5">
        <f>Table1[[#This Row],[Sales]]-Table1[[#This Row],[Cost]]</f>
        <v>853.88400000000001</v>
      </c>
    </row>
    <row r="891" spans="1:28" x14ac:dyDescent="0.3">
      <c r="A891" t="s">
        <v>2366</v>
      </c>
      <c r="B891" s="1">
        <v>45528</v>
      </c>
      <c r="C891" t="s">
        <v>2367</v>
      </c>
      <c r="D891" t="s">
        <v>3666</v>
      </c>
      <c r="E891" s="1">
        <v>45533</v>
      </c>
      <c r="F891" t="s">
        <v>56</v>
      </c>
      <c r="G891" t="s">
        <v>54</v>
      </c>
      <c r="H891" t="s">
        <v>55</v>
      </c>
      <c r="I891" t="s">
        <v>2643</v>
      </c>
      <c r="J891" t="s">
        <v>2654</v>
      </c>
      <c r="K891" t="s">
        <v>52</v>
      </c>
      <c r="L891">
        <v>36</v>
      </c>
      <c r="M891">
        <v>4</v>
      </c>
      <c r="N891">
        <v>30</v>
      </c>
      <c r="O891" t="s">
        <v>1193</v>
      </c>
      <c r="P891" t="s">
        <v>75</v>
      </c>
      <c r="Q891" t="s">
        <v>58</v>
      </c>
      <c r="R891" t="s">
        <v>71</v>
      </c>
      <c r="S891" t="s">
        <v>57</v>
      </c>
      <c r="T891">
        <v>3</v>
      </c>
      <c r="U891" s="5">
        <v>251.47</v>
      </c>
      <c r="V891" s="5">
        <v>521.29</v>
      </c>
      <c r="W891">
        <v>5</v>
      </c>
      <c r="X891" t="s">
        <v>45</v>
      </c>
      <c r="Y891">
        <v>2024</v>
      </c>
      <c r="Z891" t="str">
        <f>TEXT(Table1[[#This Row],[Order Date]],"MMM")</f>
        <v>Aug</v>
      </c>
      <c r="AA891" s="5">
        <f>Table1[[#This Row],[Unit Price]]*Table1[[#This Row],[Quantity]]*(1-Table1[[#This Row],[Discount %]]/100)</f>
        <v>704.11599999999999</v>
      </c>
      <c r="AB891" s="5">
        <f>Table1[[#This Row],[Sales]]-Table1[[#This Row],[Cost]]</f>
        <v>182.82600000000002</v>
      </c>
    </row>
    <row r="892" spans="1:28" x14ac:dyDescent="0.3">
      <c r="A892" t="s">
        <v>2368</v>
      </c>
      <c r="B892" s="1">
        <v>45647</v>
      </c>
      <c r="C892" t="s">
        <v>2369</v>
      </c>
      <c r="D892" t="s">
        <v>3667</v>
      </c>
      <c r="E892" s="1">
        <v>45652</v>
      </c>
      <c r="F892" t="s">
        <v>140</v>
      </c>
      <c r="G892" t="s">
        <v>38</v>
      </c>
      <c r="H892" t="s">
        <v>139</v>
      </c>
      <c r="I892" t="s">
        <v>2619</v>
      </c>
      <c r="J892" t="s">
        <v>2692</v>
      </c>
      <c r="K892" t="s">
        <v>25</v>
      </c>
      <c r="L892">
        <v>21</v>
      </c>
      <c r="M892">
        <v>4</v>
      </c>
      <c r="N892">
        <v>25</v>
      </c>
      <c r="O892" t="s">
        <v>1367</v>
      </c>
      <c r="P892" t="s">
        <v>75</v>
      </c>
      <c r="Q892" t="s">
        <v>31</v>
      </c>
      <c r="R892" t="s">
        <v>62</v>
      </c>
      <c r="S892" t="s">
        <v>141</v>
      </c>
      <c r="T892">
        <v>4</v>
      </c>
      <c r="U892" s="5">
        <v>888.12</v>
      </c>
      <c r="V892" s="5">
        <v>1939.47</v>
      </c>
      <c r="W892">
        <v>5</v>
      </c>
      <c r="X892" t="s">
        <v>94</v>
      </c>
      <c r="Y892">
        <v>2024</v>
      </c>
      <c r="Z892" t="str">
        <f>TEXT(Table1[[#This Row],[Order Date]],"MMM")</f>
        <v>Dec</v>
      </c>
      <c r="AA892" s="5">
        <f>Table1[[#This Row],[Unit Price]]*Table1[[#This Row],[Quantity]]*(1-Table1[[#This Row],[Discount %]]/100)</f>
        <v>2664.36</v>
      </c>
      <c r="AB892" s="5">
        <f>Table1[[#This Row],[Sales]]-Table1[[#This Row],[Cost]]</f>
        <v>724.8900000000001</v>
      </c>
    </row>
    <row r="893" spans="1:28" x14ac:dyDescent="0.3">
      <c r="A893" t="s">
        <v>2370</v>
      </c>
      <c r="B893" s="1">
        <v>45426</v>
      </c>
      <c r="C893" t="s">
        <v>2371</v>
      </c>
      <c r="D893" t="s">
        <v>3668</v>
      </c>
      <c r="E893" s="1">
        <v>45432</v>
      </c>
      <c r="F893" t="s">
        <v>29</v>
      </c>
      <c r="G893" t="s">
        <v>27</v>
      </c>
      <c r="H893" t="s">
        <v>28</v>
      </c>
      <c r="I893" t="s">
        <v>2661</v>
      </c>
      <c r="J893" t="s">
        <v>2689</v>
      </c>
      <c r="K893" t="s">
        <v>25</v>
      </c>
      <c r="L893">
        <v>63</v>
      </c>
      <c r="M893">
        <v>4</v>
      </c>
      <c r="N893">
        <v>25</v>
      </c>
      <c r="O893" t="s">
        <v>1952</v>
      </c>
      <c r="P893" t="s">
        <v>33</v>
      </c>
      <c r="Q893" t="s">
        <v>70</v>
      </c>
      <c r="R893" t="s">
        <v>62</v>
      </c>
      <c r="S893" t="s">
        <v>30</v>
      </c>
      <c r="T893">
        <v>1</v>
      </c>
      <c r="U893" s="5">
        <v>120.4</v>
      </c>
      <c r="V893" s="5">
        <v>219.84</v>
      </c>
      <c r="W893">
        <v>6</v>
      </c>
      <c r="X893" t="s">
        <v>49</v>
      </c>
      <c r="Y893">
        <v>2024</v>
      </c>
      <c r="Z893" t="str">
        <f>TEXT(Table1[[#This Row],[Order Date]],"MMM")</f>
        <v>May</v>
      </c>
      <c r="AA893" s="5">
        <f>Table1[[#This Row],[Unit Price]]*Table1[[#This Row],[Quantity]]*(1-Table1[[#This Row],[Discount %]]/100)</f>
        <v>361.20000000000005</v>
      </c>
      <c r="AB893" s="5">
        <f>Table1[[#This Row],[Sales]]-Table1[[#This Row],[Cost]]</f>
        <v>141.36000000000004</v>
      </c>
    </row>
    <row r="894" spans="1:28" x14ac:dyDescent="0.3">
      <c r="A894" t="s">
        <v>2372</v>
      </c>
      <c r="B894" s="1">
        <v>45770</v>
      </c>
      <c r="C894" t="s">
        <v>2373</v>
      </c>
      <c r="D894" t="s">
        <v>2720</v>
      </c>
      <c r="E894" s="1">
        <v>45771</v>
      </c>
      <c r="F894" t="s">
        <v>100</v>
      </c>
      <c r="G894" t="s">
        <v>98</v>
      </c>
      <c r="H894" t="s">
        <v>99</v>
      </c>
      <c r="I894" t="s">
        <v>2628</v>
      </c>
      <c r="J894" t="s">
        <v>2642</v>
      </c>
      <c r="K894" t="s">
        <v>25</v>
      </c>
      <c r="L894">
        <v>31</v>
      </c>
      <c r="M894">
        <v>1</v>
      </c>
      <c r="N894">
        <v>5</v>
      </c>
      <c r="O894" t="s">
        <v>1219</v>
      </c>
      <c r="P894" t="s">
        <v>33</v>
      </c>
      <c r="Q894" t="s">
        <v>42</v>
      </c>
      <c r="R894" t="s">
        <v>32</v>
      </c>
      <c r="S894" t="s">
        <v>101</v>
      </c>
      <c r="T894">
        <v>3</v>
      </c>
      <c r="U894" s="5">
        <v>336.15</v>
      </c>
      <c r="V894" s="5">
        <v>165.6</v>
      </c>
      <c r="W894">
        <v>1</v>
      </c>
      <c r="X894" t="s">
        <v>49</v>
      </c>
      <c r="Y894">
        <v>2025</v>
      </c>
      <c r="Z894" t="str">
        <f>TEXT(Table1[[#This Row],[Order Date]],"MMM")</f>
        <v>Apr</v>
      </c>
      <c r="AA894" s="5">
        <f>Table1[[#This Row],[Unit Price]]*Table1[[#This Row],[Quantity]]*(1-Table1[[#This Row],[Discount %]]/100)</f>
        <v>319.34249999999997</v>
      </c>
      <c r="AB894" s="5">
        <f>Table1[[#This Row],[Sales]]-Table1[[#This Row],[Cost]]</f>
        <v>153.74249999999998</v>
      </c>
    </row>
    <row r="895" spans="1:28" x14ac:dyDescent="0.3">
      <c r="A895" t="s">
        <v>2374</v>
      </c>
      <c r="B895" s="1">
        <v>45845</v>
      </c>
      <c r="C895" t="s">
        <v>2375</v>
      </c>
      <c r="D895" t="s">
        <v>3669</v>
      </c>
      <c r="E895" s="1">
        <v>45847</v>
      </c>
      <c r="F895" t="s">
        <v>128</v>
      </c>
      <c r="G895" t="s">
        <v>98</v>
      </c>
      <c r="H895" t="s">
        <v>127</v>
      </c>
      <c r="I895" t="s">
        <v>2631</v>
      </c>
      <c r="J895" t="s">
        <v>2639</v>
      </c>
      <c r="K895" t="s">
        <v>25</v>
      </c>
      <c r="L895">
        <v>28</v>
      </c>
      <c r="M895">
        <v>4</v>
      </c>
      <c r="N895">
        <v>5</v>
      </c>
      <c r="O895" t="s">
        <v>2376</v>
      </c>
      <c r="P895" t="s">
        <v>44</v>
      </c>
      <c r="Q895" t="s">
        <v>58</v>
      </c>
      <c r="R895" t="s">
        <v>71</v>
      </c>
      <c r="S895" t="s">
        <v>129</v>
      </c>
      <c r="T895">
        <v>2</v>
      </c>
      <c r="U895" s="5">
        <v>438.31</v>
      </c>
      <c r="V895" s="5">
        <v>1389.1</v>
      </c>
      <c r="W895">
        <v>2</v>
      </c>
      <c r="X895" t="s">
        <v>45</v>
      </c>
      <c r="Y895">
        <v>2025</v>
      </c>
      <c r="Z895" t="str">
        <f>TEXT(Table1[[#This Row],[Order Date]],"MMM")</f>
        <v>Jul</v>
      </c>
      <c r="AA895" s="5">
        <f>Table1[[#This Row],[Unit Price]]*Table1[[#This Row],[Quantity]]*(1-Table1[[#This Row],[Discount %]]/100)</f>
        <v>1665.578</v>
      </c>
      <c r="AB895" s="5">
        <f>Table1[[#This Row],[Sales]]-Table1[[#This Row],[Cost]]</f>
        <v>276.47800000000007</v>
      </c>
    </row>
    <row r="896" spans="1:28" x14ac:dyDescent="0.3">
      <c r="A896" t="s">
        <v>2377</v>
      </c>
      <c r="B896" s="1">
        <v>45681</v>
      </c>
      <c r="C896" t="s">
        <v>2378</v>
      </c>
      <c r="D896" t="s">
        <v>3670</v>
      </c>
      <c r="E896" s="1">
        <v>45683</v>
      </c>
      <c r="F896" t="s">
        <v>122</v>
      </c>
      <c r="G896" t="s">
        <v>120</v>
      </c>
      <c r="H896" t="s">
        <v>121</v>
      </c>
      <c r="I896" t="s">
        <v>2618</v>
      </c>
      <c r="J896" t="s">
        <v>2701</v>
      </c>
      <c r="K896" t="s">
        <v>52</v>
      </c>
      <c r="L896">
        <v>55</v>
      </c>
      <c r="M896">
        <v>1</v>
      </c>
      <c r="N896">
        <v>10</v>
      </c>
      <c r="O896" t="s">
        <v>93</v>
      </c>
      <c r="P896" t="s">
        <v>44</v>
      </c>
      <c r="Q896" t="s">
        <v>42</v>
      </c>
      <c r="R896" t="s">
        <v>43</v>
      </c>
      <c r="S896" t="s">
        <v>123</v>
      </c>
      <c r="T896">
        <v>3</v>
      </c>
      <c r="U896" s="5">
        <v>65.400000000000006</v>
      </c>
      <c r="V896" s="5">
        <v>31.25</v>
      </c>
      <c r="W896">
        <v>2</v>
      </c>
      <c r="X896" t="s">
        <v>34</v>
      </c>
      <c r="Y896">
        <v>2025</v>
      </c>
      <c r="Z896" t="str">
        <f>TEXT(Table1[[#This Row],[Order Date]],"MMM")</f>
        <v>Jan</v>
      </c>
      <c r="AA896" s="5">
        <f>Table1[[#This Row],[Unit Price]]*Table1[[#This Row],[Quantity]]*(1-Table1[[#This Row],[Discount %]]/100)</f>
        <v>58.860000000000007</v>
      </c>
      <c r="AB896" s="5">
        <f>Table1[[#This Row],[Sales]]-Table1[[#This Row],[Cost]]</f>
        <v>27.610000000000007</v>
      </c>
    </row>
    <row r="897" spans="1:28" x14ac:dyDescent="0.3">
      <c r="A897" t="s">
        <v>2379</v>
      </c>
      <c r="B897" s="1">
        <v>45959</v>
      </c>
      <c r="C897" t="s">
        <v>2380</v>
      </c>
      <c r="D897" t="s">
        <v>3671</v>
      </c>
      <c r="E897" s="1">
        <v>45965</v>
      </c>
      <c r="F897" t="s">
        <v>29</v>
      </c>
      <c r="G897" t="s">
        <v>27</v>
      </c>
      <c r="H897" t="s">
        <v>28</v>
      </c>
      <c r="I897" t="s">
        <v>2619</v>
      </c>
      <c r="J897" t="s">
        <v>2620</v>
      </c>
      <c r="K897" t="s">
        <v>52</v>
      </c>
      <c r="L897">
        <v>18</v>
      </c>
      <c r="M897">
        <v>1</v>
      </c>
      <c r="N897">
        <v>30</v>
      </c>
      <c r="O897" t="s">
        <v>437</v>
      </c>
      <c r="P897" t="s">
        <v>44</v>
      </c>
      <c r="Q897" t="s">
        <v>70</v>
      </c>
      <c r="R897" t="s">
        <v>32</v>
      </c>
      <c r="S897" t="s">
        <v>30</v>
      </c>
      <c r="T897">
        <v>2</v>
      </c>
      <c r="U897" s="5">
        <v>10.08</v>
      </c>
      <c r="V897" s="5">
        <v>4.7699999999999996</v>
      </c>
      <c r="W897">
        <v>6</v>
      </c>
      <c r="X897" t="s">
        <v>94</v>
      </c>
      <c r="Y897">
        <v>2025</v>
      </c>
      <c r="Z897" t="str">
        <f>TEXT(Table1[[#This Row],[Order Date]],"MMM")</f>
        <v>Oct</v>
      </c>
      <c r="AA897" s="5">
        <f>Table1[[#This Row],[Unit Price]]*Table1[[#This Row],[Quantity]]*(1-Table1[[#This Row],[Discount %]]/100)</f>
        <v>7.0559999999999992</v>
      </c>
      <c r="AB897" s="5">
        <f>Table1[[#This Row],[Sales]]-Table1[[#This Row],[Cost]]</f>
        <v>2.2859999999999996</v>
      </c>
    </row>
    <row r="898" spans="1:28" x14ac:dyDescent="0.3">
      <c r="A898" t="s">
        <v>2381</v>
      </c>
      <c r="B898" s="1">
        <v>45525</v>
      </c>
      <c r="C898" t="s">
        <v>2382</v>
      </c>
      <c r="D898" t="s">
        <v>2721</v>
      </c>
      <c r="E898" s="1">
        <v>45528</v>
      </c>
      <c r="F898" t="s">
        <v>140</v>
      </c>
      <c r="G898" t="s">
        <v>38</v>
      </c>
      <c r="H898" t="s">
        <v>139</v>
      </c>
      <c r="I898" t="s">
        <v>2661</v>
      </c>
      <c r="J898" t="s">
        <v>2689</v>
      </c>
      <c r="K898" t="s">
        <v>52</v>
      </c>
      <c r="L898">
        <v>24</v>
      </c>
      <c r="M898">
        <v>3</v>
      </c>
      <c r="N898">
        <v>30</v>
      </c>
      <c r="O898" t="s">
        <v>2261</v>
      </c>
      <c r="P898" t="s">
        <v>33</v>
      </c>
      <c r="Q898" t="s">
        <v>31</v>
      </c>
      <c r="R898" t="s">
        <v>62</v>
      </c>
      <c r="S898" t="s">
        <v>141</v>
      </c>
      <c r="T898">
        <v>4</v>
      </c>
      <c r="U898" s="5">
        <v>470.12</v>
      </c>
      <c r="V898" s="5">
        <v>642.30999999999995</v>
      </c>
      <c r="W898">
        <v>3</v>
      </c>
      <c r="X898" t="s">
        <v>45</v>
      </c>
      <c r="Y898">
        <v>2024</v>
      </c>
      <c r="Z898" t="str">
        <f>TEXT(Table1[[#This Row],[Order Date]],"MMM")</f>
        <v>Aug</v>
      </c>
      <c r="AA898" s="5">
        <f>Table1[[#This Row],[Unit Price]]*Table1[[#This Row],[Quantity]]*(1-Table1[[#This Row],[Discount %]]/100)</f>
        <v>987.25200000000007</v>
      </c>
      <c r="AB898" s="5">
        <f>Table1[[#This Row],[Sales]]-Table1[[#This Row],[Cost]]</f>
        <v>344.94200000000012</v>
      </c>
    </row>
    <row r="899" spans="1:28" x14ac:dyDescent="0.3">
      <c r="A899" t="s">
        <v>2383</v>
      </c>
      <c r="B899" s="1">
        <v>45434</v>
      </c>
      <c r="C899" t="s">
        <v>2384</v>
      </c>
      <c r="D899" t="s">
        <v>3672</v>
      </c>
      <c r="E899" s="1">
        <v>45437</v>
      </c>
      <c r="F899" t="s">
        <v>115</v>
      </c>
      <c r="G899" t="s">
        <v>66</v>
      </c>
      <c r="H899" t="s">
        <v>114</v>
      </c>
      <c r="I899" t="s">
        <v>2627</v>
      </c>
      <c r="J899" t="s">
        <v>2707</v>
      </c>
      <c r="K899" t="s">
        <v>52</v>
      </c>
      <c r="L899">
        <v>23</v>
      </c>
      <c r="M899">
        <v>4</v>
      </c>
      <c r="N899">
        <v>30</v>
      </c>
      <c r="O899" t="s">
        <v>2385</v>
      </c>
      <c r="P899" t="s">
        <v>33</v>
      </c>
      <c r="Q899" t="s">
        <v>117</v>
      </c>
      <c r="R899" t="s">
        <v>71</v>
      </c>
      <c r="S899" t="s">
        <v>116</v>
      </c>
      <c r="T899">
        <v>3</v>
      </c>
      <c r="U899" s="5">
        <v>853.2</v>
      </c>
      <c r="V899" s="5">
        <v>1932.7</v>
      </c>
      <c r="W899">
        <v>3</v>
      </c>
      <c r="X899" t="s">
        <v>49</v>
      </c>
      <c r="Y899">
        <v>2024</v>
      </c>
      <c r="Z899" t="str">
        <f>TEXT(Table1[[#This Row],[Order Date]],"MMM")</f>
        <v>May</v>
      </c>
      <c r="AA899" s="5">
        <f>Table1[[#This Row],[Unit Price]]*Table1[[#This Row],[Quantity]]*(1-Table1[[#This Row],[Discount %]]/100)</f>
        <v>2388.96</v>
      </c>
      <c r="AB899" s="5">
        <f>Table1[[#This Row],[Sales]]-Table1[[#This Row],[Cost]]</f>
        <v>456.26</v>
      </c>
    </row>
    <row r="900" spans="1:28" x14ac:dyDescent="0.3">
      <c r="A900" t="s">
        <v>2386</v>
      </c>
      <c r="B900" s="1">
        <v>45840</v>
      </c>
      <c r="C900" t="s">
        <v>2387</v>
      </c>
      <c r="D900" t="s">
        <v>3673</v>
      </c>
      <c r="E900" s="1">
        <v>45842</v>
      </c>
      <c r="F900" t="s">
        <v>29</v>
      </c>
      <c r="G900" t="s">
        <v>27</v>
      </c>
      <c r="H900" t="s">
        <v>28</v>
      </c>
      <c r="I900" t="s">
        <v>2631</v>
      </c>
      <c r="J900" t="s">
        <v>2673</v>
      </c>
      <c r="K900" t="s">
        <v>52</v>
      </c>
      <c r="L900">
        <v>19</v>
      </c>
      <c r="M900">
        <v>3</v>
      </c>
      <c r="N900">
        <v>30</v>
      </c>
      <c r="O900" t="s">
        <v>2388</v>
      </c>
      <c r="P900" t="s">
        <v>75</v>
      </c>
      <c r="Q900" t="s">
        <v>31</v>
      </c>
      <c r="R900" t="s">
        <v>62</v>
      </c>
      <c r="S900" t="s">
        <v>30</v>
      </c>
      <c r="T900">
        <v>3</v>
      </c>
      <c r="U900" s="5">
        <v>239.49</v>
      </c>
      <c r="V900" s="5">
        <v>395.88</v>
      </c>
      <c r="W900">
        <v>2</v>
      </c>
      <c r="X900" t="s">
        <v>45</v>
      </c>
      <c r="Y900">
        <v>2025</v>
      </c>
      <c r="Z900" t="str">
        <f>TEXT(Table1[[#This Row],[Order Date]],"MMM")</f>
        <v>Jul</v>
      </c>
      <c r="AA900" s="5">
        <f>Table1[[#This Row],[Unit Price]]*Table1[[#This Row],[Quantity]]*(1-Table1[[#This Row],[Discount %]]/100)</f>
        <v>502.92899999999997</v>
      </c>
      <c r="AB900" s="5">
        <f>Table1[[#This Row],[Sales]]-Table1[[#This Row],[Cost]]</f>
        <v>107.04899999999998</v>
      </c>
    </row>
    <row r="901" spans="1:28" x14ac:dyDescent="0.3">
      <c r="A901" t="s">
        <v>2389</v>
      </c>
      <c r="B901" s="1">
        <v>45828</v>
      </c>
      <c r="C901" t="s">
        <v>2390</v>
      </c>
      <c r="D901" t="s">
        <v>2718</v>
      </c>
      <c r="E901" s="1">
        <v>45829</v>
      </c>
      <c r="F901" t="s">
        <v>29</v>
      </c>
      <c r="G901" t="s">
        <v>27</v>
      </c>
      <c r="H901" t="s">
        <v>28</v>
      </c>
      <c r="I901" t="s">
        <v>2630</v>
      </c>
      <c r="J901" t="s">
        <v>2640</v>
      </c>
      <c r="K901" t="s">
        <v>25</v>
      </c>
      <c r="L901">
        <v>18</v>
      </c>
      <c r="M901">
        <v>3</v>
      </c>
      <c r="N901">
        <v>5</v>
      </c>
      <c r="O901" t="s">
        <v>2202</v>
      </c>
      <c r="P901" t="s">
        <v>33</v>
      </c>
      <c r="Q901" t="s">
        <v>58</v>
      </c>
      <c r="R901" t="s">
        <v>62</v>
      </c>
      <c r="S901" t="s">
        <v>30</v>
      </c>
      <c r="T901">
        <v>4</v>
      </c>
      <c r="U901" s="5">
        <v>376.63</v>
      </c>
      <c r="V901" s="5">
        <v>756.52</v>
      </c>
      <c r="W901">
        <v>1</v>
      </c>
      <c r="X901" t="s">
        <v>49</v>
      </c>
      <c r="Y901">
        <v>2025</v>
      </c>
      <c r="Z901" t="str">
        <f>TEXT(Table1[[#This Row],[Order Date]],"MMM")</f>
        <v>Jun</v>
      </c>
      <c r="AA901" s="5">
        <f>Table1[[#This Row],[Unit Price]]*Table1[[#This Row],[Quantity]]*(1-Table1[[#This Row],[Discount %]]/100)</f>
        <v>1073.3954999999999</v>
      </c>
      <c r="AB901" s="5">
        <f>Table1[[#This Row],[Sales]]-Table1[[#This Row],[Cost]]</f>
        <v>316.87549999999987</v>
      </c>
    </row>
    <row r="902" spans="1:28" x14ac:dyDescent="0.3">
      <c r="A902" t="s">
        <v>2391</v>
      </c>
      <c r="B902" s="1">
        <v>45557</v>
      </c>
      <c r="C902" t="s">
        <v>2392</v>
      </c>
      <c r="D902" t="s">
        <v>3674</v>
      </c>
      <c r="E902" s="1">
        <v>45563</v>
      </c>
      <c r="F902" t="s">
        <v>68</v>
      </c>
      <c r="G902" t="s">
        <v>66</v>
      </c>
      <c r="H902" t="s">
        <v>67</v>
      </c>
      <c r="I902" t="s">
        <v>2618</v>
      </c>
      <c r="J902" t="s">
        <v>2618</v>
      </c>
      <c r="K902" t="s">
        <v>52</v>
      </c>
      <c r="L902">
        <v>18</v>
      </c>
      <c r="M902">
        <v>1</v>
      </c>
      <c r="N902">
        <v>20</v>
      </c>
      <c r="O902" t="s">
        <v>1070</v>
      </c>
      <c r="P902" t="s">
        <v>44</v>
      </c>
      <c r="Q902" t="s">
        <v>117</v>
      </c>
      <c r="R902" t="s">
        <v>62</v>
      </c>
      <c r="S902" t="s">
        <v>69</v>
      </c>
      <c r="T902">
        <v>5</v>
      </c>
      <c r="U902" s="5">
        <v>755.98</v>
      </c>
      <c r="V902" s="5">
        <v>441.87</v>
      </c>
      <c r="W902">
        <v>6</v>
      </c>
      <c r="X902" t="s">
        <v>45</v>
      </c>
      <c r="Y902">
        <v>2024</v>
      </c>
      <c r="Z902" t="str">
        <f>TEXT(Table1[[#This Row],[Order Date]],"MMM")</f>
        <v>Sep</v>
      </c>
      <c r="AA902" s="5">
        <f>Table1[[#This Row],[Unit Price]]*Table1[[#This Row],[Quantity]]*(1-Table1[[#This Row],[Discount %]]/100)</f>
        <v>604.78399999999999</v>
      </c>
      <c r="AB902" s="5">
        <f>Table1[[#This Row],[Sales]]-Table1[[#This Row],[Cost]]</f>
        <v>162.91399999999999</v>
      </c>
    </row>
    <row r="903" spans="1:28" x14ac:dyDescent="0.3">
      <c r="A903" t="s">
        <v>2393</v>
      </c>
      <c r="B903" s="1">
        <v>45778</v>
      </c>
      <c r="C903" t="s">
        <v>2394</v>
      </c>
      <c r="D903" t="s">
        <v>3675</v>
      </c>
      <c r="E903" s="1">
        <v>45784</v>
      </c>
      <c r="F903" t="s">
        <v>56</v>
      </c>
      <c r="G903" t="s">
        <v>54</v>
      </c>
      <c r="H903" t="s">
        <v>55</v>
      </c>
      <c r="I903" t="s">
        <v>2621</v>
      </c>
      <c r="J903" t="s">
        <v>2663</v>
      </c>
      <c r="K903" t="s">
        <v>25</v>
      </c>
      <c r="L903">
        <v>45</v>
      </c>
      <c r="M903">
        <v>5</v>
      </c>
      <c r="N903">
        <v>30</v>
      </c>
      <c r="O903" t="s">
        <v>473</v>
      </c>
      <c r="P903" t="s">
        <v>75</v>
      </c>
      <c r="Q903" t="s">
        <v>70</v>
      </c>
      <c r="R903" t="s">
        <v>71</v>
      </c>
      <c r="S903" t="s">
        <v>57</v>
      </c>
      <c r="T903">
        <v>4</v>
      </c>
      <c r="U903" s="5">
        <v>181.78</v>
      </c>
      <c r="V903" s="5">
        <v>397.47</v>
      </c>
      <c r="W903">
        <v>6</v>
      </c>
      <c r="X903" t="s">
        <v>49</v>
      </c>
      <c r="Y903">
        <v>2025</v>
      </c>
      <c r="Z903" t="str">
        <f>TEXT(Table1[[#This Row],[Order Date]],"MMM")</f>
        <v>May</v>
      </c>
      <c r="AA903" s="5">
        <f>Table1[[#This Row],[Unit Price]]*Table1[[#This Row],[Quantity]]*(1-Table1[[#This Row],[Discount %]]/100)</f>
        <v>636.2299999999999</v>
      </c>
      <c r="AB903" s="5">
        <f>Table1[[#This Row],[Sales]]-Table1[[#This Row],[Cost]]</f>
        <v>238.75999999999988</v>
      </c>
    </row>
    <row r="904" spans="1:28" x14ac:dyDescent="0.3">
      <c r="A904" t="s">
        <v>2395</v>
      </c>
      <c r="B904" s="1">
        <v>45936</v>
      </c>
      <c r="C904" t="s">
        <v>1774</v>
      </c>
      <c r="D904" t="s">
        <v>3676</v>
      </c>
      <c r="E904" s="1">
        <v>45939</v>
      </c>
      <c r="F904" t="s">
        <v>29</v>
      </c>
      <c r="G904" t="s">
        <v>27</v>
      </c>
      <c r="H904" t="s">
        <v>28</v>
      </c>
      <c r="I904" t="s">
        <v>2661</v>
      </c>
      <c r="J904" t="s">
        <v>2662</v>
      </c>
      <c r="K904" t="s">
        <v>25</v>
      </c>
      <c r="L904">
        <v>19</v>
      </c>
      <c r="M904">
        <v>4</v>
      </c>
      <c r="N904">
        <v>20</v>
      </c>
      <c r="O904" t="s">
        <v>774</v>
      </c>
      <c r="P904" t="s">
        <v>44</v>
      </c>
      <c r="Q904" t="s">
        <v>117</v>
      </c>
      <c r="R904" t="s">
        <v>62</v>
      </c>
      <c r="S904" t="s">
        <v>30</v>
      </c>
      <c r="T904">
        <v>5</v>
      </c>
      <c r="U904" s="5">
        <v>821.26</v>
      </c>
      <c r="V904" s="5">
        <v>1844.65</v>
      </c>
      <c r="W904">
        <v>3</v>
      </c>
      <c r="X904" t="s">
        <v>94</v>
      </c>
      <c r="Y904">
        <v>2025</v>
      </c>
      <c r="Z904" t="str">
        <f>TEXT(Table1[[#This Row],[Order Date]],"MMM")</f>
        <v>Oct</v>
      </c>
      <c r="AA904" s="5">
        <f>Table1[[#This Row],[Unit Price]]*Table1[[#This Row],[Quantity]]*(1-Table1[[#This Row],[Discount %]]/100)</f>
        <v>2628.0320000000002</v>
      </c>
      <c r="AB904" s="5">
        <f>Table1[[#This Row],[Sales]]-Table1[[#This Row],[Cost]]</f>
        <v>783.38200000000006</v>
      </c>
    </row>
    <row r="905" spans="1:28" x14ac:dyDescent="0.3">
      <c r="A905" t="s">
        <v>2396</v>
      </c>
      <c r="B905" s="1">
        <v>46169</v>
      </c>
      <c r="C905" t="s">
        <v>2397</v>
      </c>
      <c r="D905" t="s">
        <v>3677</v>
      </c>
      <c r="E905" s="1">
        <v>46174</v>
      </c>
      <c r="F905" t="s">
        <v>40</v>
      </c>
      <c r="G905" t="s">
        <v>38</v>
      </c>
      <c r="H905" t="s">
        <v>39</v>
      </c>
      <c r="I905" t="s">
        <v>2627</v>
      </c>
      <c r="J905" t="s">
        <v>2690</v>
      </c>
      <c r="K905" t="s">
        <v>25</v>
      </c>
      <c r="L905">
        <v>24</v>
      </c>
      <c r="M905">
        <v>4</v>
      </c>
      <c r="N905">
        <v>20</v>
      </c>
      <c r="O905" t="s">
        <v>490</v>
      </c>
      <c r="P905" t="s">
        <v>33</v>
      </c>
      <c r="Q905" t="s">
        <v>58</v>
      </c>
      <c r="R905" t="s">
        <v>62</v>
      </c>
      <c r="S905" t="s">
        <v>41</v>
      </c>
      <c r="T905">
        <v>3</v>
      </c>
      <c r="U905" s="5">
        <v>944.43</v>
      </c>
      <c r="V905" s="5">
        <v>1725.53</v>
      </c>
      <c r="W905">
        <v>5</v>
      </c>
      <c r="X905" t="s">
        <v>49</v>
      </c>
      <c r="Y905">
        <v>2026</v>
      </c>
      <c r="Z905" t="str">
        <f>TEXT(Table1[[#This Row],[Order Date]],"MMM")</f>
        <v>May</v>
      </c>
      <c r="AA905" s="5">
        <f>Table1[[#This Row],[Unit Price]]*Table1[[#This Row],[Quantity]]*(1-Table1[[#This Row],[Discount %]]/100)</f>
        <v>3022.1759999999999</v>
      </c>
      <c r="AB905" s="5">
        <f>Table1[[#This Row],[Sales]]-Table1[[#This Row],[Cost]]</f>
        <v>1296.646</v>
      </c>
    </row>
    <row r="906" spans="1:28" x14ac:dyDescent="0.3">
      <c r="A906" t="s">
        <v>2398</v>
      </c>
      <c r="B906" s="1">
        <v>45697</v>
      </c>
      <c r="C906" t="s">
        <v>2399</v>
      </c>
      <c r="D906" t="s">
        <v>3678</v>
      </c>
      <c r="E906" s="1">
        <v>45702</v>
      </c>
      <c r="F906" t="s">
        <v>128</v>
      </c>
      <c r="G906" t="s">
        <v>98</v>
      </c>
      <c r="H906" t="s">
        <v>127</v>
      </c>
      <c r="I906" t="s">
        <v>2631</v>
      </c>
      <c r="J906" t="s">
        <v>2639</v>
      </c>
      <c r="K906" t="s">
        <v>25</v>
      </c>
      <c r="L906">
        <v>27</v>
      </c>
      <c r="M906">
        <v>3</v>
      </c>
      <c r="N906">
        <v>5</v>
      </c>
      <c r="O906" t="s">
        <v>1675</v>
      </c>
      <c r="P906" t="s">
        <v>44</v>
      </c>
      <c r="Q906" t="s">
        <v>58</v>
      </c>
      <c r="R906" t="s">
        <v>43</v>
      </c>
      <c r="S906" t="s">
        <v>129</v>
      </c>
      <c r="T906">
        <v>4</v>
      </c>
      <c r="U906" s="5">
        <v>425</v>
      </c>
      <c r="V906" s="5">
        <v>788.91</v>
      </c>
      <c r="W906">
        <v>5</v>
      </c>
      <c r="X906" t="s">
        <v>34</v>
      </c>
      <c r="Y906">
        <v>2025</v>
      </c>
      <c r="Z906" t="str">
        <f>TEXT(Table1[[#This Row],[Order Date]],"MMM")</f>
        <v>Feb</v>
      </c>
      <c r="AA906" s="5">
        <f>Table1[[#This Row],[Unit Price]]*Table1[[#This Row],[Quantity]]*(1-Table1[[#This Row],[Discount %]]/100)</f>
        <v>1211.25</v>
      </c>
      <c r="AB906" s="5">
        <f>Table1[[#This Row],[Sales]]-Table1[[#This Row],[Cost]]</f>
        <v>422.34000000000003</v>
      </c>
    </row>
    <row r="907" spans="1:28" x14ac:dyDescent="0.3">
      <c r="A907" t="s">
        <v>2400</v>
      </c>
      <c r="B907" s="1">
        <v>45755</v>
      </c>
      <c r="C907" t="s">
        <v>2401</v>
      </c>
      <c r="D907" t="s">
        <v>3679</v>
      </c>
      <c r="E907" s="1">
        <v>45757</v>
      </c>
      <c r="F907" t="s">
        <v>115</v>
      </c>
      <c r="G907" t="s">
        <v>66</v>
      </c>
      <c r="H907" t="s">
        <v>114</v>
      </c>
      <c r="I907" t="s">
        <v>2618</v>
      </c>
      <c r="J907" t="s">
        <v>2618</v>
      </c>
      <c r="K907" t="s">
        <v>52</v>
      </c>
      <c r="L907">
        <v>21</v>
      </c>
      <c r="M907">
        <v>1</v>
      </c>
      <c r="N907">
        <v>15</v>
      </c>
      <c r="O907" t="s">
        <v>165</v>
      </c>
      <c r="P907" t="s">
        <v>44</v>
      </c>
      <c r="Q907" t="s">
        <v>58</v>
      </c>
      <c r="R907" t="s">
        <v>62</v>
      </c>
      <c r="S907" t="s">
        <v>116</v>
      </c>
      <c r="T907">
        <v>3</v>
      </c>
      <c r="U907" s="5">
        <v>110.47</v>
      </c>
      <c r="V907" s="5">
        <v>54.28</v>
      </c>
      <c r="W907">
        <v>2</v>
      </c>
      <c r="X907" t="s">
        <v>49</v>
      </c>
      <c r="Y907">
        <v>2025</v>
      </c>
      <c r="Z907" t="str">
        <f>TEXT(Table1[[#This Row],[Order Date]],"MMM")</f>
        <v>Apr</v>
      </c>
      <c r="AA907" s="5">
        <f>Table1[[#This Row],[Unit Price]]*Table1[[#This Row],[Quantity]]*(1-Table1[[#This Row],[Discount %]]/100)</f>
        <v>93.899500000000003</v>
      </c>
      <c r="AB907" s="5">
        <f>Table1[[#This Row],[Sales]]-Table1[[#This Row],[Cost]]</f>
        <v>39.619500000000002</v>
      </c>
    </row>
    <row r="908" spans="1:28" x14ac:dyDescent="0.3">
      <c r="A908" t="s">
        <v>2402</v>
      </c>
      <c r="B908" s="1">
        <v>45383</v>
      </c>
      <c r="C908" t="s">
        <v>2403</v>
      </c>
      <c r="D908" t="s">
        <v>3680</v>
      </c>
      <c r="E908" s="1">
        <v>45389</v>
      </c>
      <c r="F908" t="s">
        <v>100</v>
      </c>
      <c r="G908" t="s">
        <v>98</v>
      </c>
      <c r="H908" t="s">
        <v>99</v>
      </c>
      <c r="I908" t="s">
        <v>2630</v>
      </c>
      <c r="J908" t="s">
        <v>2646</v>
      </c>
      <c r="K908" t="s">
        <v>25</v>
      </c>
      <c r="L908">
        <v>23</v>
      </c>
      <c r="M908">
        <v>2</v>
      </c>
      <c r="N908">
        <v>30</v>
      </c>
      <c r="O908" t="s">
        <v>646</v>
      </c>
      <c r="P908" t="s">
        <v>33</v>
      </c>
      <c r="Q908" t="s">
        <v>70</v>
      </c>
      <c r="R908" t="s">
        <v>43</v>
      </c>
      <c r="S908" t="s">
        <v>101</v>
      </c>
      <c r="T908">
        <v>1</v>
      </c>
      <c r="U908" s="5">
        <v>442.83</v>
      </c>
      <c r="V908" s="5">
        <v>416.21</v>
      </c>
      <c r="W908">
        <v>6</v>
      </c>
      <c r="X908" t="s">
        <v>49</v>
      </c>
      <c r="Y908">
        <v>2024</v>
      </c>
      <c r="Z908" t="str">
        <f>TEXT(Table1[[#This Row],[Order Date]],"MMM")</f>
        <v>Apr</v>
      </c>
      <c r="AA908" s="5">
        <f>Table1[[#This Row],[Unit Price]]*Table1[[#This Row],[Quantity]]*(1-Table1[[#This Row],[Discount %]]/100)</f>
        <v>619.96199999999999</v>
      </c>
      <c r="AB908" s="5">
        <f>Table1[[#This Row],[Sales]]-Table1[[#This Row],[Cost]]</f>
        <v>203.75200000000001</v>
      </c>
    </row>
    <row r="909" spans="1:28" x14ac:dyDescent="0.3">
      <c r="A909" t="s">
        <v>2404</v>
      </c>
      <c r="B909" s="1">
        <v>45438</v>
      </c>
      <c r="C909" t="s">
        <v>2405</v>
      </c>
      <c r="D909" t="s">
        <v>3681</v>
      </c>
      <c r="E909" s="1">
        <v>45440</v>
      </c>
      <c r="F909" t="s">
        <v>29</v>
      </c>
      <c r="G909" t="s">
        <v>27</v>
      </c>
      <c r="H909" t="s">
        <v>28</v>
      </c>
      <c r="I909" t="s">
        <v>2628</v>
      </c>
      <c r="J909" t="s">
        <v>2642</v>
      </c>
      <c r="K909" t="s">
        <v>25</v>
      </c>
      <c r="L909">
        <v>38</v>
      </c>
      <c r="M909">
        <v>1</v>
      </c>
      <c r="N909">
        <v>5</v>
      </c>
      <c r="O909" t="s">
        <v>2406</v>
      </c>
      <c r="P909" t="s">
        <v>33</v>
      </c>
      <c r="Q909" t="s">
        <v>117</v>
      </c>
      <c r="R909" t="s">
        <v>62</v>
      </c>
      <c r="S909" t="s">
        <v>30</v>
      </c>
      <c r="T909">
        <v>5</v>
      </c>
      <c r="U909" s="5">
        <v>333.15</v>
      </c>
      <c r="V909" s="5">
        <v>170.72</v>
      </c>
      <c r="W909">
        <v>2</v>
      </c>
      <c r="X909" t="s">
        <v>49</v>
      </c>
      <c r="Y909">
        <v>2024</v>
      </c>
      <c r="Z909" t="str">
        <f>TEXT(Table1[[#This Row],[Order Date]],"MMM")</f>
        <v>May</v>
      </c>
      <c r="AA909" s="5">
        <f>Table1[[#This Row],[Unit Price]]*Table1[[#This Row],[Quantity]]*(1-Table1[[#This Row],[Discount %]]/100)</f>
        <v>316.49249999999995</v>
      </c>
      <c r="AB909" s="5">
        <f>Table1[[#This Row],[Sales]]-Table1[[#This Row],[Cost]]</f>
        <v>145.77249999999995</v>
      </c>
    </row>
    <row r="910" spans="1:28" x14ac:dyDescent="0.3">
      <c r="A910" t="s">
        <v>2407</v>
      </c>
      <c r="B910" s="1">
        <v>45426</v>
      </c>
      <c r="C910" t="s">
        <v>2408</v>
      </c>
      <c r="D910" t="s">
        <v>3682</v>
      </c>
      <c r="E910" s="1">
        <v>45428</v>
      </c>
      <c r="F910" t="s">
        <v>122</v>
      </c>
      <c r="G910" t="s">
        <v>120</v>
      </c>
      <c r="H910" t="s">
        <v>121</v>
      </c>
      <c r="I910" t="s">
        <v>2655</v>
      </c>
      <c r="J910" t="s">
        <v>2677</v>
      </c>
      <c r="K910" t="s">
        <v>25</v>
      </c>
      <c r="L910">
        <v>18</v>
      </c>
      <c r="M910">
        <v>2</v>
      </c>
      <c r="N910">
        <v>25</v>
      </c>
      <c r="O910" t="s">
        <v>144</v>
      </c>
      <c r="P910" t="s">
        <v>33</v>
      </c>
      <c r="Q910" t="s">
        <v>58</v>
      </c>
      <c r="R910" t="s">
        <v>32</v>
      </c>
      <c r="S910" t="s">
        <v>123</v>
      </c>
      <c r="T910">
        <v>4</v>
      </c>
      <c r="U910" s="5">
        <v>330.65</v>
      </c>
      <c r="V910" s="5">
        <v>298.55</v>
      </c>
      <c r="W910">
        <v>2</v>
      </c>
      <c r="X910" t="s">
        <v>49</v>
      </c>
      <c r="Y910">
        <v>2024</v>
      </c>
      <c r="Z910" t="str">
        <f>TEXT(Table1[[#This Row],[Order Date]],"MMM")</f>
        <v>May</v>
      </c>
      <c r="AA910" s="5">
        <f>Table1[[#This Row],[Unit Price]]*Table1[[#This Row],[Quantity]]*(1-Table1[[#This Row],[Discount %]]/100)</f>
        <v>495.97499999999997</v>
      </c>
      <c r="AB910" s="5">
        <f>Table1[[#This Row],[Sales]]-Table1[[#This Row],[Cost]]</f>
        <v>197.42499999999995</v>
      </c>
    </row>
    <row r="911" spans="1:28" x14ac:dyDescent="0.3">
      <c r="A911" t="s">
        <v>2409</v>
      </c>
      <c r="B911" s="1">
        <v>46145</v>
      </c>
      <c r="C911" t="s">
        <v>2410</v>
      </c>
      <c r="D911" t="s">
        <v>3683</v>
      </c>
      <c r="E911" s="1">
        <v>46149</v>
      </c>
      <c r="F911" t="s">
        <v>56</v>
      </c>
      <c r="G911" t="s">
        <v>54</v>
      </c>
      <c r="H911" t="s">
        <v>55</v>
      </c>
      <c r="I911" t="s">
        <v>2637</v>
      </c>
      <c r="J911" t="s">
        <v>2688</v>
      </c>
      <c r="K911" t="s">
        <v>52</v>
      </c>
      <c r="L911">
        <v>58</v>
      </c>
      <c r="M911">
        <v>1</v>
      </c>
      <c r="N911">
        <v>10</v>
      </c>
      <c r="O911" t="s">
        <v>1692</v>
      </c>
      <c r="P911" t="s">
        <v>44</v>
      </c>
      <c r="Q911" t="s">
        <v>31</v>
      </c>
      <c r="R911" t="s">
        <v>32</v>
      </c>
      <c r="S911" t="s">
        <v>57</v>
      </c>
      <c r="T911">
        <v>3</v>
      </c>
      <c r="U911" s="5">
        <v>291.77999999999997</v>
      </c>
      <c r="V911" s="5">
        <v>179.16</v>
      </c>
      <c r="W911">
        <v>4</v>
      </c>
      <c r="X911" t="s">
        <v>49</v>
      </c>
      <c r="Y911">
        <v>2026</v>
      </c>
      <c r="Z911" t="str">
        <f>TEXT(Table1[[#This Row],[Order Date]],"MMM")</f>
        <v>May</v>
      </c>
      <c r="AA911" s="5">
        <f>Table1[[#This Row],[Unit Price]]*Table1[[#This Row],[Quantity]]*(1-Table1[[#This Row],[Discount %]]/100)</f>
        <v>262.60199999999998</v>
      </c>
      <c r="AB911" s="5">
        <f>Table1[[#This Row],[Sales]]-Table1[[#This Row],[Cost]]</f>
        <v>83.441999999999979</v>
      </c>
    </row>
    <row r="912" spans="1:28" x14ac:dyDescent="0.3">
      <c r="A912" t="s">
        <v>2411</v>
      </c>
      <c r="B912" s="1">
        <v>45331</v>
      </c>
      <c r="C912" t="s">
        <v>2412</v>
      </c>
      <c r="D912" t="s">
        <v>3684</v>
      </c>
      <c r="E912" s="1">
        <v>45334</v>
      </c>
      <c r="F912" t="s">
        <v>56</v>
      </c>
      <c r="G912" t="s">
        <v>54</v>
      </c>
      <c r="H912" t="s">
        <v>55</v>
      </c>
      <c r="I912" t="s">
        <v>2657</v>
      </c>
      <c r="J912" t="s">
        <v>2667</v>
      </c>
      <c r="K912" t="s">
        <v>25</v>
      </c>
      <c r="L912">
        <v>53</v>
      </c>
      <c r="M912">
        <v>1</v>
      </c>
      <c r="N912">
        <v>20</v>
      </c>
      <c r="O912" t="s">
        <v>2413</v>
      </c>
      <c r="P912" t="s">
        <v>75</v>
      </c>
      <c r="Q912" t="s">
        <v>117</v>
      </c>
      <c r="R912" t="s">
        <v>43</v>
      </c>
      <c r="S912" t="s">
        <v>57</v>
      </c>
      <c r="T912">
        <v>3</v>
      </c>
      <c r="U912" s="5">
        <v>374.37</v>
      </c>
      <c r="V912" s="5">
        <v>184.68</v>
      </c>
      <c r="W912">
        <v>3</v>
      </c>
      <c r="X912" t="s">
        <v>34</v>
      </c>
      <c r="Y912">
        <v>2024</v>
      </c>
      <c r="Z912" t="str">
        <f>TEXT(Table1[[#This Row],[Order Date]],"MMM")</f>
        <v>Feb</v>
      </c>
      <c r="AA912" s="5">
        <f>Table1[[#This Row],[Unit Price]]*Table1[[#This Row],[Quantity]]*(1-Table1[[#This Row],[Discount %]]/100)</f>
        <v>299.49600000000004</v>
      </c>
      <c r="AB912" s="5">
        <f>Table1[[#This Row],[Sales]]-Table1[[#This Row],[Cost]]</f>
        <v>114.81600000000003</v>
      </c>
    </row>
    <row r="913" spans="1:28" x14ac:dyDescent="0.3">
      <c r="A913" t="s">
        <v>2414</v>
      </c>
      <c r="B913" s="1">
        <v>45866</v>
      </c>
      <c r="C913" t="s">
        <v>2415</v>
      </c>
      <c r="D913" t="s">
        <v>3685</v>
      </c>
      <c r="E913" s="1">
        <v>45871</v>
      </c>
      <c r="F913" t="s">
        <v>29</v>
      </c>
      <c r="G913" t="s">
        <v>27</v>
      </c>
      <c r="H913" t="s">
        <v>28</v>
      </c>
      <c r="I913" t="s">
        <v>2619</v>
      </c>
      <c r="J913" t="s">
        <v>2692</v>
      </c>
      <c r="K913" t="s">
        <v>25</v>
      </c>
      <c r="L913">
        <v>45</v>
      </c>
      <c r="M913">
        <v>2</v>
      </c>
      <c r="N913">
        <v>20</v>
      </c>
      <c r="O913" t="s">
        <v>2416</v>
      </c>
      <c r="P913" t="s">
        <v>33</v>
      </c>
      <c r="Q913" t="s">
        <v>58</v>
      </c>
      <c r="R913" t="s">
        <v>71</v>
      </c>
      <c r="S913" t="s">
        <v>30</v>
      </c>
      <c r="T913">
        <v>3</v>
      </c>
      <c r="U913" s="5">
        <v>967.55</v>
      </c>
      <c r="V913" s="5">
        <v>1088.5</v>
      </c>
      <c r="W913">
        <v>5</v>
      </c>
      <c r="X913" t="s">
        <v>45</v>
      </c>
      <c r="Y913">
        <v>2025</v>
      </c>
      <c r="Z913" t="str">
        <f>TEXT(Table1[[#This Row],[Order Date]],"MMM")</f>
        <v>Jul</v>
      </c>
      <c r="AA913" s="5">
        <f>Table1[[#This Row],[Unit Price]]*Table1[[#This Row],[Quantity]]*(1-Table1[[#This Row],[Discount %]]/100)</f>
        <v>1548.08</v>
      </c>
      <c r="AB913" s="5">
        <f>Table1[[#This Row],[Sales]]-Table1[[#This Row],[Cost]]</f>
        <v>459.57999999999993</v>
      </c>
    </row>
    <row r="914" spans="1:28" x14ac:dyDescent="0.3">
      <c r="A914" t="s">
        <v>2417</v>
      </c>
      <c r="B914" s="1">
        <v>45731</v>
      </c>
      <c r="C914" t="s">
        <v>2418</v>
      </c>
      <c r="D914" t="s">
        <v>3686</v>
      </c>
      <c r="E914" s="1">
        <v>45735</v>
      </c>
      <c r="F914" t="s">
        <v>68</v>
      </c>
      <c r="G914" t="s">
        <v>66</v>
      </c>
      <c r="H914" t="s">
        <v>67</v>
      </c>
      <c r="I914" t="s">
        <v>2628</v>
      </c>
      <c r="J914" t="s">
        <v>2642</v>
      </c>
      <c r="K914" t="s">
        <v>25</v>
      </c>
      <c r="L914">
        <v>55</v>
      </c>
      <c r="M914">
        <v>1</v>
      </c>
      <c r="N914">
        <v>25</v>
      </c>
      <c r="O914" t="s">
        <v>2419</v>
      </c>
      <c r="P914" t="s">
        <v>33</v>
      </c>
      <c r="Q914" t="s">
        <v>58</v>
      </c>
      <c r="R914" t="s">
        <v>62</v>
      </c>
      <c r="S914" t="s">
        <v>69</v>
      </c>
      <c r="T914">
        <v>5</v>
      </c>
      <c r="U914" s="5">
        <v>367.91</v>
      </c>
      <c r="V914" s="5">
        <v>204.33</v>
      </c>
      <c r="W914">
        <v>4</v>
      </c>
      <c r="X914" t="s">
        <v>34</v>
      </c>
      <c r="Y914">
        <v>2025</v>
      </c>
      <c r="Z914" t="str">
        <f>TEXT(Table1[[#This Row],[Order Date]],"MMM")</f>
        <v>Mar</v>
      </c>
      <c r="AA914" s="5">
        <f>Table1[[#This Row],[Unit Price]]*Table1[[#This Row],[Quantity]]*(1-Table1[[#This Row],[Discount %]]/100)</f>
        <v>275.9325</v>
      </c>
      <c r="AB914" s="5">
        <f>Table1[[#This Row],[Sales]]-Table1[[#This Row],[Cost]]</f>
        <v>71.602499999999992</v>
      </c>
    </row>
    <row r="915" spans="1:28" x14ac:dyDescent="0.3">
      <c r="A915" t="s">
        <v>2420</v>
      </c>
      <c r="B915" s="1">
        <v>45971</v>
      </c>
      <c r="C915" t="s">
        <v>2421</v>
      </c>
      <c r="D915" t="s">
        <v>3687</v>
      </c>
      <c r="E915" s="1">
        <v>45978</v>
      </c>
      <c r="F915" t="s">
        <v>68</v>
      </c>
      <c r="G915" t="s">
        <v>66</v>
      </c>
      <c r="H915" t="s">
        <v>67</v>
      </c>
      <c r="I915" t="s">
        <v>2625</v>
      </c>
      <c r="J915" t="s">
        <v>2626</v>
      </c>
      <c r="K915" t="s">
        <v>52</v>
      </c>
      <c r="L915">
        <v>61</v>
      </c>
      <c r="M915">
        <v>1</v>
      </c>
      <c r="N915">
        <v>10</v>
      </c>
      <c r="O915" t="s">
        <v>1062</v>
      </c>
      <c r="P915" t="s">
        <v>44</v>
      </c>
      <c r="Q915" t="s">
        <v>58</v>
      </c>
      <c r="R915" t="s">
        <v>32</v>
      </c>
      <c r="S915" t="s">
        <v>69</v>
      </c>
      <c r="T915">
        <v>2</v>
      </c>
      <c r="U915" s="5">
        <v>73.37</v>
      </c>
      <c r="V915" s="5">
        <v>38.299999999999997</v>
      </c>
      <c r="W915">
        <v>7</v>
      </c>
      <c r="X915" t="s">
        <v>94</v>
      </c>
      <c r="Y915">
        <v>2025</v>
      </c>
      <c r="Z915" t="str">
        <f>TEXT(Table1[[#This Row],[Order Date]],"MMM")</f>
        <v>Nov</v>
      </c>
      <c r="AA915" s="5">
        <f>Table1[[#This Row],[Unit Price]]*Table1[[#This Row],[Quantity]]*(1-Table1[[#This Row],[Discount %]]/100)</f>
        <v>66.033000000000001</v>
      </c>
      <c r="AB915" s="5">
        <f>Table1[[#This Row],[Sales]]-Table1[[#This Row],[Cost]]</f>
        <v>27.733000000000004</v>
      </c>
    </row>
    <row r="916" spans="1:28" x14ac:dyDescent="0.3">
      <c r="A916" t="s">
        <v>2422</v>
      </c>
      <c r="B916" s="1">
        <v>45679</v>
      </c>
      <c r="C916" t="s">
        <v>2423</v>
      </c>
      <c r="D916" t="s">
        <v>3688</v>
      </c>
      <c r="E916" s="1">
        <v>45680</v>
      </c>
      <c r="F916" t="s">
        <v>128</v>
      </c>
      <c r="G916" t="s">
        <v>98</v>
      </c>
      <c r="H916" t="s">
        <v>127</v>
      </c>
      <c r="I916" t="s">
        <v>2664</v>
      </c>
      <c r="J916" t="s">
        <v>2678</v>
      </c>
      <c r="K916" t="s">
        <v>25</v>
      </c>
      <c r="L916">
        <v>37</v>
      </c>
      <c r="M916">
        <v>4</v>
      </c>
      <c r="N916">
        <v>5</v>
      </c>
      <c r="O916" t="s">
        <v>461</v>
      </c>
      <c r="P916" t="s">
        <v>33</v>
      </c>
      <c r="Q916" t="s">
        <v>31</v>
      </c>
      <c r="R916" t="s">
        <v>32</v>
      </c>
      <c r="S916" t="s">
        <v>129</v>
      </c>
      <c r="T916">
        <v>3</v>
      </c>
      <c r="U916" s="5">
        <v>358.62</v>
      </c>
      <c r="V916" s="5">
        <v>739.11</v>
      </c>
      <c r="W916">
        <v>1</v>
      </c>
      <c r="X916" t="s">
        <v>34</v>
      </c>
      <c r="Y916">
        <v>2025</v>
      </c>
      <c r="Z916" t="str">
        <f>TEXT(Table1[[#This Row],[Order Date]],"MMM")</f>
        <v>Jan</v>
      </c>
      <c r="AA916" s="5">
        <f>Table1[[#This Row],[Unit Price]]*Table1[[#This Row],[Quantity]]*(1-Table1[[#This Row],[Discount %]]/100)</f>
        <v>1362.7559999999999</v>
      </c>
      <c r="AB916" s="5">
        <f>Table1[[#This Row],[Sales]]-Table1[[#This Row],[Cost]]</f>
        <v>623.64599999999984</v>
      </c>
    </row>
    <row r="917" spans="1:28" x14ac:dyDescent="0.3">
      <c r="A917" t="s">
        <v>2424</v>
      </c>
      <c r="B917" s="1">
        <v>45313</v>
      </c>
      <c r="C917" t="s">
        <v>2425</v>
      </c>
      <c r="D917" t="s">
        <v>3689</v>
      </c>
      <c r="E917" s="1">
        <v>45318</v>
      </c>
      <c r="F917" t="s">
        <v>29</v>
      </c>
      <c r="G917" t="s">
        <v>27</v>
      </c>
      <c r="H917" t="s">
        <v>28</v>
      </c>
      <c r="I917" t="s">
        <v>2627</v>
      </c>
      <c r="J917" t="s">
        <v>2690</v>
      </c>
      <c r="K917" t="s">
        <v>52</v>
      </c>
      <c r="L917">
        <v>34</v>
      </c>
      <c r="M917">
        <v>4</v>
      </c>
      <c r="N917">
        <v>5</v>
      </c>
      <c r="O917" t="s">
        <v>2426</v>
      </c>
      <c r="P917" t="s">
        <v>33</v>
      </c>
      <c r="Q917" t="s">
        <v>117</v>
      </c>
      <c r="R917" t="s">
        <v>32</v>
      </c>
      <c r="S917" t="s">
        <v>30</v>
      </c>
      <c r="T917">
        <v>1</v>
      </c>
      <c r="U917" s="5">
        <v>802.89</v>
      </c>
      <c r="V917" s="5">
        <v>1746.36</v>
      </c>
      <c r="W917">
        <v>5</v>
      </c>
      <c r="X917" t="s">
        <v>34</v>
      </c>
      <c r="Y917">
        <v>2024</v>
      </c>
      <c r="Z917" t="str">
        <f>TEXT(Table1[[#This Row],[Order Date]],"MMM")</f>
        <v>Jan</v>
      </c>
      <c r="AA917" s="5">
        <f>Table1[[#This Row],[Unit Price]]*Table1[[#This Row],[Quantity]]*(1-Table1[[#This Row],[Discount %]]/100)</f>
        <v>3050.982</v>
      </c>
      <c r="AB917" s="5">
        <f>Table1[[#This Row],[Sales]]-Table1[[#This Row],[Cost]]</f>
        <v>1304.6220000000001</v>
      </c>
    </row>
    <row r="918" spans="1:28" x14ac:dyDescent="0.3">
      <c r="A918" t="s">
        <v>2427</v>
      </c>
      <c r="B918" s="1">
        <v>45424</v>
      </c>
      <c r="C918" t="s">
        <v>2428</v>
      </c>
      <c r="D918" t="s">
        <v>3690</v>
      </c>
      <c r="E918" s="1">
        <v>45425</v>
      </c>
      <c r="F918" t="s">
        <v>56</v>
      </c>
      <c r="G918" t="s">
        <v>54</v>
      </c>
      <c r="H918" t="s">
        <v>55</v>
      </c>
      <c r="I918" t="s">
        <v>2618</v>
      </c>
      <c r="J918" t="s">
        <v>2618</v>
      </c>
      <c r="K918" t="s">
        <v>25</v>
      </c>
      <c r="L918">
        <v>41</v>
      </c>
      <c r="M918">
        <v>5</v>
      </c>
      <c r="N918">
        <v>5</v>
      </c>
      <c r="O918" t="s">
        <v>2117</v>
      </c>
      <c r="P918" t="s">
        <v>33</v>
      </c>
      <c r="Q918" t="s">
        <v>31</v>
      </c>
      <c r="R918" t="s">
        <v>62</v>
      </c>
      <c r="S918" t="s">
        <v>57</v>
      </c>
      <c r="T918">
        <v>5</v>
      </c>
      <c r="U918" s="5">
        <v>586.54999999999995</v>
      </c>
      <c r="V918" s="5">
        <v>1620.6</v>
      </c>
      <c r="W918">
        <v>1</v>
      </c>
      <c r="X918" t="s">
        <v>49</v>
      </c>
      <c r="Y918">
        <v>2024</v>
      </c>
      <c r="Z918" t="str">
        <f>TEXT(Table1[[#This Row],[Order Date]],"MMM")</f>
        <v>May</v>
      </c>
      <c r="AA918" s="5">
        <f>Table1[[#This Row],[Unit Price]]*Table1[[#This Row],[Quantity]]*(1-Table1[[#This Row],[Discount %]]/100)</f>
        <v>2786.1124999999997</v>
      </c>
      <c r="AB918" s="5">
        <f>Table1[[#This Row],[Sales]]-Table1[[#This Row],[Cost]]</f>
        <v>1165.5124999999998</v>
      </c>
    </row>
    <row r="919" spans="1:28" x14ac:dyDescent="0.3">
      <c r="A919" t="s">
        <v>2429</v>
      </c>
      <c r="B919" s="1">
        <v>45688</v>
      </c>
      <c r="C919" t="s">
        <v>2430</v>
      </c>
      <c r="D919" t="s">
        <v>3691</v>
      </c>
      <c r="E919" s="1">
        <v>45692</v>
      </c>
      <c r="F919" t="s">
        <v>29</v>
      </c>
      <c r="G919" t="s">
        <v>27</v>
      </c>
      <c r="H919" t="s">
        <v>28</v>
      </c>
      <c r="I919" t="s">
        <v>2627</v>
      </c>
      <c r="J919" t="s">
        <v>2690</v>
      </c>
      <c r="K919" t="s">
        <v>25</v>
      </c>
      <c r="L919">
        <v>57</v>
      </c>
      <c r="M919">
        <v>4</v>
      </c>
      <c r="N919">
        <v>10</v>
      </c>
      <c r="O919" t="s">
        <v>2219</v>
      </c>
      <c r="P919" t="s">
        <v>75</v>
      </c>
      <c r="Q919" t="s">
        <v>58</v>
      </c>
      <c r="R919" t="s">
        <v>43</v>
      </c>
      <c r="S919" t="s">
        <v>30</v>
      </c>
      <c r="T919">
        <v>3</v>
      </c>
      <c r="U919" s="5">
        <v>447.01</v>
      </c>
      <c r="V919" s="5">
        <v>1252.56</v>
      </c>
      <c r="W919">
        <v>4</v>
      </c>
      <c r="X919" t="s">
        <v>34</v>
      </c>
      <c r="Y919">
        <v>2025</v>
      </c>
      <c r="Z919" t="str">
        <f>TEXT(Table1[[#This Row],[Order Date]],"MMM")</f>
        <v>Jan</v>
      </c>
      <c r="AA919" s="5">
        <f>Table1[[#This Row],[Unit Price]]*Table1[[#This Row],[Quantity]]*(1-Table1[[#This Row],[Discount %]]/100)</f>
        <v>1609.2360000000001</v>
      </c>
      <c r="AB919" s="5">
        <f>Table1[[#This Row],[Sales]]-Table1[[#This Row],[Cost]]</f>
        <v>356.67600000000016</v>
      </c>
    </row>
    <row r="920" spans="1:28" x14ac:dyDescent="0.3">
      <c r="A920" t="s">
        <v>2431</v>
      </c>
      <c r="B920" s="1">
        <v>45308</v>
      </c>
      <c r="C920" t="s">
        <v>776</v>
      </c>
      <c r="D920" t="s">
        <v>3692</v>
      </c>
      <c r="E920" s="1">
        <v>45310</v>
      </c>
      <c r="F920" t="s">
        <v>40</v>
      </c>
      <c r="G920" t="s">
        <v>38</v>
      </c>
      <c r="H920" t="s">
        <v>39</v>
      </c>
      <c r="I920" t="s">
        <v>2650</v>
      </c>
      <c r="J920" t="s">
        <v>2698</v>
      </c>
      <c r="K920" t="s">
        <v>52</v>
      </c>
      <c r="L920">
        <v>20</v>
      </c>
      <c r="M920">
        <v>5</v>
      </c>
      <c r="N920">
        <v>10</v>
      </c>
      <c r="O920" t="s">
        <v>2432</v>
      </c>
      <c r="P920" t="s">
        <v>75</v>
      </c>
      <c r="Q920" t="s">
        <v>42</v>
      </c>
      <c r="R920" t="s">
        <v>43</v>
      </c>
      <c r="S920" t="s">
        <v>41</v>
      </c>
      <c r="T920">
        <v>5</v>
      </c>
      <c r="U920" s="5">
        <v>450.15</v>
      </c>
      <c r="V920" s="5">
        <v>1647.09</v>
      </c>
      <c r="W920">
        <v>2</v>
      </c>
      <c r="X920" t="s">
        <v>34</v>
      </c>
      <c r="Y920">
        <v>2024</v>
      </c>
      <c r="Z920" t="str">
        <f>TEXT(Table1[[#This Row],[Order Date]],"MMM")</f>
        <v>Jan</v>
      </c>
      <c r="AA920" s="5">
        <f>Table1[[#This Row],[Unit Price]]*Table1[[#This Row],[Quantity]]*(1-Table1[[#This Row],[Discount %]]/100)</f>
        <v>2025.675</v>
      </c>
      <c r="AB920" s="5">
        <f>Table1[[#This Row],[Sales]]-Table1[[#This Row],[Cost]]</f>
        <v>378.58500000000004</v>
      </c>
    </row>
    <row r="921" spans="1:28" x14ac:dyDescent="0.3">
      <c r="A921" t="s">
        <v>2433</v>
      </c>
      <c r="B921" s="1">
        <v>46029</v>
      </c>
      <c r="C921" t="s">
        <v>2434</v>
      </c>
      <c r="D921" t="s">
        <v>3693</v>
      </c>
      <c r="E921" s="1">
        <v>46031</v>
      </c>
      <c r="F921" t="s">
        <v>56</v>
      </c>
      <c r="G921" t="s">
        <v>54</v>
      </c>
      <c r="H921" t="s">
        <v>55</v>
      </c>
      <c r="I921" t="s">
        <v>2650</v>
      </c>
      <c r="J921" t="s">
        <v>2698</v>
      </c>
      <c r="K921" t="s">
        <v>52</v>
      </c>
      <c r="L921">
        <v>48</v>
      </c>
      <c r="M921">
        <v>5</v>
      </c>
      <c r="N921">
        <v>0</v>
      </c>
      <c r="O921" t="s">
        <v>2435</v>
      </c>
      <c r="P921" t="s">
        <v>75</v>
      </c>
      <c r="Q921" t="s">
        <v>58</v>
      </c>
      <c r="R921" t="s">
        <v>32</v>
      </c>
      <c r="S921" t="s">
        <v>57</v>
      </c>
      <c r="T921">
        <v>4</v>
      </c>
      <c r="U921" s="5">
        <v>262.91000000000003</v>
      </c>
      <c r="V921" s="5">
        <v>1106.19</v>
      </c>
      <c r="W921">
        <v>2</v>
      </c>
      <c r="X921" t="s">
        <v>34</v>
      </c>
      <c r="Y921">
        <v>2026</v>
      </c>
      <c r="Z921" t="str">
        <f>TEXT(Table1[[#This Row],[Order Date]],"MMM")</f>
        <v>Jan</v>
      </c>
      <c r="AA921" s="5">
        <f>Table1[[#This Row],[Unit Price]]*Table1[[#This Row],[Quantity]]*(1-Table1[[#This Row],[Discount %]]/100)</f>
        <v>1314.5500000000002</v>
      </c>
      <c r="AB921" s="5">
        <f>Table1[[#This Row],[Sales]]-Table1[[#This Row],[Cost]]</f>
        <v>208.36000000000013</v>
      </c>
    </row>
    <row r="922" spans="1:28" x14ac:dyDescent="0.3">
      <c r="A922" t="s">
        <v>2436</v>
      </c>
      <c r="B922" s="1">
        <v>45615</v>
      </c>
      <c r="C922" t="s">
        <v>2437</v>
      </c>
      <c r="D922" t="s">
        <v>3694</v>
      </c>
      <c r="E922" s="1">
        <v>45618</v>
      </c>
      <c r="F922" t="s">
        <v>122</v>
      </c>
      <c r="G922" t="s">
        <v>120</v>
      </c>
      <c r="H922" t="s">
        <v>121</v>
      </c>
      <c r="I922" t="s">
        <v>2618</v>
      </c>
      <c r="J922" t="s">
        <v>2701</v>
      </c>
      <c r="K922" t="s">
        <v>25</v>
      </c>
      <c r="L922">
        <v>43</v>
      </c>
      <c r="M922">
        <v>3</v>
      </c>
      <c r="N922">
        <v>15</v>
      </c>
      <c r="O922" t="s">
        <v>2438</v>
      </c>
      <c r="P922" t="s">
        <v>44</v>
      </c>
      <c r="Q922" t="s">
        <v>58</v>
      </c>
      <c r="R922" t="s">
        <v>32</v>
      </c>
      <c r="S922" t="s">
        <v>123</v>
      </c>
      <c r="T922">
        <v>5</v>
      </c>
      <c r="U922" s="5">
        <v>394.92</v>
      </c>
      <c r="V922" s="5">
        <v>672.66</v>
      </c>
      <c r="W922">
        <v>3</v>
      </c>
      <c r="X922" t="s">
        <v>94</v>
      </c>
      <c r="Y922">
        <v>2024</v>
      </c>
      <c r="Z922" t="str">
        <f>TEXT(Table1[[#This Row],[Order Date]],"MMM")</f>
        <v>Nov</v>
      </c>
      <c r="AA922" s="5">
        <f>Table1[[#This Row],[Unit Price]]*Table1[[#This Row],[Quantity]]*(1-Table1[[#This Row],[Discount %]]/100)</f>
        <v>1007.0459999999999</v>
      </c>
      <c r="AB922" s="5">
        <f>Table1[[#This Row],[Sales]]-Table1[[#This Row],[Cost]]</f>
        <v>334.38599999999997</v>
      </c>
    </row>
    <row r="923" spans="1:28" x14ac:dyDescent="0.3">
      <c r="A923" t="s">
        <v>2439</v>
      </c>
      <c r="B923" s="1">
        <v>46138</v>
      </c>
      <c r="C923" t="s">
        <v>2440</v>
      </c>
      <c r="D923" t="s">
        <v>3695</v>
      </c>
      <c r="E923" s="1">
        <v>46141</v>
      </c>
      <c r="F923" t="s">
        <v>122</v>
      </c>
      <c r="G923" t="s">
        <v>120</v>
      </c>
      <c r="H923" t="s">
        <v>121</v>
      </c>
      <c r="I923" t="s">
        <v>2627</v>
      </c>
      <c r="J923" t="s">
        <v>2690</v>
      </c>
      <c r="K923" t="s">
        <v>52</v>
      </c>
      <c r="L923">
        <v>21</v>
      </c>
      <c r="M923">
        <v>2</v>
      </c>
      <c r="N923">
        <v>25</v>
      </c>
      <c r="O923" t="s">
        <v>1978</v>
      </c>
      <c r="P923" t="s">
        <v>75</v>
      </c>
      <c r="Q923" t="s">
        <v>31</v>
      </c>
      <c r="R923" t="s">
        <v>43</v>
      </c>
      <c r="S923" t="s">
        <v>123</v>
      </c>
      <c r="T923">
        <v>5</v>
      </c>
      <c r="U923" s="5">
        <v>724.07</v>
      </c>
      <c r="V923" s="5">
        <v>716.26</v>
      </c>
      <c r="W923">
        <v>3</v>
      </c>
      <c r="X923" t="s">
        <v>49</v>
      </c>
      <c r="Y923">
        <v>2026</v>
      </c>
      <c r="Z923" t="str">
        <f>TEXT(Table1[[#This Row],[Order Date]],"MMM")</f>
        <v>Apr</v>
      </c>
      <c r="AA923" s="5">
        <f>Table1[[#This Row],[Unit Price]]*Table1[[#This Row],[Quantity]]*(1-Table1[[#This Row],[Discount %]]/100)</f>
        <v>1086.105</v>
      </c>
      <c r="AB923" s="5">
        <f>Table1[[#This Row],[Sales]]-Table1[[#This Row],[Cost]]</f>
        <v>369.84500000000003</v>
      </c>
    </row>
    <row r="924" spans="1:28" x14ac:dyDescent="0.3">
      <c r="A924" t="s">
        <v>2441</v>
      </c>
      <c r="B924" s="1">
        <v>45873</v>
      </c>
      <c r="C924" t="s">
        <v>2442</v>
      </c>
      <c r="D924" t="s">
        <v>3696</v>
      </c>
      <c r="E924" s="1">
        <v>45879</v>
      </c>
      <c r="F924" t="s">
        <v>128</v>
      </c>
      <c r="G924" t="s">
        <v>98</v>
      </c>
      <c r="H924" t="s">
        <v>127</v>
      </c>
      <c r="I924" t="s">
        <v>2657</v>
      </c>
      <c r="J924" t="s">
        <v>2658</v>
      </c>
      <c r="K924" t="s">
        <v>25</v>
      </c>
      <c r="L924">
        <v>42</v>
      </c>
      <c r="M924">
        <v>4</v>
      </c>
      <c r="N924">
        <v>5</v>
      </c>
      <c r="O924" t="s">
        <v>1666</v>
      </c>
      <c r="P924" t="s">
        <v>33</v>
      </c>
      <c r="Q924" t="s">
        <v>117</v>
      </c>
      <c r="R924" t="s">
        <v>71</v>
      </c>
      <c r="S924" t="s">
        <v>129</v>
      </c>
      <c r="T924">
        <v>4</v>
      </c>
      <c r="U924" s="5">
        <v>940.18</v>
      </c>
      <c r="V924" s="5">
        <v>2707.63</v>
      </c>
      <c r="W924">
        <v>6</v>
      </c>
      <c r="X924" t="s">
        <v>45</v>
      </c>
      <c r="Y924">
        <v>2025</v>
      </c>
      <c r="Z924" t="str">
        <f>TEXT(Table1[[#This Row],[Order Date]],"MMM")</f>
        <v>Aug</v>
      </c>
      <c r="AA924" s="5">
        <f>Table1[[#This Row],[Unit Price]]*Table1[[#This Row],[Quantity]]*(1-Table1[[#This Row],[Discount %]]/100)</f>
        <v>3572.6839999999997</v>
      </c>
      <c r="AB924" s="5">
        <f>Table1[[#This Row],[Sales]]-Table1[[#This Row],[Cost]]</f>
        <v>865.05399999999963</v>
      </c>
    </row>
    <row r="925" spans="1:28" x14ac:dyDescent="0.3">
      <c r="A925" t="s">
        <v>2443</v>
      </c>
      <c r="B925" s="1">
        <v>45991</v>
      </c>
      <c r="C925" t="s">
        <v>2444</v>
      </c>
      <c r="D925" t="s">
        <v>3697</v>
      </c>
      <c r="E925" s="1">
        <v>45995</v>
      </c>
      <c r="F925" t="s">
        <v>68</v>
      </c>
      <c r="G925" t="s">
        <v>66</v>
      </c>
      <c r="H925" t="s">
        <v>67</v>
      </c>
      <c r="I925" t="s">
        <v>2621</v>
      </c>
      <c r="J925" t="s">
        <v>2622</v>
      </c>
      <c r="K925" t="s">
        <v>52</v>
      </c>
      <c r="L925">
        <v>27</v>
      </c>
      <c r="M925">
        <v>3</v>
      </c>
      <c r="N925">
        <v>15</v>
      </c>
      <c r="O925" t="s">
        <v>2445</v>
      </c>
      <c r="P925" t="s">
        <v>44</v>
      </c>
      <c r="Q925" t="s">
        <v>42</v>
      </c>
      <c r="R925" t="s">
        <v>32</v>
      </c>
      <c r="S925" t="s">
        <v>69</v>
      </c>
      <c r="T925">
        <v>3</v>
      </c>
      <c r="U925" s="5">
        <v>937.03</v>
      </c>
      <c r="V925" s="5">
        <v>1768.64</v>
      </c>
      <c r="W925">
        <v>4</v>
      </c>
      <c r="X925" t="s">
        <v>94</v>
      </c>
      <c r="Y925">
        <v>2025</v>
      </c>
      <c r="Z925" t="str">
        <f>TEXT(Table1[[#This Row],[Order Date]],"MMM")</f>
        <v>Nov</v>
      </c>
      <c r="AA925" s="5">
        <f>Table1[[#This Row],[Unit Price]]*Table1[[#This Row],[Quantity]]*(1-Table1[[#This Row],[Discount %]]/100)</f>
        <v>2389.4265</v>
      </c>
      <c r="AB925" s="5">
        <f>Table1[[#This Row],[Sales]]-Table1[[#This Row],[Cost]]</f>
        <v>620.78649999999993</v>
      </c>
    </row>
    <row r="926" spans="1:28" x14ac:dyDescent="0.3">
      <c r="A926" t="s">
        <v>2446</v>
      </c>
      <c r="B926" s="1">
        <v>45846</v>
      </c>
      <c r="C926" t="s">
        <v>2447</v>
      </c>
      <c r="D926" t="s">
        <v>3698</v>
      </c>
      <c r="E926" s="1">
        <v>45850</v>
      </c>
      <c r="F926" t="s">
        <v>100</v>
      </c>
      <c r="G926" t="s">
        <v>98</v>
      </c>
      <c r="H926" t="s">
        <v>99</v>
      </c>
      <c r="I926" t="s">
        <v>2661</v>
      </c>
      <c r="J926" t="s">
        <v>2662</v>
      </c>
      <c r="K926" t="s">
        <v>52</v>
      </c>
      <c r="L926">
        <v>28</v>
      </c>
      <c r="M926">
        <v>2</v>
      </c>
      <c r="N926">
        <v>10</v>
      </c>
      <c r="O926" t="s">
        <v>2448</v>
      </c>
      <c r="P926" t="s">
        <v>75</v>
      </c>
      <c r="Q926" t="s">
        <v>31</v>
      </c>
      <c r="R926" t="s">
        <v>71</v>
      </c>
      <c r="S926" t="s">
        <v>101</v>
      </c>
      <c r="T926">
        <v>4</v>
      </c>
      <c r="U926" s="5">
        <v>910.98</v>
      </c>
      <c r="V926" s="5">
        <v>1184.8499999999999</v>
      </c>
      <c r="W926">
        <v>4</v>
      </c>
      <c r="X926" t="s">
        <v>45</v>
      </c>
      <c r="Y926">
        <v>2025</v>
      </c>
      <c r="Z926" t="str">
        <f>TEXT(Table1[[#This Row],[Order Date]],"MMM")</f>
        <v>Jul</v>
      </c>
      <c r="AA926" s="5">
        <f>Table1[[#This Row],[Unit Price]]*Table1[[#This Row],[Quantity]]*(1-Table1[[#This Row],[Discount %]]/100)</f>
        <v>1639.7640000000001</v>
      </c>
      <c r="AB926" s="5">
        <f>Table1[[#This Row],[Sales]]-Table1[[#This Row],[Cost]]</f>
        <v>454.91400000000021</v>
      </c>
    </row>
    <row r="927" spans="1:28" x14ac:dyDescent="0.3">
      <c r="A927" t="s">
        <v>2449</v>
      </c>
      <c r="B927" s="1">
        <v>45383</v>
      </c>
      <c r="C927" t="s">
        <v>2450</v>
      </c>
      <c r="D927" t="s">
        <v>3699</v>
      </c>
      <c r="E927" s="1">
        <v>45389</v>
      </c>
      <c r="F927" t="s">
        <v>29</v>
      </c>
      <c r="G927" t="s">
        <v>27</v>
      </c>
      <c r="H927" t="s">
        <v>28</v>
      </c>
      <c r="I927" t="s">
        <v>2621</v>
      </c>
      <c r="J927" t="s">
        <v>2699</v>
      </c>
      <c r="K927" t="s">
        <v>52</v>
      </c>
      <c r="L927">
        <v>36</v>
      </c>
      <c r="M927">
        <v>3</v>
      </c>
      <c r="N927">
        <v>5</v>
      </c>
      <c r="O927" t="s">
        <v>2451</v>
      </c>
      <c r="P927" t="s">
        <v>44</v>
      </c>
      <c r="Q927" t="s">
        <v>58</v>
      </c>
      <c r="R927" t="s">
        <v>43</v>
      </c>
      <c r="S927" t="s">
        <v>30</v>
      </c>
      <c r="T927">
        <v>5</v>
      </c>
      <c r="U927" s="5">
        <v>252.82</v>
      </c>
      <c r="V927" s="5">
        <v>447.42</v>
      </c>
      <c r="W927">
        <v>6</v>
      </c>
      <c r="X927" t="s">
        <v>49</v>
      </c>
      <c r="Y927">
        <v>2024</v>
      </c>
      <c r="Z927" t="str">
        <f>TEXT(Table1[[#This Row],[Order Date]],"MMM")</f>
        <v>Apr</v>
      </c>
      <c r="AA927" s="5">
        <f>Table1[[#This Row],[Unit Price]]*Table1[[#This Row],[Quantity]]*(1-Table1[[#This Row],[Discount %]]/100)</f>
        <v>720.53700000000003</v>
      </c>
      <c r="AB927" s="5">
        <f>Table1[[#This Row],[Sales]]-Table1[[#This Row],[Cost]]</f>
        <v>273.11700000000002</v>
      </c>
    </row>
    <row r="928" spans="1:28" x14ac:dyDescent="0.3">
      <c r="A928" t="s">
        <v>2452</v>
      </c>
      <c r="B928" s="1">
        <v>45671</v>
      </c>
      <c r="C928" t="s">
        <v>2453</v>
      </c>
      <c r="D928" t="s">
        <v>3700</v>
      </c>
      <c r="E928" s="1">
        <v>45677</v>
      </c>
      <c r="F928" t="s">
        <v>115</v>
      </c>
      <c r="G928" t="s">
        <v>66</v>
      </c>
      <c r="H928" t="s">
        <v>114</v>
      </c>
      <c r="I928" t="s">
        <v>2657</v>
      </c>
      <c r="J928" t="s">
        <v>2667</v>
      </c>
      <c r="K928" t="s">
        <v>25</v>
      </c>
      <c r="L928">
        <v>58</v>
      </c>
      <c r="M928">
        <v>2</v>
      </c>
      <c r="N928">
        <v>30</v>
      </c>
      <c r="O928" t="s">
        <v>2454</v>
      </c>
      <c r="P928" t="s">
        <v>44</v>
      </c>
      <c r="Q928" t="s">
        <v>31</v>
      </c>
      <c r="R928" t="s">
        <v>32</v>
      </c>
      <c r="S928" t="s">
        <v>116</v>
      </c>
      <c r="T928">
        <v>2</v>
      </c>
      <c r="U928" s="5">
        <v>356.26</v>
      </c>
      <c r="V928" s="5">
        <v>308.16000000000003</v>
      </c>
      <c r="W928">
        <v>6</v>
      </c>
      <c r="X928" t="s">
        <v>34</v>
      </c>
      <c r="Y928">
        <v>2025</v>
      </c>
      <c r="Z928" t="str">
        <f>TEXT(Table1[[#This Row],[Order Date]],"MMM")</f>
        <v>Jan</v>
      </c>
      <c r="AA928" s="5">
        <f>Table1[[#This Row],[Unit Price]]*Table1[[#This Row],[Quantity]]*(1-Table1[[#This Row],[Discount %]]/100)</f>
        <v>498.76399999999995</v>
      </c>
      <c r="AB928" s="5">
        <f>Table1[[#This Row],[Sales]]-Table1[[#This Row],[Cost]]</f>
        <v>190.60399999999993</v>
      </c>
    </row>
    <row r="929" spans="1:28" x14ac:dyDescent="0.3">
      <c r="A929" t="s">
        <v>2455</v>
      </c>
      <c r="B929" s="1">
        <v>45851</v>
      </c>
      <c r="C929" t="s">
        <v>2456</v>
      </c>
      <c r="D929" t="s">
        <v>3701</v>
      </c>
      <c r="E929" s="1">
        <v>45854</v>
      </c>
      <c r="F929" t="s">
        <v>100</v>
      </c>
      <c r="G929" t="s">
        <v>98</v>
      </c>
      <c r="H929" t="s">
        <v>99</v>
      </c>
      <c r="I929" t="s">
        <v>2625</v>
      </c>
      <c r="J929" t="s">
        <v>2693</v>
      </c>
      <c r="K929" t="s">
        <v>25</v>
      </c>
      <c r="L929">
        <v>58</v>
      </c>
      <c r="M929">
        <v>3</v>
      </c>
      <c r="N929">
        <v>10</v>
      </c>
      <c r="O929" t="s">
        <v>877</v>
      </c>
      <c r="P929" t="s">
        <v>44</v>
      </c>
      <c r="Q929" t="s">
        <v>117</v>
      </c>
      <c r="R929" t="s">
        <v>43</v>
      </c>
      <c r="S929" t="s">
        <v>101</v>
      </c>
      <c r="T929">
        <v>1</v>
      </c>
      <c r="U929" s="5">
        <v>418.12</v>
      </c>
      <c r="V929" s="5">
        <v>685.76</v>
      </c>
      <c r="W929">
        <v>3</v>
      </c>
      <c r="X929" t="s">
        <v>45</v>
      </c>
      <c r="Y929">
        <v>2025</v>
      </c>
      <c r="Z929" t="str">
        <f>TEXT(Table1[[#This Row],[Order Date]],"MMM")</f>
        <v>Jul</v>
      </c>
      <c r="AA929" s="5">
        <f>Table1[[#This Row],[Unit Price]]*Table1[[#This Row],[Quantity]]*(1-Table1[[#This Row],[Discount %]]/100)</f>
        <v>1128.9240000000002</v>
      </c>
      <c r="AB929" s="5">
        <f>Table1[[#This Row],[Sales]]-Table1[[#This Row],[Cost]]</f>
        <v>443.16400000000021</v>
      </c>
    </row>
    <row r="930" spans="1:28" x14ac:dyDescent="0.3">
      <c r="A930" t="s">
        <v>2457</v>
      </c>
      <c r="B930" s="1">
        <v>45689</v>
      </c>
      <c r="C930" t="s">
        <v>2458</v>
      </c>
      <c r="D930" t="s">
        <v>3702</v>
      </c>
      <c r="E930" s="1">
        <v>45696</v>
      </c>
      <c r="F930" t="s">
        <v>122</v>
      </c>
      <c r="G930" t="s">
        <v>120</v>
      </c>
      <c r="H930" t="s">
        <v>121</v>
      </c>
      <c r="I930" t="s">
        <v>2668</v>
      </c>
      <c r="J930" t="s">
        <v>2686</v>
      </c>
      <c r="K930" t="s">
        <v>25</v>
      </c>
      <c r="L930">
        <v>32</v>
      </c>
      <c r="M930">
        <v>2</v>
      </c>
      <c r="N930">
        <v>0</v>
      </c>
      <c r="O930" t="s">
        <v>1271</v>
      </c>
      <c r="P930" t="s">
        <v>75</v>
      </c>
      <c r="Q930" t="s">
        <v>58</v>
      </c>
      <c r="R930" t="s">
        <v>71</v>
      </c>
      <c r="S930" t="s">
        <v>123</v>
      </c>
      <c r="T930">
        <v>3</v>
      </c>
      <c r="U930" s="5">
        <v>554.15</v>
      </c>
      <c r="V930" s="5">
        <v>813.15</v>
      </c>
      <c r="W930">
        <v>7</v>
      </c>
      <c r="X930" t="s">
        <v>34</v>
      </c>
      <c r="Y930">
        <v>2025</v>
      </c>
      <c r="Z930" t="str">
        <f>TEXT(Table1[[#This Row],[Order Date]],"MMM")</f>
        <v>Feb</v>
      </c>
      <c r="AA930" s="5">
        <f>Table1[[#This Row],[Unit Price]]*Table1[[#This Row],[Quantity]]*(1-Table1[[#This Row],[Discount %]]/100)</f>
        <v>1108.3</v>
      </c>
      <c r="AB930" s="5">
        <f>Table1[[#This Row],[Sales]]-Table1[[#This Row],[Cost]]</f>
        <v>295.14999999999998</v>
      </c>
    </row>
    <row r="931" spans="1:28" x14ac:dyDescent="0.3">
      <c r="A931" t="s">
        <v>2459</v>
      </c>
      <c r="B931" s="1">
        <v>45427</v>
      </c>
      <c r="C931" t="s">
        <v>2460</v>
      </c>
      <c r="D931" t="s">
        <v>3703</v>
      </c>
      <c r="E931" s="1">
        <v>45431</v>
      </c>
      <c r="F931" t="s">
        <v>115</v>
      </c>
      <c r="G931" t="s">
        <v>66</v>
      </c>
      <c r="H931" t="s">
        <v>114</v>
      </c>
      <c r="I931" t="s">
        <v>2619</v>
      </c>
      <c r="J931" t="s">
        <v>2620</v>
      </c>
      <c r="K931" t="s">
        <v>52</v>
      </c>
      <c r="L931">
        <v>39</v>
      </c>
      <c r="M931">
        <v>3</v>
      </c>
      <c r="N931">
        <v>25</v>
      </c>
      <c r="O931" t="s">
        <v>506</v>
      </c>
      <c r="P931" t="s">
        <v>75</v>
      </c>
      <c r="Q931" t="s">
        <v>70</v>
      </c>
      <c r="R931" t="s">
        <v>62</v>
      </c>
      <c r="S931" t="s">
        <v>116</v>
      </c>
      <c r="T931">
        <v>1</v>
      </c>
      <c r="U931" s="5">
        <v>680.97</v>
      </c>
      <c r="V931" s="5">
        <v>1178.71</v>
      </c>
      <c r="W931">
        <v>4</v>
      </c>
      <c r="X931" t="s">
        <v>49</v>
      </c>
      <c r="Y931">
        <v>2024</v>
      </c>
      <c r="Z931" t="str">
        <f>TEXT(Table1[[#This Row],[Order Date]],"MMM")</f>
        <v>May</v>
      </c>
      <c r="AA931" s="5">
        <f>Table1[[#This Row],[Unit Price]]*Table1[[#This Row],[Quantity]]*(1-Table1[[#This Row],[Discount %]]/100)</f>
        <v>1532.1825000000001</v>
      </c>
      <c r="AB931" s="5">
        <f>Table1[[#This Row],[Sales]]-Table1[[#This Row],[Cost]]</f>
        <v>353.47250000000008</v>
      </c>
    </row>
    <row r="932" spans="1:28" x14ac:dyDescent="0.3">
      <c r="A932" t="s">
        <v>2461</v>
      </c>
      <c r="B932" s="1">
        <v>45562</v>
      </c>
      <c r="C932" t="s">
        <v>2462</v>
      </c>
      <c r="D932" t="s">
        <v>3704</v>
      </c>
      <c r="E932" s="1">
        <v>45566</v>
      </c>
      <c r="F932" t="s">
        <v>100</v>
      </c>
      <c r="G932" t="s">
        <v>98</v>
      </c>
      <c r="H932" t="s">
        <v>99</v>
      </c>
      <c r="I932" t="s">
        <v>2675</v>
      </c>
      <c r="J932" t="s">
        <v>2681</v>
      </c>
      <c r="K932" t="s">
        <v>25</v>
      </c>
      <c r="L932">
        <v>45</v>
      </c>
      <c r="M932">
        <v>2</v>
      </c>
      <c r="N932">
        <v>15</v>
      </c>
      <c r="O932" t="s">
        <v>677</v>
      </c>
      <c r="P932" t="s">
        <v>33</v>
      </c>
      <c r="Q932" t="s">
        <v>42</v>
      </c>
      <c r="R932" t="s">
        <v>62</v>
      </c>
      <c r="S932" t="s">
        <v>101</v>
      </c>
      <c r="T932">
        <v>1</v>
      </c>
      <c r="U932" s="5">
        <v>256.25</v>
      </c>
      <c r="V932" s="5">
        <v>224.44</v>
      </c>
      <c r="W932">
        <v>4</v>
      </c>
      <c r="X932" t="s">
        <v>45</v>
      </c>
      <c r="Y932">
        <v>2024</v>
      </c>
      <c r="Z932" t="str">
        <f>TEXT(Table1[[#This Row],[Order Date]],"MMM")</f>
        <v>Sep</v>
      </c>
      <c r="AA932" s="5">
        <f>Table1[[#This Row],[Unit Price]]*Table1[[#This Row],[Quantity]]*(1-Table1[[#This Row],[Discount %]]/100)</f>
        <v>435.625</v>
      </c>
      <c r="AB932" s="5">
        <f>Table1[[#This Row],[Sales]]-Table1[[#This Row],[Cost]]</f>
        <v>211.185</v>
      </c>
    </row>
    <row r="933" spans="1:28" x14ac:dyDescent="0.3">
      <c r="A933" t="s">
        <v>2463</v>
      </c>
      <c r="B933" s="1">
        <v>45971</v>
      </c>
      <c r="C933" t="s">
        <v>2464</v>
      </c>
      <c r="D933" t="s">
        <v>3612</v>
      </c>
      <c r="E933" s="1">
        <v>45978</v>
      </c>
      <c r="F933" t="s">
        <v>29</v>
      </c>
      <c r="G933" t="s">
        <v>27</v>
      </c>
      <c r="H933" t="s">
        <v>28</v>
      </c>
      <c r="I933" t="s">
        <v>2659</v>
      </c>
      <c r="J933" t="s">
        <v>2690</v>
      </c>
      <c r="K933" t="s">
        <v>25</v>
      </c>
      <c r="L933">
        <v>44</v>
      </c>
      <c r="M933">
        <v>1</v>
      </c>
      <c r="N933">
        <v>10</v>
      </c>
      <c r="O933" t="s">
        <v>791</v>
      </c>
      <c r="P933" t="s">
        <v>33</v>
      </c>
      <c r="Q933" t="s">
        <v>70</v>
      </c>
      <c r="R933" t="s">
        <v>43</v>
      </c>
      <c r="S933" t="s">
        <v>30</v>
      </c>
      <c r="T933">
        <v>1</v>
      </c>
      <c r="U933" s="5">
        <v>340.44</v>
      </c>
      <c r="V933" s="5">
        <v>186.83</v>
      </c>
      <c r="W933">
        <v>7</v>
      </c>
      <c r="X933" t="s">
        <v>94</v>
      </c>
      <c r="Y933">
        <v>2025</v>
      </c>
      <c r="Z933" t="str">
        <f>TEXT(Table1[[#This Row],[Order Date]],"MMM")</f>
        <v>Nov</v>
      </c>
      <c r="AA933" s="5">
        <f>Table1[[#This Row],[Unit Price]]*Table1[[#This Row],[Quantity]]*(1-Table1[[#This Row],[Discount %]]/100)</f>
        <v>306.39600000000002</v>
      </c>
      <c r="AB933" s="5">
        <f>Table1[[#This Row],[Sales]]-Table1[[#This Row],[Cost]]</f>
        <v>119.566</v>
      </c>
    </row>
    <row r="934" spans="1:28" x14ac:dyDescent="0.3">
      <c r="A934" t="s">
        <v>2465</v>
      </c>
      <c r="B934" s="1">
        <v>45763</v>
      </c>
      <c r="C934" t="s">
        <v>2466</v>
      </c>
      <c r="D934" t="s">
        <v>3613</v>
      </c>
      <c r="E934" s="1">
        <v>45768</v>
      </c>
      <c r="F934" t="s">
        <v>68</v>
      </c>
      <c r="G934" t="s">
        <v>66</v>
      </c>
      <c r="H934" t="s">
        <v>67</v>
      </c>
      <c r="I934" t="s">
        <v>2621</v>
      </c>
      <c r="J934" t="s">
        <v>2699</v>
      </c>
      <c r="K934" t="s">
        <v>25</v>
      </c>
      <c r="L934">
        <v>58</v>
      </c>
      <c r="M934">
        <v>5</v>
      </c>
      <c r="N934">
        <v>0</v>
      </c>
      <c r="O934" t="s">
        <v>2467</v>
      </c>
      <c r="P934" t="s">
        <v>33</v>
      </c>
      <c r="Q934" t="s">
        <v>42</v>
      </c>
      <c r="R934" t="s">
        <v>62</v>
      </c>
      <c r="S934" t="s">
        <v>69</v>
      </c>
      <c r="T934">
        <v>2</v>
      </c>
      <c r="U934" s="5">
        <v>674.64</v>
      </c>
      <c r="V934" s="5">
        <v>1988.82</v>
      </c>
      <c r="W934">
        <v>5</v>
      </c>
      <c r="X934" t="s">
        <v>49</v>
      </c>
      <c r="Y934">
        <v>2025</v>
      </c>
      <c r="Z934" t="str">
        <f>TEXT(Table1[[#This Row],[Order Date]],"MMM")</f>
        <v>Apr</v>
      </c>
      <c r="AA934" s="5">
        <f>Table1[[#This Row],[Unit Price]]*Table1[[#This Row],[Quantity]]*(1-Table1[[#This Row],[Discount %]]/100)</f>
        <v>3373.2</v>
      </c>
      <c r="AB934" s="5">
        <f>Table1[[#This Row],[Sales]]-Table1[[#This Row],[Cost]]</f>
        <v>1384.3799999999999</v>
      </c>
    </row>
    <row r="935" spans="1:28" x14ac:dyDescent="0.3">
      <c r="A935" t="s">
        <v>2468</v>
      </c>
      <c r="B935" s="1">
        <v>45982</v>
      </c>
      <c r="C935" t="s">
        <v>2469</v>
      </c>
      <c r="D935" t="s">
        <v>3614</v>
      </c>
      <c r="E935" s="1">
        <v>45986</v>
      </c>
      <c r="F935" t="s">
        <v>40</v>
      </c>
      <c r="G935" t="s">
        <v>38</v>
      </c>
      <c r="H935" t="s">
        <v>39</v>
      </c>
      <c r="I935" t="s">
        <v>2657</v>
      </c>
      <c r="J935" t="s">
        <v>2696</v>
      </c>
      <c r="K935" t="s">
        <v>25</v>
      </c>
      <c r="L935">
        <v>50</v>
      </c>
      <c r="M935">
        <v>4</v>
      </c>
      <c r="N935">
        <v>25</v>
      </c>
      <c r="O935" t="s">
        <v>368</v>
      </c>
      <c r="P935" t="s">
        <v>44</v>
      </c>
      <c r="Q935" t="s">
        <v>31</v>
      </c>
      <c r="R935" t="s">
        <v>71</v>
      </c>
      <c r="S935" t="s">
        <v>41</v>
      </c>
      <c r="T935">
        <v>1</v>
      </c>
      <c r="U935" s="5">
        <v>637.44000000000005</v>
      </c>
      <c r="V935" s="5">
        <v>1555.32</v>
      </c>
      <c r="W935">
        <v>4</v>
      </c>
      <c r="X935" t="s">
        <v>94</v>
      </c>
      <c r="Y935">
        <v>2025</v>
      </c>
      <c r="Z935" t="str">
        <f>TEXT(Table1[[#This Row],[Order Date]],"MMM")</f>
        <v>Nov</v>
      </c>
      <c r="AA935" s="5">
        <f>Table1[[#This Row],[Unit Price]]*Table1[[#This Row],[Quantity]]*(1-Table1[[#This Row],[Discount %]]/100)</f>
        <v>1912.3200000000002</v>
      </c>
      <c r="AB935" s="5">
        <f>Table1[[#This Row],[Sales]]-Table1[[#This Row],[Cost]]</f>
        <v>357.00000000000023</v>
      </c>
    </row>
    <row r="936" spans="1:28" x14ac:dyDescent="0.3">
      <c r="A936" t="s">
        <v>2470</v>
      </c>
      <c r="B936" s="1">
        <v>45552</v>
      </c>
      <c r="C936" t="s">
        <v>2471</v>
      </c>
      <c r="D936" t="s">
        <v>3615</v>
      </c>
      <c r="E936" s="1">
        <v>45558</v>
      </c>
      <c r="F936" t="s">
        <v>115</v>
      </c>
      <c r="G936" t="s">
        <v>66</v>
      </c>
      <c r="H936" t="s">
        <v>114</v>
      </c>
      <c r="I936" t="s">
        <v>2650</v>
      </c>
      <c r="J936" t="s">
        <v>2651</v>
      </c>
      <c r="K936" t="s">
        <v>25</v>
      </c>
      <c r="L936">
        <v>53</v>
      </c>
      <c r="M936">
        <v>4</v>
      </c>
      <c r="N936">
        <v>5</v>
      </c>
      <c r="O936" t="s">
        <v>2472</v>
      </c>
      <c r="P936" t="s">
        <v>44</v>
      </c>
      <c r="Q936" t="s">
        <v>31</v>
      </c>
      <c r="R936" t="s">
        <v>71</v>
      </c>
      <c r="S936" t="s">
        <v>116</v>
      </c>
      <c r="T936">
        <v>3</v>
      </c>
      <c r="U936" s="5">
        <v>800.88</v>
      </c>
      <c r="V936" s="5">
        <v>1889.51</v>
      </c>
      <c r="W936">
        <v>6</v>
      </c>
      <c r="X936" t="s">
        <v>45</v>
      </c>
      <c r="Y936">
        <v>2024</v>
      </c>
      <c r="Z936" t="str">
        <f>TEXT(Table1[[#This Row],[Order Date]],"MMM")</f>
        <v>Sep</v>
      </c>
      <c r="AA936" s="5">
        <f>Table1[[#This Row],[Unit Price]]*Table1[[#This Row],[Quantity]]*(1-Table1[[#This Row],[Discount %]]/100)</f>
        <v>3043.3440000000001</v>
      </c>
      <c r="AB936" s="5">
        <f>Table1[[#This Row],[Sales]]-Table1[[#This Row],[Cost]]</f>
        <v>1153.8340000000001</v>
      </c>
    </row>
    <row r="937" spans="1:28" x14ac:dyDescent="0.3">
      <c r="A937" t="s">
        <v>2473</v>
      </c>
      <c r="B937" s="1">
        <v>45923</v>
      </c>
      <c r="C937" t="s">
        <v>2474</v>
      </c>
      <c r="D937" t="s">
        <v>3616</v>
      </c>
      <c r="E937" s="1">
        <v>45924</v>
      </c>
      <c r="F937" t="s">
        <v>115</v>
      </c>
      <c r="G937" t="s">
        <v>66</v>
      </c>
      <c r="H937" t="s">
        <v>114</v>
      </c>
      <c r="I937" t="s">
        <v>2637</v>
      </c>
      <c r="J937" t="s">
        <v>2638</v>
      </c>
      <c r="K937" t="s">
        <v>25</v>
      </c>
      <c r="L937">
        <v>24</v>
      </c>
      <c r="M937">
        <v>3</v>
      </c>
      <c r="N937">
        <v>20</v>
      </c>
      <c r="O937" t="s">
        <v>2475</v>
      </c>
      <c r="P937" t="s">
        <v>44</v>
      </c>
      <c r="Q937" t="s">
        <v>42</v>
      </c>
      <c r="R937" t="s">
        <v>43</v>
      </c>
      <c r="S937" t="s">
        <v>116</v>
      </c>
      <c r="T937">
        <v>1</v>
      </c>
      <c r="U937" s="5">
        <v>217.31</v>
      </c>
      <c r="V937" s="5">
        <v>373.2</v>
      </c>
      <c r="W937">
        <v>1</v>
      </c>
      <c r="X937" t="s">
        <v>45</v>
      </c>
      <c r="Y937">
        <v>2025</v>
      </c>
      <c r="Z937" t="str">
        <f>TEXT(Table1[[#This Row],[Order Date]],"MMM")</f>
        <v>Sep</v>
      </c>
      <c r="AA937" s="5">
        <f>Table1[[#This Row],[Unit Price]]*Table1[[#This Row],[Quantity]]*(1-Table1[[#This Row],[Discount %]]/100)</f>
        <v>521.5440000000001</v>
      </c>
      <c r="AB937" s="5">
        <f>Table1[[#This Row],[Sales]]-Table1[[#This Row],[Cost]]</f>
        <v>148.34400000000011</v>
      </c>
    </row>
    <row r="938" spans="1:28" x14ac:dyDescent="0.3">
      <c r="A938" t="s">
        <v>2476</v>
      </c>
      <c r="B938" s="1">
        <v>45296</v>
      </c>
      <c r="C938" t="s">
        <v>2477</v>
      </c>
      <c r="D938" t="s">
        <v>3617</v>
      </c>
      <c r="E938" s="1">
        <v>45300</v>
      </c>
      <c r="F938" t="s">
        <v>122</v>
      </c>
      <c r="G938" t="s">
        <v>120</v>
      </c>
      <c r="H938" t="s">
        <v>121</v>
      </c>
      <c r="I938" t="s">
        <v>2621</v>
      </c>
      <c r="J938" t="s">
        <v>2663</v>
      </c>
      <c r="K938" t="s">
        <v>52</v>
      </c>
      <c r="L938">
        <v>45</v>
      </c>
      <c r="M938">
        <v>2</v>
      </c>
      <c r="N938">
        <v>30</v>
      </c>
      <c r="O938" t="s">
        <v>677</v>
      </c>
      <c r="P938" t="s">
        <v>75</v>
      </c>
      <c r="Q938" t="s">
        <v>58</v>
      </c>
      <c r="R938" t="s">
        <v>32</v>
      </c>
      <c r="S938" t="s">
        <v>123</v>
      </c>
      <c r="T938">
        <v>5</v>
      </c>
      <c r="U938" s="5">
        <v>242.03</v>
      </c>
      <c r="V938" s="5">
        <v>213.33</v>
      </c>
      <c r="W938">
        <v>4</v>
      </c>
      <c r="X938" t="s">
        <v>34</v>
      </c>
      <c r="Y938">
        <v>2024</v>
      </c>
      <c r="Z938" t="str">
        <f>TEXT(Table1[[#This Row],[Order Date]],"MMM")</f>
        <v>Jan</v>
      </c>
      <c r="AA938" s="5">
        <f>Table1[[#This Row],[Unit Price]]*Table1[[#This Row],[Quantity]]*(1-Table1[[#This Row],[Discount %]]/100)</f>
        <v>338.84199999999998</v>
      </c>
      <c r="AB938" s="5">
        <f>Table1[[#This Row],[Sales]]-Table1[[#This Row],[Cost]]</f>
        <v>125.51199999999997</v>
      </c>
    </row>
    <row r="939" spans="1:28" x14ac:dyDescent="0.3">
      <c r="A939" t="s">
        <v>2478</v>
      </c>
      <c r="B939" s="1">
        <v>45933</v>
      </c>
      <c r="C939" t="s">
        <v>2479</v>
      </c>
      <c r="D939" t="s">
        <v>3618</v>
      </c>
      <c r="E939" s="1">
        <v>45939</v>
      </c>
      <c r="F939" t="s">
        <v>140</v>
      </c>
      <c r="G939" t="s">
        <v>38</v>
      </c>
      <c r="H939" t="s">
        <v>139</v>
      </c>
      <c r="I939" t="s">
        <v>2627</v>
      </c>
      <c r="J939" t="s">
        <v>2690</v>
      </c>
      <c r="K939" t="s">
        <v>52</v>
      </c>
      <c r="L939">
        <v>38</v>
      </c>
      <c r="M939">
        <v>5</v>
      </c>
      <c r="N939">
        <v>10</v>
      </c>
      <c r="O939" t="s">
        <v>2480</v>
      </c>
      <c r="P939" t="s">
        <v>44</v>
      </c>
      <c r="Q939" t="s">
        <v>31</v>
      </c>
      <c r="R939" t="s">
        <v>71</v>
      </c>
      <c r="S939" t="s">
        <v>141</v>
      </c>
      <c r="T939">
        <v>4</v>
      </c>
      <c r="U939" s="5">
        <v>335.53</v>
      </c>
      <c r="V939" s="5">
        <v>1155.73</v>
      </c>
      <c r="W939">
        <v>6</v>
      </c>
      <c r="X939" t="s">
        <v>94</v>
      </c>
      <c r="Y939">
        <v>2025</v>
      </c>
      <c r="Z939" t="str">
        <f>TEXT(Table1[[#This Row],[Order Date]],"MMM")</f>
        <v>Oct</v>
      </c>
      <c r="AA939" s="5">
        <f>Table1[[#This Row],[Unit Price]]*Table1[[#This Row],[Quantity]]*(1-Table1[[#This Row],[Discount %]]/100)</f>
        <v>1509.885</v>
      </c>
      <c r="AB939" s="5">
        <f>Table1[[#This Row],[Sales]]-Table1[[#This Row],[Cost]]</f>
        <v>354.15499999999997</v>
      </c>
    </row>
    <row r="940" spans="1:28" x14ac:dyDescent="0.3">
      <c r="A940" t="s">
        <v>2481</v>
      </c>
      <c r="B940" s="1">
        <v>45733</v>
      </c>
      <c r="C940" t="s">
        <v>2482</v>
      </c>
      <c r="D940" t="s">
        <v>3619</v>
      </c>
      <c r="E940" s="1">
        <v>45740</v>
      </c>
      <c r="F940" t="s">
        <v>40</v>
      </c>
      <c r="G940" t="s">
        <v>38</v>
      </c>
      <c r="H940" t="s">
        <v>39</v>
      </c>
      <c r="I940" t="s">
        <v>2629</v>
      </c>
      <c r="J940" t="s">
        <v>2691</v>
      </c>
      <c r="K940" t="s">
        <v>25</v>
      </c>
      <c r="L940">
        <v>40</v>
      </c>
      <c r="M940">
        <v>5</v>
      </c>
      <c r="N940">
        <v>5</v>
      </c>
      <c r="O940" t="s">
        <v>975</v>
      </c>
      <c r="P940" t="s">
        <v>33</v>
      </c>
      <c r="Q940" t="s">
        <v>70</v>
      </c>
      <c r="R940" t="s">
        <v>32</v>
      </c>
      <c r="S940" t="s">
        <v>41</v>
      </c>
      <c r="T940">
        <v>1</v>
      </c>
      <c r="U940" s="5">
        <v>713.22</v>
      </c>
      <c r="V940" s="5">
        <v>1970.88</v>
      </c>
      <c r="W940">
        <v>7</v>
      </c>
      <c r="X940" t="s">
        <v>34</v>
      </c>
      <c r="Y940">
        <v>2025</v>
      </c>
      <c r="Z940" t="str">
        <f>TEXT(Table1[[#This Row],[Order Date]],"MMM")</f>
        <v>Mar</v>
      </c>
      <c r="AA940" s="5">
        <f>Table1[[#This Row],[Unit Price]]*Table1[[#This Row],[Quantity]]*(1-Table1[[#This Row],[Discount %]]/100)</f>
        <v>3387.7950000000001</v>
      </c>
      <c r="AB940" s="5">
        <f>Table1[[#This Row],[Sales]]-Table1[[#This Row],[Cost]]</f>
        <v>1416.915</v>
      </c>
    </row>
    <row r="941" spans="1:28" x14ac:dyDescent="0.3">
      <c r="A941" t="s">
        <v>2483</v>
      </c>
      <c r="B941" s="1">
        <v>45495</v>
      </c>
      <c r="C941" t="s">
        <v>2484</v>
      </c>
      <c r="D941" t="s">
        <v>3620</v>
      </c>
      <c r="E941" s="1">
        <v>45501</v>
      </c>
      <c r="F941" t="s">
        <v>29</v>
      </c>
      <c r="G941" t="s">
        <v>27</v>
      </c>
      <c r="H941" t="s">
        <v>28</v>
      </c>
      <c r="I941" t="s">
        <v>2635</v>
      </c>
      <c r="J941" t="s">
        <v>2683</v>
      </c>
      <c r="K941" t="s">
        <v>52</v>
      </c>
      <c r="L941">
        <v>31</v>
      </c>
      <c r="M941">
        <v>4</v>
      </c>
      <c r="N941">
        <v>0</v>
      </c>
      <c r="O941" t="s">
        <v>2485</v>
      </c>
      <c r="P941" t="s">
        <v>33</v>
      </c>
      <c r="Q941" t="s">
        <v>58</v>
      </c>
      <c r="R941" t="s">
        <v>32</v>
      </c>
      <c r="S941" t="s">
        <v>30</v>
      </c>
      <c r="T941">
        <v>3</v>
      </c>
      <c r="U941" s="5">
        <v>146.41999999999999</v>
      </c>
      <c r="V941" s="5">
        <v>357.52</v>
      </c>
      <c r="W941">
        <v>6</v>
      </c>
      <c r="X941" t="s">
        <v>45</v>
      </c>
      <c r="Y941">
        <v>2024</v>
      </c>
      <c r="Z941" t="str">
        <f>TEXT(Table1[[#This Row],[Order Date]],"MMM")</f>
        <v>Jul</v>
      </c>
      <c r="AA941" s="5">
        <f>Table1[[#This Row],[Unit Price]]*Table1[[#This Row],[Quantity]]*(1-Table1[[#This Row],[Discount %]]/100)</f>
        <v>585.67999999999995</v>
      </c>
      <c r="AB941" s="5">
        <f>Table1[[#This Row],[Sales]]-Table1[[#This Row],[Cost]]</f>
        <v>228.15999999999997</v>
      </c>
    </row>
    <row r="942" spans="1:28" x14ac:dyDescent="0.3">
      <c r="A942" t="s">
        <v>2486</v>
      </c>
      <c r="B942" s="1">
        <v>45569</v>
      </c>
      <c r="C942" t="s">
        <v>2487</v>
      </c>
      <c r="D942" t="s">
        <v>3621</v>
      </c>
      <c r="E942" s="1">
        <v>45571</v>
      </c>
      <c r="F942" t="s">
        <v>122</v>
      </c>
      <c r="G942" t="s">
        <v>120</v>
      </c>
      <c r="H942" t="s">
        <v>121</v>
      </c>
      <c r="I942" t="s">
        <v>2650</v>
      </c>
      <c r="J942" t="s">
        <v>2680</v>
      </c>
      <c r="K942" t="s">
        <v>52</v>
      </c>
      <c r="L942">
        <v>61</v>
      </c>
      <c r="M942">
        <v>4</v>
      </c>
      <c r="N942">
        <v>5</v>
      </c>
      <c r="O942" t="s">
        <v>1560</v>
      </c>
      <c r="P942" t="s">
        <v>33</v>
      </c>
      <c r="Q942" t="s">
        <v>117</v>
      </c>
      <c r="R942" t="s">
        <v>32</v>
      </c>
      <c r="S942" t="s">
        <v>123</v>
      </c>
      <c r="T942">
        <v>5</v>
      </c>
      <c r="U942" s="5">
        <v>215.84</v>
      </c>
      <c r="V942" s="5">
        <v>513.41</v>
      </c>
      <c r="W942">
        <v>2</v>
      </c>
      <c r="X942" t="s">
        <v>94</v>
      </c>
      <c r="Y942">
        <v>2024</v>
      </c>
      <c r="Z942" t="str">
        <f>TEXT(Table1[[#This Row],[Order Date]],"MMM")</f>
        <v>Oct</v>
      </c>
      <c r="AA942" s="5">
        <f>Table1[[#This Row],[Unit Price]]*Table1[[#This Row],[Quantity]]*(1-Table1[[#This Row],[Discount %]]/100)</f>
        <v>820.19200000000001</v>
      </c>
      <c r="AB942" s="5">
        <f>Table1[[#This Row],[Sales]]-Table1[[#This Row],[Cost]]</f>
        <v>306.78200000000004</v>
      </c>
    </row>
    <row r="943" spans="1:28" x14ac:dyDescent="0.3">
      <c r="A943" t="s">
        <v>2488</v>
      </c>
      <c r="B943" s="1">
        <v>45514</v>
      </c>
      <c r="C943" t="s">
        <v>2489</v>
      </c>
      <c r="D943" t="s">
        <v>3622</v>
      </c>
      <c r="E943" s="1">
        <v>45518</v>
      </c>
      <c r="F943" t="s">
        <v>68</v>
      </c>
      <c r="G943" t="s">
        <v>66</v>
      </c>
      <c r="H943" t="s">
        <v>67</v>
      </c>
      <c r="I943" t="s">
        <v>2621</v>
      </c>
      <c r="J943" t="s">
        <v>2647</v>
      </c>
      <c r="K943" t="s">
        <v>25</v>
      </c>
      <c r="L943">
        <v>48</v>
      </c>
      <c r="M943">
        <v>4</v>
      </c>
      <c r="N943">
        <v>10</v>
      </c>
      <c r="O943" t="s">
        <v>1253</v>
      </c>
      <c r="P943" t="s">
        <v>44</v>
      </c>
      <c r="Q943" t="s">
        <v>58</v>
      </c>
      <c r="R943" t="s">
        <v>62</v>
      </c>
      <c r="S943" t="s">
        <v>69</v>
      </c>
      <c r="T943">
        <v>4</v>
      </c>
      <c r="U943" s="5">
        <v>516.5</v>
      </c>
      <c r="V943" s="5">
        <v>1313.65</v>
      </c>
      <c r="W943">
        <v>4</v>
      </c>
      <c r="X943" t="s">
        <v>45</v>
      </c>
      <c r="Y943">
        <v>2024</v>
      </c>
      <c r="Z943" t="str">
        <f>TEXT(Table1[[#This Row],[Order Date]],"MMM")</f>
        <v>Aug</v>
      </c>
      <c r="AA943" s="5">
        <f>Table1[[#This Row],[Unit Price]]*Table1[[#This Row],[Quantity]]*(1-Table1[[#This Row],[Discount %]]/100)</f>
        <v>1859.4</v>
      </c>
      <c r="AB943" s="5">
        <f>Table1[[#This Row],[Sales]]-Table1[[#This Row],[Cost]]</f>
        <v>545.75</v>
      </c>
    </row>
    <row r="944" spans="1:28" x14ac:dyDescent="0.3">
      <c r="A944" t="s">
        <v>2490</v>
      </c>
      <c r="B944" s="1">
        <v>45538</v>
      </c>
      <c r="C944" t="s">
        <v>2491</v>
      </c>
      <c r="D944" t="s">
        <v>3623</v>
      </c>
      <c r="E944" s="1">
        <v>45542</v>
      </c>
      <c r="F944" t="s">
        <v>140</v>
      </c>
      <c r="G944" t="s">
        <v>38</v>
      </c>
      <c r="H944" t="s">
        <v>139</v>
      </c>
      <c r="I944" t="s">
        <v>2619</v>
      </c>
      <c r="J944" t="s">
        <v>2687</v>
      </c>
      <c r="K944" t="s">
        <v>25</v>
      </c>
      <c r="L944">
        <v>30</v>
      </c>
      <c r="M944">
        <v>5</v>
      </c>
      <c r="N944">
        <v>30</v>
      </c>
      <c r="O944" t="s">
        <v>87</v>
      </c>
      <c r="P944" t="s">
        <v>44</v>
      </c>
      <c r="Q944" t="s">
        <v>31</v>
      </c>
      <c r="R944" t="s">
        <v>32</v>
      </c>
      <c r="S944" t="s">
        <v>141</v>
      </c>
      <c r="T944">
        <v>1</v>
      </c>
      <c r="U944" s="5">
        <v>790.89</v>
      </c>
      <c r="V944" s="5">
        <v>1990.33</v>
      </c>
      <c r="W944">
        <v>4</v>
      </c>
      <c r="X944" t="s">
        <v>45</v>
      </c>
      <c r="Y944">
        <v>2024</v>
      </c>
      <c r="Z944" t="str">
        <f>TEXT(Table1[[#This Row],[Order Date]],"MMM")</f>
        <v>Sep</v>
      </c>
      <c r="AA944" s="5">
        <f>Table1[[#This Row],[Unit Price]]*Table1[[#This Row],[Quantity]]*(1-Table1[[#This Row],[Discount %]]/100)</f>
        <v>2768.1149999999998</v>
      </c>
      <c r="AB944" s="5">
        <f>Table1[[#This Row],[Sales]]-Table1[[#This Row],[Cost]]</f>
        <v>777.78499999999985</v>
      </c>
    </row>
    <row r="945" spans="1:28" x14ac:dyDescent="0.3">
      <c r="A945" t="s">
        <v>2492</v>
      </c>
      <c r="B945" s="1">
        <v>45856</v>
      </c>
      <c r="C945" t="s">
        <v>2493</v>
      </c>
      <c r="D945" t="s">
        <v>3624</v>
      </c>
      <c r="E945" s="1">
        <v>45863</v>
      </c>
      <c r="F945" t="s">
        <v>40</v>
      </c>
      <c r="G945" t="s">
        <v>38</v>
      </c>
      <c r="H945" t="s">
        <v>39</v>
      </c>
      <c r="I945" t="s">
        <v>2625</v>
      </c>
      <c r="J945" t="s">
        <v>2693</v>
      </c>
      <c r="K945" t="s">
        <v>52</v>
      </c>
      <c r="L945">
        <v>62</v>
      </c>
      <c r="M945">
        <v>2</v>
      </c>
      <c r="N945">
        <v>30</v>
      </c>
      <c r="O945" t="s">
        <v>2494</v>
      </c>
      <c r="P945" t="s">
        <v>75</v>
      </c>
      <c r="Q945" t="s">
        <v>58</v>
      </c>
      <c r="R945" t="s">
        <v>43</v>
      </c>
      <c r="S945" t="s">
        <v>41</v>
      </c>
      <c r="T945">
        <v>5</v>
      </c>
      <c r="U945" s="5">
        <v>676.04</v>
      </c>
      <c r="V945" s="5">
        <v>590.66</v>
      </c>
      <c r="W945">
        <v>7</v>
      </c>
      <c r="X945" t="s">
        <v>45</v>
      </c>
      <c r="Y945">
        <v>2025</v>
      </c>
      <c r="Z945" t="str">
        <f>TEXT(Table1[[#This Row],[Order Date]],"MMM")</f>
        <v>Jul</v>
      </c>
      <c r="AA945" s="5">
        <f>Table1[[#This Row],[Unit Price]]*Table1[[#This Row],[Quantity]]*(1-Table1[[#This Row],[Discount %]]/100)</f>
        <v>946.4559999999999</v>
      </c>
      <c r="AB945" s="5">
        <f>Table1[[#This Row],[Sales]]-Table1[[#This Row],[Cost]]</f>
        <v>355.79599999999994</v>
      </c>
    </row>
    <row r="946" spans="1:28" x14ac:dyDescent="0.3">
      <c r="A946" t="s">
        <v>2495</v>
      </c>
      <c r="B946" s="1">
        <v>45916</v>
      </c>
      <c r="C946" t="s">
        <v>2496</v>
      </c>
      <c r="D946" t="s">
        <v>2723</v>
      </c>
      <c r="E946" s="1">
        <v>45917</v>
      </c>
      <c r="F946" t="s">
        <v>56</v>
      </c>
      <c r="G946" t="s">
        <v>54</v>
      </c>
      <c r="H946" t="s">
        <v>55</v>
      </c>
      <c r="I946" t="s">
        <v>2657</v>
      </c>
      <c r="J946" t="s">
        <v>2667</v>
      </c>
      <c r="K946" t="s">
        <v>25</v>
      </c>
      <c r="L946">
        <v>27</v>
      </c>
      <c r="M946">
        <v>2</v>
      </c>
      <c r="N946">
        <v>0</v>
      </c>
      <c r="O946" t="s">
        <v>2497</v>
      </c>
      <c r="P946" t="s">
        <v>75</v>
      </c>
      <c r="Q946" t="s">
        <v>31</v>
      </c>
      <c r="R946" t="s">
        <v>62</v>
      </c>
      <c r="S946" t="s">
        <v>57</v>
      </c>
      <c r="T946">
        <v>3</v>
      </c>
      <c r="U946" s="5">
        <v>697.42</v>
      </c>
      <c r="V946" s="5">
        <v>829.01</v>
      </c>
      <c r="W946">
        <v>1</v>
      </c>
      <c r="X946" t="s">
        <v>45</v>
      </c>
      <c r="Y946">
        <v>2025</v>
      </c>
      <c r="Z946" t="str">
        <f>TEXT(Table1[[#This Row],[Order Date]],"MMM")</f>
        <v>Sep</v>
      </c>
      <c r="AA946" s="5">
        <f>Table1[[#This Row],[Unit Price]]*Table1[[#This Row],[Quantity]]*(1-Table1[[#This Row],[Discount %]]/100)</f>
        <v>1394.84</v>
      </c>
      <c r="AB946" s="5">
        <f>Table1[[#This Row],[Sales]]-Table1[[#This Row],[Cost]]</f>
        <v>565.82999999999993</v>
      </c>
    </row>
    <row r="947" spans="1:28" x14ac:dyDescent="0.3">
      <c r="A947" t="s">
        <v>2498</v>
      </c>
      <c r="B947" s="1">
        <v>45794</v>
      </c>
      <c r="C947" t="s">
        <v>2499</v>
      </c>
      <c r="D947" t="s">
        <v>3625</v>
      </c>
      <c r="E947" s="1">
        <v>45801</v>
      </c>
      <c r="F947" t="s">
        <v>122</v>
      </c>
      <c r="G947" t="s">
        <v>120</v>
      </c>
      <c r="H947" t="s">
        <v>121</v>
      </c>
      <c r="I947" t="s">
        <v>2633</v>
      </c>
      <c r="J947" t="s">
        <v>99</v>
      </c>
      <c r="K947" t="s">
        <v>25</v>
      </c>
      <c r="L947">
        <v>59</v>
      </c>
      <c r="M947">
        <v>1</v>
      </c>
      <c r="N947">
        <v>10</v>
      </c>
      <c r="O947" t="s">
        <v>1933</v>
      </c>
      <c r="P947" t="s">
        <v>33</v>
      </c>
      <c r="Q947" t="s">
        <v>42</v>
      </c>
      <c r="R947" t="s">
        <v>43</v>
      </c>
      <c r="S947" t="s">
        <v>123</v>
      </c>
      <c r="T947">
        <v>3</v>
      </c>
      <c r="U947" s="5">
        <v>745.67</v>
      </c>
      <c r="V947" s="5">
        <v>442.38</v>
      </c>
      <c r="W947">
        <v>7</v>
      </c>
      <c r="X947" t="s">
        <v>49</v>
      </c>
      <c r="Y947">
        <v>2025</v>
      </c>
      <c r="Z947" t="str">
        <f>TEXT(Table1[[#This Row],[Order Date]],"MMM")</f>
        <v>May</v>
      </c>
      <c r="AA947" s="5">
        <f>Table1[[#This Row],[Unit Price]]*Table1[[#This Row],[Quantity]]*(1-Table1[[#This Row],[Discount %]]/100)</f>
        <v>671.10299999999995</v>
      </c>
      <c r="AB947" s="5">
        <f>Table1[[#This Row],[Sales]]-Table1[[#This Row],[Cost]]</f>
        <v>228.72299999999996</v>
      </c>
    </row>
    <row r="948" spans="1:28" x14ac:dyDescent="0.3">
      <c r="A948" t="s">
        <v>2500</v>
      </c>
      <c r="B948" s="1">
        <v>45889</v>
      </c>
      <c r="C948" t="s">
        <v>2501</v>
      </c>
      <c r="D948" t="s">
        <v>2722</v>
      </c>
      <c r="E948" s="1">
        <v>45896</v>
      </c>
      <c r="F948" t="s">
        <v>100</v>
      </c>
      <c r="G948" t="s">
        <v>98</v>
      </c>
      <c r="H948" t="s">
        <v>99</v>
      </c>
      <c r="I948" t="s">
        <v>2664</v>
      </c>
      <c r="J948" t="s">
        <v>2665</v>
      </c>
      <c r="K948" t="s">
        <v>25</v>
      </c>
      <c r="L948">
        <v>46</v>
      </c>
      <c r="M948">
        <v>4</v>
      </c>
      <c r="N948">
        <v>20</v>
      </c>
      <c r="O948" t="s">
        <v>2502</v>
      </c>
      <c r="P948" t="s">
        <v>75</v>
      </c>
      <c r="Q948" t="s">
        <v>70</v>
      </c>
      <c r="R948" t="s">
        <v>62</v>
      </c>
      <c r="S948" t="s">
        <v>101</v>
      </c>
      <c r="T948">
        <v>1</v>
      </c>
      <c r="U948" s="5">
        <v>265.48</v>
      </c>
      <c r="V948" s="5">
        <v>429.89</v>
      </c>
      <c r="W948">
        <v>7</v>
      </c>
      <c r="X948" t="s">
        <v>45</v>
      </c>
      <c r="Y948">
        <v>2025</v>
      </c>
      <c r="Z948" t="str">
        <f>TEXT(Table1[[#This Row],[Order Date]],"MMM")</f>
        <v>Aug</v>
      </c>
      <c r="AA948" s="5">
        <f>Table1[[#This Row],[Unit Price]]*Table1[[#This Row],[Quantity]]*(1-Table1[[#This Row],[Discount %]]/100)</f>
        <v>849.53600000000006</v>
      </c>
      <c r="AB948" s="5">
        <f>Table1[[#This Row],[Sales]]-Table1[[#This Row],[Cost]]</f>
        <v>419.64600000000007</v>
      </c>
    </row>
    <row r="949" spans="1:28" x14ac:dyDescent="0.3">
      <c r="A949" t="s">
        <v>2503</v>
      </c>
      <c r="B949" s="1">
        <v>45595</v>
      </c>
      <c r="C949" t="s">
        <v>2504</v>
      </c>
      <c r="D949" t="s">
        <v>3626</v>
      </c>
      <c r="E949" s="1">
        <v>45597</v>
      </c>
      <c r="F949" t="s">
        <v>115</v>
      </c>
      <c r="G949" t="s">
        <v>66</v>
      </c>
      <c r="H949" t="s">
        <v>114</v>
      </c>
      <c r="I949" t="s">
        <v>2661</v>
      </c>
      <c r="J949" t="s">
        <v>2662</v>
      </c>
      <c r="K949" t="s">
        <v>25</v>
      </c>
      <c r="L949">
        <v>26</v>
      </c>
      <c r="M949">
        <v>1</v>
      </c>
      <c r="N949">
        <v>10</v>
      </c>
      <c r="O949" t="s">
        <v>78</v>
      </c>
      <c r="P949" t="s">
        <v>33</v>
      </c>
      <c r="Q949" t="s">
        <v>70</v>
      </c>
      <c r="R949" t="s">
        <v>43</v>
      </c>
      <c r="S949" t="s">
        <v>116</v>
      </c>
      <c r="T949">
        <v>5</v>
      </c>
      <c r="U949" s="5">
        <v>559.69000000000005</v>
      </c>
      <c r="V949" s="5">
        <v>279.51</v>
      </c>
      <c r="W949">
        <v>2</v>
      </c>
      <c r="X949" t="s">
        <v>94</v>
      </c>
      <c r="Y949">
        <v>2024</v>
      </c>
      <c r="Z949" t="str">
        <f>TEXT(Table1[[#This Row],[Order Date]],"MMM")</f>
        <v>Oct</v>
      </c>
      <c r="AA949" s="5">
        <f>Table1[[#This Row],[Unit Price]]*Table1[[#This Row],[Quantity]]*(1-Table1[[#This Row],[Discount %]]/100)</f>
        <v>503.72100000000006</v>
      </c>
      <c r="AB949" s="5">
        <f>Table1[[#This Row],[Sales]]-Table1[[#This Row],[Cost]]</f>
        <v>224.21100000000007</v>
      </c>
    </row>
    <row r="950" spans="1:28" x14ac:dyDescent="0.3">
      <c r="A950" t="s">
        <v>2505</v>
      </c>
      <c r="B950" s="1">
        <v>45871</v>
      </c>
      <c r="C950" t="s">
        <v>2506</v>
      </c>
      <c r="D950" t="s">
        <v>3627</v>
      </c>
      <c r="E950" s="1">
        <v>45873</v>
      </c>
      <c r="F950" t="s">
        <v>29</v>
      </c>
      <c r="G950" t="s">
        <v>27</v>
      </c>
      <c r="H950" t="s">
        <v>28</v>
      </c>
      <c r="I950" t="s">
        <v>2619</v>
      </c>
      <c r="J950" t="s">
        <v>2620</v>
      </c>
      <c r="K950" t="s">
        <v>25</v>
      </c>
      <c r="L950">
        <v>35</v>
      </c>
      <c r="M950">
        <v>1</v>
      </c>
      <c r="N950">
        <v>10</v>
      </c>
      <c r="O950" t="s">
        <v>2507</v>
      </c>
      <c r="P950" t="s">
        <v>44</v>
      </c>
      <c r="Q950" t="s">
        <v>70</v>
      </c>
      <c r="R950" t="s">
        <v>43</v>
      </c>
      <c r="S950" t="s">
        <v>30</v>
      </c>
      <c r="T950">
        <v>4</v>
      </c>
      <c r="U950" s="5">
        <v>260.85000000000002</v>
      </c>
      <c r="V950" s="5">
        <v>184.68</v>
      </c>
      <c r="W950">
        <v>2</v>
      </c>
      <c r="X950" t="s">
        <v>45</v>
      </c>
      <c r="Y950">
        <v>2025</v>
      </c>
      <c r="Z950" t="str">
        <f>TEXT(Table1[[#This Row],[Order Date]],"MMM")</f>
        <v>Aug</v>
      </c>
      <c r="AA950" s="5">
        <f>Table1[[#This Row],[Unit Price]]*Table1[[#This Row],[Quantity]]*(1-Table1[[#This Row],[Discount %]]/100)</f>
        <v>234.76500000000001</v>
      </c>
      <c r="AB950" s="5">
        <f>Table1[[#This Row],[Sales]]-Table1[[#This Row],[Cost]]</f>
        <v>50.085000000000008</v>
      </c>
    </row>
    <row r="951" spans="1:28" x14ac:dyDescent="0.3">
      <c r="A951" t="s">
        <v>2508</v>
      </c>
      <c r="B951" s="1">
        <v>45764</v>
      </c>
      <c r="C951" t="s">
        <v>2509</v>
      </c>
      <c r="D951" t="s">
        <v>3628</v>
      </c>
      <c r="E951" s="1">
        <v>45770</v>
      </c>
      <c r="F951" t="s">
        <v>29</v>
      </c>
      <c r="G951" t="s">
        <v>27</v>
      </c>
      <c r="H951" t="s">
        <v>28</v>
      </c>
      <c r="I951" t="s">
        <v>2627</v>
      </c>
      <c r="J951" t="s">
        <v>2707</v>
      </c>
      <c r="K951" t="s">
        <v>52</v>
      </c>
      <c r="L951">
        <v>33</v>
      </c>
      <c r="M951">
        <v>5</v>
      </c>
      <c r="N951">
        <v>5</v>
      </c>
      <c r="O951" t="s">
        <v>1728</v>
      </c>
      <c r="P951" t="s">
        <v>44</v>
      </c>
      <c r="Q951" t="s">
        <v>42</v>
      </c>
      <c r="R951" t="s">
        <v>43</v>
      </c>
      <c r="S951" t="s">
        <v>30</v>
      </c>
      <c r="T951">
        <v>5</v>
      </c>
      <c r="U951" s="5">
        <v>471.62</v>
      </c>
      <c r="V951" s="5">
        <v>1499.6</v>
      </c>
      <c r="W951">
        <v>6</v>
      </c>
      <c r="X951" t="s">
        <v>49</v>
      </c>
      <c r="Y951">
        <v>2025</v>
      </c>
      <c r="Z951" t="str">
        <f>TEXT(Table1[[#This Row],[Order Date]],"MMM")</f>
        <v>Apr</v>
      </c>
      <c r="AA951" s="5">
        <f>Table1[[#This Row],[Unit Price]]*Table1[[#This Row],[Quantity]]*(1-Table1[[#This Row],[Discount %]]/100)</f>
        <v>2240.1949999999997</v>
      </c>
      <c r="AB951" s="5">
        <f>Table1[[#This Row],[Sales]]-Table1[[#This Row],[Cost]]</f>
        <v>740.5949999999998</v>
      </c>
    </row>
    <row r="952" spans="1:28" x14ac:dyDescent="0.3">
      <c r="A952" t="s">
        <v>2510</v>
      </c>
      <c r="B952" s="1">
        <v>45865</v>
      </c>
      <c r="C952" t="s">
        <v>2511</v>
      </c>
      <c r="D952" t="s">
        <v>3629</v>
      </c>
      <c r="E952" s="1">
        <v>45871</v>
      </c>
      <c r="F952" t="s">
        <v>100</v>
      </c>
      <c r="G952" t="s">
        <v>98</v>
      </c>
      <c r="H952" t="s">
        <v>99</v>
      </c>
      <c r="I952" t="s">
        <v>2661</v>
      </c>
      <c r="J952" t="s">
        <v>2715</v>
      </c>
      <c r="K952" t="s">
        <v>25</v>
      </c>
      <c r="L952">
        <v>63</v>
      </c>
      <c r="M952">
        <v>1</v>
      </c>
      <c r="N952">
        <v>5</v>
      </c>
      <c r="O952" t="s">
        <v>2031</v>
      </c>
      <c r="P952" t="s">
        <v>75</v>
      </c>
      <c r="Q952" t="s">
        <v>70</v>
      </c>
      <c r="R952" t="s">
        <v>32</v>
      </c>
      <c r="S952" t="s">
        <v>101</v>
      </c>
      <c r="T952">
        <v>4</v>
      </c>
      <c r="U952" s="5">
        <v>910.33</v>
      </c>
      <c r="V952" s="5">
        <v>695.63</v>
      </c>
      <c r="W952">
        <v>6</v>
      </c>
      <c r="X952" t="s">
        <v>45</v>
      </c>
      <c r="Y952">
        <v>2025</v>
      </c>
      <c r="Z952" t="str">
        <f>TEXT(Table1[[#This Row],[Order Date]],"MMM")</f>
        <v>Jul</v>
      </c>
      <c r="AA952" s="5">
        <f>Table1[[#This Row],[Unit Price]]*Table1[[#This Row],[Quantity]]*(1-Table1[[#This Row],[Discount %]]/100)</f>
        <v>864.81349999999998</v>
      </c>
      <c r="AB952" s="5">
        <f>Table1[[#This Row],[Sales]]-Table1[[#This Row],[Cost]]</f>
        <v>169.18349999999998</v>
      </c>
    </row>
    <row r="953" spans="1:28" x14ac:dyDescent="0.3">
      <c r="A953" t="s">
        <v>2512</v>
      </c>
      <c r="B953" s="1">
        <v>45982</v>
      </c>
      <c r="C953" t="s">
        <v>2513</v>
      </c>
      <c r="D953" t="s">
        <v>3630</v>
      </c>
      <c r="E953" s="1">
        <v>45989</v>
      </c>
      <c r="F953" t="s">
        <v>100</v>
      </c>
      <c r="G953" t="s">
        <v>98</v>
      </c>
      <c r="H953" t="s">
        <v>99</v>
      </c>
      <c r="I953" t="s">
        <v>2629</v>
      </c>
      <c r="J953" t="s">
        <v>2691</v>
      </c>
      <c r="K953" t="s">
        <v>52</v>
      </c>
      <c r="L953">
        <v>18</v>
      </c>
      <c r="M953">
        <v>1</v>
      </c>
      <c r="N953">
        <v>10</v>
      </c>
      <c r="O953" t="s">
        <v>2303</v>
      </c>
      <c r="P953" t="s">
        <v>75</v>
      </c>
      <c r="Q953" t="s">
        <v>58</v>
      </c>
      <c r="R953" t="s">
        <v>43</v>
      </c>
      <c r="S953" t="s">
        <v>101</v>
      </c>
      <c r="T953">
        <v>3</v>
      </c>
      <c r="U953" s="5">
        <v>270.11</v>
      </c>
      <c r="V953" s="5">
        <v>196.63</v>
      </c>
      <c r="W953">
        <v>7</v>
      </c>
      <c r="X953" t="s">
        <v>94</v>
      </c>
      <c r="Y953">
        <v>2025</v>
      </c>
      <c r="Z953" t="str">
        <f>TEXT(Table1[[#This Row],[Order Date]],"MMM")</f>
        <v>Nov</v>
      </c>
      <c r="AA953" s="5">
        <f>Table1[[#This Row],[Unit Price]]*Table1[[#This Row],[Quantity]]*(1-Table1[[#This Row],[Discount %]]/100)</f>
        <v>243.09900000000002</v>
      </c>
      <c r="AB953" s="5">
        <f>Table1[[#This Row],[Sales]]-Table1[[#This Row],[Cost]]</f>
        <v>46.469000000000023</v>
      </c>
    </row>
    <row r="954" spans="1:28" x14ac:dyDescent="0.3">
      <c r="A954" t="s">
        <v>2514</v>
      </c>
      <c r="B954" s="1">
        <v>46142</v>
      </c>
      <c r="C954" t="s">
        <v>1890</v>
      </c>
      <c r="D954" t="s">
        <v>3631</v>
      </c>
      <c r="E954" s="1">
        <v>46148</v>
      </c>
      <c r="F954" t="s">
        <v>100</v>
      </c>
      <c r="G954" t="s">
        <v>98</v>
      </c>
      <c r="H954" t="s">
        <v>99</v>
      </c>
      <c r="I954" t="s">
        <v>2619</v>
      </c>
      <c r="J954" t="s">
        <v>2687</v>
      </c>
      <c r="K954" t="s">
        <v>52</v>
      </c>
      <c r="L954">
        <v>62</v>
      </c>
      <c r="M954">
        <v>1</v>
      </c>
      <c r="N954">
        <v>30</v>
      </c>
      <c r="O954" t="s">
        <v>2515</v>
      </c>
      <c r="P954" t="s">
        <v>75</v>
      </c>
      <c r="Q954" t="s">
        <v>70</v>
      </c>
      <c r="R954" t="s">
        <v>71</v>
      </c>
      <c r="S954" t="s">
        <v>101</v>
      </c>
      <c r="T954">
        <v>4</v>
      </c>
      <c r="U954" s="5">
        <v>104.66</v>
      </c>
      <c r="V954" s="5">
        <v>44.09</v>
      </c>
      <c r="W954">
        <v>6</v>
      </c>
      <c r="X954" t="s">
        <v>49</v>
      </c>
      <c r="Y954">
        <v>2026</v>
      </c>
      <c r="Z954" t="str">
        <f>TEXT(Table1[[#This Row],[Order Date]],"MMM")</f>
        <v>Apr</v>
      </c>
      <c r="AA954" s="5">
        <f>Table1[[#This Row],[Unit Price]]*Table1[[#This Row],[Quantity]]*(1-Table1[[#This Row],[Discount %]]/100)</f>
        <v>73.261999999999986</v>
      </c>
      <c r="AB954" s="5">
        <f>Table1[[#This Row],[Sales]]-Table1[[#This Row],[Cost]]</f>
        <v>29.171999999999983</v>
      </c>
    </row>
    <row r="955" spans="1:28" x14ac:dyDescent="0.3">
      <c r="A955" t="s">
        <v>2516</v>
      </c>
      <c r="B955" s="1">
        <v>45500</v>
      </c>
      <c r="C955" t="s">
        <v>2517</v>
      </c>
      <c r="D955" t="s">
        <v>3632</v>
      </c>
      <c r="E955" s="1">
        <v>45507</v>
      </c>
      <c r="F955" t="s">
        <v>115</v>
      </c>
      <c r="G955" t="s">
        <v>66</v>
      </c>
      <c r="H955" t="s">
        <v>114</v>
      </c>
      <c r="I955" t="s">
        <v>2619</v>
      </c>
      <c r="J955" t="s">
        <v>2697</v>
      </c>
      <c r="K955" t="s">
        <v>25</v>
      </c>
      <c r="L955">
        <v>39</v>
      </c>
      <c r="M955">
        <v>2</v>
      </c>
      <c r="N955">
        <v>5</v>
      </c>
      <c r="O955" t="s">
        <v>37</v>
      </c>
      <c r="P955" t="s">
        <v>75</v>
      </c>
      <c r="Q955" t="s">
        <v>70</v>
      </c>
      <c r="R955" t="s">
        <v>32</v>
      </c>
      <c r="S955" t="s">
        <v>116</v>
      </c>
      <c r="T955">
        <v>3</v>
      </c>
      <c r="U955" s="5">
        <v>685.15</v>
      </c>
      <c r="V955" s="5">
        <v>788.52</v>
      </c>
      <c r="W955">
        <v>7</v>
      </c>
      <c r="X955" t="s">
        <v>45</v>
      </c>
      <c r="Y955">
        <v>2024</v>
      </c>
      <c r="Z955" t="str">
        <f>TEXT(Table1[[#This Row],[Order Date]],"MMM")</f>
        <v>Jul</v>
      </c>
      <c r="AA955" s="5">
        <f>Table1[[#This Row],[Unit Price]]*Table1[[#This Row],[Quantity]]*(1-Table1[[#This Row],[Discount %]]/100)</f>
        <v>1301.7849999999999</v>
      </c>
      <c r="AB955" s="5">
        <f>Table1[[#This Row],[Sales]]-Table1[[#This Row],[Cost]]</f>
        <v>513.26499999999987</v>
      </c>
    </row>
    <row r="956" spans="1:28" x14ac:dyDescent="0.3">
      <c r="A956" t="s">
        <v>2518</v>
      </c>
      <c r="B956" s="1">
        <v>45785</v>
      </c>
      <c r="C956" t="s">
        <v>2519</v>
      </c>
      <c r="D956" t="s">
        <v>3633</v>
      </c>
      <c r="E956" s="1">
        <v>45787</v>
      </c>
      <c r="F956" t="s">
        <v>122</v>
      </c>
      <c r="G956" t="s">
        <v>120</v>
      </c>
      <c r="H956" t="s">
        <v>121</v>
      </c>
      <c r="I956" t="s">
        <v>2627</v>
      </c>
      <c r="J956" t="s">
        <v>2690</v>
      </c>
      <c r="K956" t="s">
        <v>25</v>
      </c>
      <c r="L956">
        <v>38</v>
      </c>
      <c r="M956">
        <v>4</v>
      </c>
      <c r="N956">
        <v>30</v>
      </c>
      <c r="O956" t="s">
        <v>2520</v>
      </c>
      <c r="P956" t="s">
        <v>33</v>
      </c>
      <c r="Q956" t="s">
        <v>31</v>
      </c>
      <c r="R956" t="s">
        <v>62</v>
      </c>
      <c r="S956" t="s">
        <v>123</v>
      </c>
      <c r="T956">
        <v>1</v>
      </c>
      <c r="U956" s="5">
        <v>659.52</v>
      </c>
      <c r="V956" s="5">
        <v>1091.3399999999999</v>
      </c>
      <c r="W956">
        <v>2</v>
      </c>
      <c r="X956" t="s">
        <v>49</v>
      </c>
      <c r="Y956">
        <v>2025</v>
      </c>
      <c r="Z956" t="str">
        <f>TEXT(Table1[[#This Row],[Order Date]],"MMM")</f>
        <v>May</v>
      </c>
      <c r="AA956" s="5">
        <f>Table1[[#This Row],[Unit Price]]*Table1[[#This Row],[Quantity]]*(1-Table1[[#This Row],[Discount %]]/100)</f>
        <v>1846.6559999999997</v>
      </c>
      <c r="AB956" s="5">
        <f>Table1[[#This Row],[Sales]]-Table1[[#This Row],[Cost]]</f>
        <v>755.3159999999998</v>
      </c>
    </row>
    <row r="957" spans="1:28" x14ac:dyDescent="0.3">
      <c r="A957" t="s">
        <v>2521</v>
      </c>
      <c r="B957" s="1">
        <v>45697</v>
      </c>
      <c r="C957" t="s">
        <v>2522</v>
      </c>
      <c r="D957" t="s">
        <v>3634</v>
      </c>
      <c r="E957" s="1">
        <v>45702</v>
      </c>
      <c r="F957" t="s">
        <v>29</v>
      </c>
      <c r="G957" t="s">
        <v>27</v>
      </c>
      <c r="H957" t="s">
        <v>28</v>
      </c>
      <c r="I957" t="s">
        <v>2659</v>
      </c>
      <c r="J957" t="s">
        <v>2666</v>
      </c>
      <c r="K957" t="s">
        <v>25</v>
      </c>
      <c r="L957">
        <v>52</v>
      </c>
      <c r="M957">
        <v>4</v>
      </c>
      <c r="N957">
        <v>25</v>
      </c>
      <c r="O957" t="s">
        <v>953</v>
      </c>
      <c r="P957" t="s">
        <v>44</v>
      </c>
      <c r="Q957" t="s">
        <v>70</v>
      </c>
      <c r="R957" t="s">
        <v>71</v>
      </c>
      <c r="S957" t="s">
        <v>30</v>
      </c>
      <c r="T957">
        <v>3</v>
      </c>
      <c r="U957" s="5">
        <v>984.14</v>
      </c>
      <c r="V957" s="5">
        <v>2382.88</v>
      </c>
      <c r="W957">
        <v>5</v>
      </c>
      <c r="X957" t="s">
        <v>34</v>
      </c>
      <c r="Y957">
        <v>2025</v>
      </c>
      <c r="Z957" t="str">
        <f>TEXT(Table1[[#This Row],[Order Date]],"MMM")</f>
        <v>Feb</v>
      </c>
      <c r="AA957" s="5">
        <f>Table1[[#This Row],[Unit Price]]*Table1[[#This Row],[Quantity]]*(1-Table1[[#This Row],[Discount %]]/100)</f>
        <v>2952.42</v>
      </c>
      <c r="AB957" s="5">
        <f>Table1[[#This Row],[Sales]]-Table1[[#This Row],[Cost]]</f>
        <v>569.54</v>
      </c>
    </row>
    <row r="958" spans="1:28" x14ac:dyDescent="0.3">
      <c r="A958" t="s">
        <v>2523</v>
      </c>
      <c r="B958" s="1">
        <v>45642</v>
      </c>
      <c r="C958" t="s">
        <v>2524</v>
      </c>
      <c r="D958" t="s">
        <v>3635</v>
      </c>
      <c r="E958" s="1">
        <v>45645</v>
      </c>
      <c r="F958" t="s">
        <v>56</v>
      </c>
      <c r="G958" t="s">
        <v>54</v>
      </c>
      <c r="H958" t="s">
        <v>55</v>
      </c>
      <c r="I958" t="s">
        <v>2637</v>
      </c>
      <c r="J958" t="s">
        <v>2709</v>
      </c>
      <c r="K958" t="s">
        <v>25</v>
      </c>
      <c r="L958">
        <v>36</v>
      </c>
      <c r="M958">
        <v>5</v>
      </c>
      <c r="N958">
        <v>20</v>
      </c>
      <c r="O958" t="s">
        <v>1952</v>
      </c>
      <c r="P958" t="s">
        <v>33</v>
      </c>
      <c r="Q958" t="s">
        <v>70</v>
      </c>
      <c r="R958" t="s">
        <v>62</v>
      </c>
      <c r="S958" t="s">
        <v>57</v>
      </c>
      <c r="T958">
        <v>5</v>
      </c>
      <c r="U958" s="5">
        <v>234.99</v>
      </c>
      <c r="V958" s="5">
        <v>600.51</v>
      </c>
      <c r="W958">
        <v>3</v>
      </c>
      <c r="X958" t="s">
        <v>94</v>
      </c>
      <c r="Y958">
        <v>2024</v>
      </c>
      <c r="Z958" t="str">
        <f>TEXT(Table1[[#This Row],[Order Date]],"MMM")</f>
        <v>Dec</v>
      </c>
      <c r="AA958" s="5">
        <f>Table1[[#This Row],[Unit Price]]*Table1[[#This Row],[Quantity]]*(1-Table1[[#This Row],[Discount %]]/100)</f>
        <v>939.96</v>
      </c>
      <c r="AB958" s="5">
        <f>Table1[[#This Row],[Sales]]-Table1[[#This Row],[Cost]]</f>
        <v>339.45000000000005</v>
      </c>
    </row>
    <row r="959" spans="1:28" x14ac:dyDescent="0.3">
      <c r="A959" t="s">
        <v>2525</v>
      </c>
      <c r="B959" s="1">
        <v>45771</v>
      </c>
      <c r="C959" t="s">
        <v>2526</v>
      </c>
      <c r="D959" t="s">
        <v>3636</v>
      </c>
      <c r="E959" s="1">
        <v>45773</v>
      </c>
      <c r="F959" t="s">
        <v>122</v>
      </c>
      <c r="G959" t="s">
        <v>120</v>
      </c>
      <c r="H959" t="s">
        <v>121</v>
      </c>
      <c r="I959" t="s">
        <v>2625</v>
      </c>
      <c r="J959" t="s">
        <v>2685</v>
      </c>
      <c r="K959" t="s">
        <v>52</v>
      </c>
      <c r="L959">
        <v>47</v>
      </c>
      <c r="M959">
        <v>3</v>
      </c>
      <c r="N959">
        <v>25</v>
      </c>
      <c r="O959" t="s">
        <v>2527</v>
      </c>
      <c r="P959" t="s">
        <v>33</v>
      </c>
      <c r="Q959" t="s">
        <v>42</v>
      </c>
      <c r="R959" t="s">
        <v>71</v>
      </c>
      <c r="S959" t="s">
        <v>123</v>
      </c>
      <c r="T959">
        <v>1</v>
      </c>
      <c r="U959" s="5">
        <v>416.91</v>
      </c>
      <c r="V959" s="5">
        <v>512.08000000000004</v>
      </c>
      <c r="W959">
        <v>2</v>
      </c>
      <c r="X959" t="s">
        <v>49</v>
      </c>
      <c r="Y959">
        <v>2025</v>
      </c>
      <c r="Z959" t="str">
        <f>TEXT(Table1[[#This Row],[Order Date]],"MMM")</f>
        <v>Apr</v>
      </c>
      <c r="AA959" s="5">
        <f>Table1[[#This Row],[Unit Price]]*Table1[[#This Row],[Quantity]]*(1-Table1[[#This Row],[Discount %]]/100)</f>
        <v>938.04750000000001</v>
      </c>
      <c r="AB959" s="5">
        <f>Table1[[#This Row],[Sales]]-Table1[[#This Row],[Cost]]</f>
        <v>425.96749999999997</v>
      </c>
    </row>
    <row r="960" spans="1:28" x14ac:dyDescent="0.3">
      <c r="A960" t="s">
        <v>2528</v>
      </c>
      <c r="B960" s="1">
        <v>46188</v>
      </c>
      <c r="C960" t="s">
        <v>2529</v>
      </c>
      <c r="D960" t="s">
        <v>3637</v>
      </c>
      <c r="E960" s="1">
        <v>46194</v>
      </c>
      <c r="F960" t="s">
        <v>122</v>
      </c>
      <c r="G960" t="s">
        <v>120</v>
      </c>
      <c r="H960" t="s">
        <v>121</v>
      </c>
      <c r="I960" t="s">
        <v>2637</v>
      </c>
      <c r="J960" t="s">
        <v>2638</v>
      </c>
      <c r="K960" t="s">
        <v>25</v>
      </c>
      <c r="L960">
        <v>57</v>
      </c>
      <c r="M960">
        <v>2</v>
      </c>
      <c r="N960">
        <v>25</v>
      </c>
      <c r="O960" t="s">
        <v>1560</v>
      </c>
      <c r="P960" t="s">
        <v>75</v>
      </c>
      <c r="Q960" t="s">
        <v>58</v>
      </c>
      <c r="R960" t="s">
        <v>43</v>
      </c>
      <c r="S960" t="s">
        <v>123</v>
      </c>
      <c r="T960">
        <v>5</v>
      </c>
      <c r="U960" s="5">
        <v>275.22000000000003</v>
      </c>
      <c r="V960" s="5">
        <v>210.18</v>
      </c>
      <c r="W960">
        <v>6</v>
      </c>
      <c r="X960" t="s">
        <v>49</v>
      </c>
      <c r="Y960">
        <v>2026</v>
      </c>
      <c r="Z960" t="str">
        <f>TEXT(Table1[[#This Row],[Order Date]],"MMM")</f>
        <v>Jun</v>
      </c>
      <c r="AA960" s="5">
        <f>Table1[[#This Row],[Unit Price]]*Table1[[#This Row],[Quantity]]*(1-Table1[[#This Row],[Discount %]]/100)</f>
        <v>412.83000000000004</v>
      </c>
      <c r="AB960" s="5">
        <f>Table1[[#This Row],[Sales]]-Table1[[#This Row],[Cost]]</f>
        <v>202.65000000000003</v>
      </c>
    </row>
    <row r="961" spans="1:28" x14ac:dyDescent="0.3">
      <c r="A961" t="s">
        <v>2530</v>
      </c>
      <c r="B961" s="1">
        <v>45364</v>
      </c>
      <c r="C961" t="s">
        <v>2531</v>
      </c>
      <c r="D961" t="s">
        <v>3638</v>
      </c>
      <c r="E961" s="1">
        <v>45368</v>
      </c>
      <c r="F961" t="s">
        <v>56</v>
      </c>
      <c r="G961" t="s">
        <v>54</v>
      </c>
      <c r="H961" t="s">
        <v>55</v>
      </c>
      <c r="I961" t="s">
        <v>2621</v>
      </c>
      <c r="J961" t="s">
        <v>2647</v>
      </c>
      <c r="K961" t="s">
        <v>25</v>
      </c>
      <c r="L961">
        <v>27</v>
      </c>
      <c r="M961">
        <v>1</v>
      </c>
      <c r="N961">
        <v>20</v>
      </c>
      <c r="O961" t="s">
        <v>2532</v>
      </c>
      <c r="P961" t="s">
        <v>75</v>
      </c>
      <c r="Q961" t="s">
        <v>70</v>
      </c>
      <c r="R961" t="s">
        <v>62</v>
      </c>
      <c r="S961" t="s">
        <v>57</v>
      </c>
      <c r="T961">
        <v>4</v>
      </c>
      <c r="U961" s="5">
        <v>504.6</v>
      </c>
      <c r="V961" s="5">
        <v>290.61</v>
      </c>
      <c r="W961">
        <v>4</v>
      </c>
      <c r="X961" t="s">
        <v>34</v>
      </c>
      <c r="Y961">
        <v>2024</v>
      </c>
      <c r="Z961" t="str">
        <f>TEXT(Table1[[#This Row],[Order Date]],"MMM")</f>
        <v>Mar</v>
      </c>
      <c r="AA961" s="5">
        <f>Table1[[#This Row],[Unit Price]]*Table1[[#This Row],[Quantity]]*(1-Table1[[#This Row],[Discount %]]/100)</f>
        <v>403.68000000000006</v>
      </c>
      <c r="AB961" s="5">
        <f>Table1[[#This Row],[Sales]]-Table1[[#This Row],[Cost]]</f>
        <v>113.07000000000005</v>
      </c>
    </row>
    <row r="962" spans="1:28" x14ac:dyDescent="0.3">
      <c r="A962" t="s">
        <v>2533</v>
      </c>
      <c r="B962" s="1">
        <v>46112</v>
      </c>
      <c r="C962" t="s">
        <v>2534</v>
      </c>
      <c r="D962" t="s">
        <v>3639</v>
      </c>
      <c r="E962" s="1">
        <v>46114</v>
      </c>
      <c r="F962" t="s">
        <v>100</v>
      </c>
      <c r="G962" t="s">
        <v>98</v>
      </c>
      <c r="H962" t="s">
        <v>99</v>
      </c>
      <c r="I962" t="s">
        <v>2661</v>
      </c>
      <c r="J962" t="s">
        <v>2689</v>
      </c>
      <c r="K962" t="s">
        <v>25</v>
      </c>
      <c r="L962">
        <v>64</v>
      </c>
      <c r="M962">
        <v>5</v>
      </c>
      <c r="N962">
        <v>15</v>
      </c>
      <c r="O962" t="s">
        <v>978</v>
      </c>
      <c r="P962" t="s">
        <v>33</v>
      </c>
      <c r="Q962" t="s">
        <v>117</v>
      </c>
      <c r="R962" t="s">
        <v>62</v>
      </c>
      <c r="S962" t="s">
        <v>101</v>
      </c>
      <c r="T962">
        <v>5</v>
      </c>
      <c r="U962" s="5">
        <v>55.13</v>
      </c>
      <c r="V962" s="5">
        <v>183.29</v>
      </c>
      <c r="W962">
        <v>2</v>
      </c>
      <c r="X962" t="s">
        <v>34</v>
      </c>
      <c r="Y962">
        <v>2026</v>
      </c>
      <c r="Z962" t="str">
        <f>TEXT(Table1[[#This Row],[Order Date]],"MMM")</f>
        <v>Mar</v>
      </c>
      <c r="AA962" s="5">
        <f>Table1[[#This Row],[Unit Price]]*Table1[[#This Row],[Quantity]]*(1-Table1[[#This Row],[Discount %]]/100)</f>
        <v>234.30250000000001</v>
      </c>
      <c r="AB962" s="5">
        <f>Table1[[#This Row],[Sales]]-Table1[[#This Row],[Cost]]</f>
        <v>51.012500000000017</v>
      </c>
    </row>
    <row r="963" spans="1:28" x14ac:dyDescent="0.3">
      <c r="A963" t="s">
        <v>2535</v>
      </c>
      <c r="B963" s="1">
        <v>45959</v>
      </c>
      <c r="C963" t="s">
        <v>2536</v>
      </c>
      <c r="D963" t="s">
        <v>3640</v>
      </c>
      <c r="E963" s="1">
        <v>45966</v>
      </c>
      <c r="F963" t="s">
        <v>140</v>
      </c>
      <c r="G963" t="s">
        <v>38</v>
      </c>
      <c r="H963" t="s">
        <v>139</v>
      </c>
      <c r="I963" t="s">
        <v>2661</v>
      </c>
      <c r="J963" t="s">
        <v>2662</v>
      </c>
      <c r="K963" t="s">
        <v>52</v>
      </c>
      <c r="L963">
        <v>32</v>
      </c>
      <c r="M963">
        <v>2</v>
      </c>
      <c r="N963">
        <v>30</v>
      </c>
      <c r="O963" t="s">
        <v>2537</v>
      </c>
      <c r="P963" t="s">
        <v>33</v>
      </c>
      <c r="Q963" t="s">
        <v>70</v>
      </c>
      <c r="R963" t="s">
        <v>71</v>
      </c>
      <c r="S963" t="s">
        <v>141</v>
      </c>
      <c r="T963">
        <v>4</v>
      </c>
      <c r="U963" s="5">
        <v>620.28</v>
      </c>
      <c r="V963" s="5">
        <v>449.52</v>
      </c>
      <c r="W963">
        <v>7</v>
      </c>
      <c r="X963" t="s">
        <v>94</v>
      </c>
      <c r="Y963">
        <v>2025</v>
      </c>
      <c r="Z963" t="str">
        <f>TEXT(Table1[[#This Row],[Order Date]],"MMM")</f>
        <v>Oct</v>
      </c>
      <c r="AA963" s="5">
        <f>Table1[[#This Row],[Unit Price]]*Table1[[#This Row],[Quantity]]*(1-Table1[[#This Row],[Discount %]]/100)</f>
        <v>868.39199999999994</v>
      </c>
      <c r="AB963" s="5">
        <f>Table1[[#This Row],[Sales]]-Table1[[#This Row],[Cost]]</f>
        <v>418.87199999999996</v>
      </c>
    </row>
    <row r="964" spans="1:28" x14ac:dyDescent="0.3">
      <c r="A964" t="s">
        <v>2538</v>
      </c>
      <c r="B964" s="1">
        <v>45845</v>
      </c>
      <c r="C964" t="s">
        <v>2539</v>
      </c>
      <c r="D964" t="s">
        <v>3641</v>
      </c>
      <c r="E964" s="1">
        <v>45846</v>
      </c>
      <c r="F964" t="s">
        <v>122</v>
      </c>
      <c r="G964" t="s">
        <v>120</v>
      </c>
      <c r="H964" t="s">
        <v>121</v>
      </c>
      <c r="I964" t="s">
        <v>2627</v>
      </c>
      <c r="J964" t="s">
        <v>2707</v>
      </c>
      <c r="K964" t="s">
        <v>52</v>
      </c>
      <c r="L964">
        <v>39</v>
      </c>
      <c r="M964">
        <v>4</v>
      </c>
      <c r="N964">
        <v>30</v>
      </c>
      <c r="O964" t="s">
        <v>2540</v>
      </c>
      <c r="P964" t="s">
        <v>75</v>
      </c>
      <c r="Q964" t="s">
        <v>58</v>
      </c>
      <c r="R964" t="s">
        <v>62</v>
      </c>
      <c r="S964" t="s">
        <v>123</v>
      </c>
      <c r="T964">
        <v>3</v>
      </c>
      <c r="U964" s="5">
        <v>602.02</v>
      </c>
      <c r="V964" s="5">
        <v>1280.58</v>
      </c>
      <c r="W964">
        <v>1</v>
      </c>
      <c r="X964" t="s">
        <v>45</v>
      </c>
      <c r="Y964">
        <v>2025</v>
      </c>
      <c r="Z964" t="str">
        <f>TEXT(Table1[[#This Row],[Order Date]],"MMM")</f>
        <v>Jul</v>
      </c>
      <c r="AA964" s="5">
        <f>Table1[[#This Row],[Unit Price]]*Table1[[#This Row],[Quantity]]*(1-Table1[[#This Row],[Discount %]]/100)</f>
        <v>1685.6559999999999</v>
      </c>
      <c r="AB964" s="5">
        <f>Table1[[#This Row],[Sales]]-Table1[[#This Row],[Cost]]</f>
        <v>405.07600000000002</v>
      </c>
    </row>
    <row r="965" spans="1:28" x14ac:dyDescent="0.3">
      <c r="A965" t="s">
        <v>2541</v>
      </c>
      <c r="B965" s="1">
        <v>46115</v>
      </c>
      <c r="C965" t="s">
        <v>2542</v>
      </c>
      <c r="D965" t="s">
        <v>3642</v>
      </c>
      <c r="E965" s="1">
        <v>46121</v>
      </c>
      <c r="F965" t="s">
        <v>140</v>
      </c>
      <c r="G965" t="s">
        <v>38</v>
      </c>
      <c r="H965" t="s">
        <v>139</v>
      </c>
      <c r="I965" t="s">
        <v>2671</v>
      </c>
      <c r="J965" t="s">
        <v>2672</v>
      </c>
      <c r="K965" t="s">
        <v>52</v>
      </c>
      <c r="L965">
        <v>44</v>
      </c>
      <c r="M965">
        <v>3</v>
      </c>
      <c r="N965">
        <v>15</v>
      </c>
      <c r="O965" t="s">
        <v>1114</v>
      </c>
      <c r="P965" t="s">
        <v>44</v>
      </c>
      <c r="Q965" t="s">
        <v>42</v>
      </c>
      <c r="R965" t="s">
        <v>62</v>
      </c>
      <c r="S965" t="s">
        <v>141</v>
      </c>
      <c r="T965">
        <v>4</v>
      </c>
      <c r="U965" s="5">
        <v>919.07</v>
      </c>
      <c r="V965" s="5">
        <v>1806.77</v>
      </c>
      <c r="W965">
        <v>6</v>
      </c>
      <c r="X965" t="s">
        <v>49</v>
      </c>
      <c r="Y965">
        <v>2026</v>
      </c>
      <c r="Z965" t="str">
        <f>TEXT(Table1[[#This Row],[Order Date]],"MMM")</f>
        <v>Apr</v>
      </c>
      <c r="AA965" s="5">
        <f>Table1[[#This Row],[Unit Price]]*Table1[[#This Row],[Quantity]]*(1-Table1[[#This Row],[Discount %]]/100)</f>
        <v>2343.6284999999998</v>
      </c>
      <c r="AB965" s="5">
        <f>Table1[[#This Row],[Sales]]-Table1[[#This Row],[Cost]]</f>
        <v>536.85849999999982</v>
      </c>
    </row>
    <row r="966" spans="1:28" x14ac:dyDescent="0.3">
      <c r="A966" t="s">
        <v>2543</v>
      </c>
      <c r="B966" s="1">
        <v>45649</v>
      </c>
      <c r="C966" t="s">
        <v>2544</v>
      </c>
      <c r="D966" t="s">
        <v>3643</v>
      </c>
      <c r="E966" s="1">
        <v>45656</v>
      </c>
      <c r="F966" t="s">
        <v>56</v>
      </c>
      <c r="G966" t="s">
        <v>54</v>
      </c>
      <c r="H966" t="s">
        <v>55</v>
      </c>
      <c r="I966" t="s">
        <v>2618</v>
      </c>
      <c r="J966" t="s">
        <v>2700</v>
      </c>
      <c r="K966" t="s">
        <v>25</v>
      </c>
      <c r="L966">
        <v>63</v>
      </c>
      <c r="M966">
        <v>1</v>
      </c>
      <c r="N966">
        <v>0</v>
      </c>
      <c r="O966" t="s">
        <v>2545</v>
      </c>
      <c r="P966" t="s">
        <v>44</v>
      </c>
      <c r="Q966" t="s">
        <v>42</v>
      </c>
      <c r="R966" t="s">
        <v>71</v>
      </c>
      <c r="S966" t="s">
        <v>57</v>
      </c>
      <c r="T966">
        <v>3</v>
      </c>
      <c r="U966" s="5">
        <v>109.08</v>
      </c>
      <c r="V966" s="5">
        <v>78.849999999999994</v>
      </c>
      <c r="W966">
        <v>7</v>
      </c>
      <c r="X966" t="s">
        <v>94</v>
      </c>
      <c r="Y966">
        <v>2024</v>
      </c>
      <c r="Z966" t="str">
        <f>TEXT(Table1[[#This Row],[Order Date]],"MMM")</f>
        <v>Dec</v>
      </c>
      <c r="AA966" s="5">
        <f>Table1[[#This Row],[Unit Price]]*Table1[[#This Row],[Quantity]]*(1-Table1[[#This Row],[Discount %]]/100)</f>
        <v>109.08</v>
      </c>
      <c r="AB966" s="5">
        <f>Table1[[#This Row],[Sales]]-Table1[[#This Row],[Cost]]</f>
        <v>30.230000000000004</v>
      </c>
    </row>
    <row r="967" spans="1:28" x14ac:dyDescent="0.3">
      <c r="A967" t="s">
        <v>2546</v>
      </c>
      <c r="B967" s="1">
        <v>45595</v>
      </c>
      <c r="C967" t="s">
        <v>2547</v>
      </c>
      <c r="D967" t="s">
        <v>3644</v>
      </c>
      <c r="E967" s="1">
        <v>45599</v>
      </c>
      <c r="F967" t="s">
        <v>122</v>
      </c>
      <c r="G967" t="s">
        <v>120</v>
      </c>
      <c r="H967" t="s">
        <v>121</v>
      </c>
      <c r="I967" t="s">
        <v>2657</v>
      </c>
      <c r="J967" t="s">
        <v>2667</v>
      </c>
      <c r="K967" t="s">
        <v>52</v>
      </c>
      <c r="L967">
        <v>58</v>
      </c>
      <c r="M967">
        <v>3</v>
      </c>
      <c r="N967">
        <v>10</v>
      </c>
      <c r="O967" t="s">
        <v>1857</v>
      </c>
      <c r="P967" t="s">
        <v>44</v>
      </c>
      <c r="Q967" t="s">
        <v>58</v>
      </c>
      <c r="R967" t="s">
        <v>62</v>
      </c>
      <c r="S967" t="s">
        <v>123</v>
      </c>
      <c r="T967">
        <v>1</v>
      </c>
      <c r="U967" s="5">
        <v>378.02</v>
      </c>
      <c r="V967" s="5">
        <v>695.47</v>
      </c>
      <c r="W967">
        <v>4</v>
      </c>
      <c r="X967" t="s">
        <v>94</v>
      </c>
      <c r="Y967">
        <v>2024</v>
      </c>
      <c r="Z967" t="str">
        <f>TEXT(Table1[[#This Row],[Order Date]],"MMM")</f>
        <v>Oct</v>
      </c>
      <c r="AA967" s="5">
        <f>Table1[[#This Row],[Unit Price]]*Table1[[#This Row],[Quantity]]*(1-Table1[[#This Row],[Discount %]]/100)</f>
        <v>1020.654</v>
      </c>
      <c r="AB967" s="5">
        <f>Table1[[#This Row],[Sales]]-Table1[[#This Row],[Cost]]</f>
        <v>325.18399999999997</v>
      </c>
    </row>
    <row r="968" spans="1:28" x14ac:dyDescent="0.3">
      <c r="A968" t="s">
        <v>2548</v>
      </c>
      <c r="B968" s="1">
        <v>45383</v>
      </c>
      <c r="C968" t="s">
        <v>2549</v>
      </c>
      <c r="D968" t="s">
        <v>3645</v>
      </c>
      <c r="E968" s="1">
        <v>45388</v>
      </c>
      <c r="F968" t="s">
        <v>128</v>
      </c>
      <c r="G968" t="s">
        <v>98</v>
      </c>
      <c r="H968" t="s">
        <v>127</v>
      </c>
      <c r="I968" t="s">
        <v>2625</v>
      </c>
      <c r="J968" t="s">
        <v>2626</v>
      </c>
      <c r="K968" t="s">
        <v>25</v>
      </c>
      <c r="L968">
        <v>31</v>
      </c>
      <c r="M968">
        <v>2</v>
      </c>
      <c r="N968">
        <v>20</v>
      </c>
      <c r="O968" t="s">
        <v>183</v>
      </c>
      <c r="P968" t="s">
        <v>33</v>
      </c>
      <c r="Q968" t="s">
        <v>58</v>
      </c>
      <c r="R968" t="s">
        <v>32</v>
      </c>
      <c r="S968" t="s">
        <v>129</v>
      </c>
      <c r="T968">
        <v>4</v>
      </c>
      <c r="U968" s="5">
        <v>483.93</v>
      </c>
      <c r="V968" s="5">
        <v>419.99</v>
      </c>
      <c r="W968">
        <v>5</v>
      </c>
      <c r="X968" t="s">
        <v>49</v>
      </c>
      <c r="Y968">
        <v>2024</v>
      </c>
      <c r="Z968" t="str">
        <f>TEXT(Table1[[#This Row],[Order Date]],"MMM")</f>
        <v>Apr</v>
      </c>
      <c r="AA968" s="5">
        <f>Table1[[#This Row],[Unit Price]]*Table1[[#This Row],[Quantity]]*(1-Table1[[#This Row],[Discount %]]/100)</f>
        <v>774.28800000000001</v>
      </c>
      <c r="AB968" s="5">
        <f>Table1[[#This Row],[Sales]]-Table1[[#This Row],[Cost]]</f>
        <v>354.298</v>
      </c>
    </row>
    <row r="969" spans="1:28" x14ac:dyDescent="0.3">
      <c r="A969" t="s">
        <v>2550</v>
      </c>
      <c r="B969" s="1">
        <v>45772</v>
      </c>
      <c r="C969" t="s">
        <v>2551</v>
      </c>
      <c r="D969" t="s">
        <v>3646</v>
      </c>
      <c r="E969" s="1">
        <v>45775</v>
      </c>
      <c r="F969" t="s">
        <v>56</v>
      </c>
      <c r="G969" t="s">
        <v>54</v>
      </c>
      <c r="H969" t="s">
        <v>55</v>
      </c>
      <c r="I969" t="s">
        <v>2618</v>
      </c>
      <c r="J969" t="s">
        <v>2682</v>
      </c>
      <c r="K969" t="s">
        <v>25</v>
      </c>
      <c r="L969">
        <v>47</v>
      </c>
      <c r="M969">
        <v>2</v>
      </c>
      <c r="N969">
        <v>0</v>
      </c>
      <c r="O969" t="s">
        <v>211</v>
      </c>
      <c r="P969" t="s">
        <v>44</v>
      </c>
      <c r="Q969" t="s">
        <v>58</v>
      </c>
      <c r="R969" t="s">
        <v>62</v>
      </c>
      <c r="S969" t="s">
        <v>57</v>
      </c>
      <c r="T969">
        <v>2</v>
      </c>
      <c r="U969" s="5">
        <v>798.82</v>
      </c>
      <c r="V969" s="5">
        <v>944.73</v>
      </c>
      <c r="W969">
        <v>3</v>
      </c>
      <c r="X969" t="s">
        <v>49</v>
      </c>
      <c r="Y969">
        <v>2025</v>
      </c>
      <c r="Z969" t="str">
        <f>TEXT(Table1[[#This Row],[Order Date]],"MMM")</f>
        <v>Apr</v>
      </c>
      <c r="AA969" s="5">
        <f>Table1[[#This Row],[Unit Price]]*Table1[[#This Row],[Quantity]]*(1-Table1[[#This Row],[Discount %]]/100)</f>
        <v>1597.64</v>
      </c>
      <c r="AB969" s="5">
        <f>Table1[[#This Row],[Sales]]-Table1[[#This Row],[Cost]]</f>
        <v>652.91000000000008</v>
      </c>
    </row>
    <row r="970" spans="1:28" x14ac:dyDescent="0.3">
      <c r="A970" t="s">
        <v>2552</v>
      </c>
      <c r="B970" s="1">
        <v>45936</v>
      </c>
      <c r="C970" t="s">
        <v>24</v>
      </c>
      <c r="D970" t="s">
        <v>3647</v>
      </c>
      <c r="E970" s="1">
        <v>45943</v>
      </c>
      <c r="F970" t="s">
        <v>115</v>
      </c>
      <c r="G970" t="s">
        <v>66</v>
      </c>
      <c r="H970" t="s">
        <v>114</v>
      </c>
      <c r="I970" t="s">
        <v>2619</v>
      </c>
      <c r="J970" t="s">
        <v>2687</v>
      </c>
      <c r="K970" t="s">
        <v>25</v>
      </c>
      <c r="L970">
        <v>61</v>
      </c>
      <c r="M970">
        <v>5</v>
      </c>
      <c r="N970">
        <v>20</v>
      </c>
      <c r="O970" t="s">
        <v>1703</v>
      </c>
      <c r="P970" t="s">
        <v>33</v>
      </c>
      <c r="Q970" t="s">
        <v>31</v>
      </c>
      <c r="R970" t="s">
        <v>32</v>
      </c>
      <c r="S970" t="s">
        <v>116</v>
      </c>
      <c r="T970">
        <v>3</v>
      </c>
      <c r="U970" s="5">
        <v>958.58</v>
      </c>
      <c r="V970" s="5">
        <v>3229.77</v>
      </c>
      <c r="W970">
        <v>7</v>
      </c>
      <c r="X970" t="s">
        <v>94</v>
      </c>
      <c r="Y970">
        <v>2025</v>
      </c>
      <c r="Z970" t="str">
        <f>TEXT(Table1[[#This Row],[Order Date]],"MMM")</f>
        <v>Oct</v>
      </c>
      <c r="AA970" s="5">
        <f>Table1[[#This Row],[Unit Price]]*Table1[[#This Row],[Quantity]]*(1-Table1[[#This Row],[Discount %]]/100)</f>
        <v>3834.3200000000006</v>
      </c>
      <c r="AB970" s="5">
        <f>Table1[[#This Row],[Sales]]-Table1[[#This Row],[Cost]]</f>
        <v>604.55000000000064</v>
      </c>
    </row>
    <row r="971" spans="1:28" x14ac:dyDescent="0.3">
      <c r="A971" t="s">
        <v>2553</v>
      </c>
      <c r="B971" s="1">
        <v>45956</v>
      </c>
      <c r="C971" t="s">
        <v>2554</v>
      </c>
      <c r="D971" t="s">
        <v>3648</v>
      </c>
      <c r="E971" s="1">
        <v>45959</v>
      </c>
      <c r="F971" t="s">
        <v>122</v>
      </c>
      <c r="G971" t="s">
        <v>120</v>
      </c>
      <c r="H971" t="s">
        <v>121</v>
      </c>
      <c r="I971" t="s">
        <v>2631</v>
      </c>
      <c r="J971" t="s">
        <v>2716</v>
      </c>
      <c r="K971" t="s">
        <v>52</v>
      </c>
      <c r="L971">
        <v>63</v>
      </c>
      <c r="M971">
        <v>4</v>
      </c>
      <c r="N971">
        <v>30</v>
      </c>
      <c r="O971" t="s">
        <v>983</v>
      </c>
      <c r="P971" t="s">
        <v>33</v>
      </c>
      <c r="Q971" t="s">
        <v>58</v>
      </c>
      <c r="R971" t="s">
        <v>62</v>
      </c>
      <c r="S971" t="s">
        <v>123</v>
      </c>
      <c r="T971">
        <v>1</v>
      </c>
      <c r="U971" s="5">
        <v>529.69000000000005</v>
      </c>
      <c r="V971" s="5">
        <v>927.93</v>
      </c>
      <c r="W971">
        <v>3</v>
      </c>
      <c r="X971" t="s">
        <v>94</v>
      </c>
      <c r="Y971">
        <v>2025</v>
      </c>
      <c r="Z971" t="str">
        <f>TEXT(Table1[[#This Row],[Order Date]],"MMM")</f>
        <v>Oct</v>
      </c>
      <c r="AA971" s="5">
        <f>Table1[[#This Row],[Unit Price]]*Table1[[#This Row],[Quantity]]*(1-Table1[[#This Row],[Discount %]]/100)</f>
        <v>1483.1320000000001</v>
      </c>
      <c r="AB971" s="5">
        <f>Table1[[#This Row],[Sales]]-Table1[[#This Row],[Cost]]</f>
        <v>555.20200000000011</v>
      </c>
    </row>
    <row r="972" spans="1:28" x14ac:dyDescent="0.3">
      <c r="A972" t="s">
        <v>2555</v>
      </c>
      <c r="B972" s="1">
        <v>45853</v>
      </c>
      <c r="C972" t="s">
        <v>2556</v>
      </c>
      <c r="D972" t="s">
        <v>3649</v>
      </c>
      <c r="E972" s="1">
        <v>45855</v>
      </c>
      <c r="F972" t="s">
        <v>56</v>
      </c>
      <c r="G972" t="s">
        <v>54</v>
      </c>
      <c r="H972" t="s">
        <v>55</v>
      </c>
      <c r="I972" t="s">
        <v>2619</v>
      </c>
      <c r="J972" t="s">
        <v>2620</v>
      </c>
      <c r="K972" t="s">
        <v>25</v>
      </c>
      <c r="L972">
        <v>22</v>
      </c>
      <c r="M972">
        <v>3</v>
      </c>
      <c r="N972">
        <v>10</v>
      </c>
      <c r="O972" t="s">
        <v>207</v>
      </c>
      <c r="P972" t="s">
        <v>75</v>
      </c>
      <c r="Q972" t="s">
        <v>31</v>
      </c>
      <c r="R972" t="s">
        <v>32</v>
      </c>
      <c r="S972" t="s">
        <v>57</v>
      </c>
      <c r="T972">
        <v>1</v>
      </c>
      <c r="U972" s="5">
        <v>485.62</v>
      </c>
      <c r="V972" s="5">
        <v>1108.8800000000001</v>
      </c>
      <c r="W972">
        <v>2</v>
      </c>
      <c r="X972" t="s">
        <v>45</v>
      </c>
      <c r="Y972">
        <v>2025</v>
      </c>
      <c r="Z972" t="str">
        <f>TEXT(Table1[[#This Row],[Order Date]],"MMM")</f>
        <v>Jul</v>
      </c>
      <c r="AA972" s="5">
        <f>Table1[[#This Row],[Unit Price]]*Table1[[#This Row],[Quantity]]*(1-Table1[[#This Row],[Discount %]]/100)</f>
        <v>1311.1740000000002</v>
      </c>
      <c r="AB972" s="5">
        <f>Table1[[#This Row],[Sales]]-Table1[[#This Row],[Cost]]</f>
        <v>202.2940000000001</v>
      </c>
    </row>
    <row r="973" spans="1:28" x14ac:dyDescent="0.3">
      <c r="A973" t="s">
        <v>2557</v>
      </c>
      <c r="B973" s="1">
        <v>45308</v>
      </c>
      <c r="C973" t="s">
        <v>1914</v>
      </c>
      <c r="D973" t="s">
        <v>3650</v>
      </c>
      <c r="E973" s="1">
        <v>45313</v>
      </c>
      <c r="F973" t="s">
        <v>29</v>
      </c>
      <c r="G973" t="s">
        <v>27</v>
      </c>
      <c r="H973" t="s">
        <v>28</v>
      </c>
      <c r="I973" t="s">
        <v>2664</v>
      </c>
      <c r="J973" t="s">
        <v>2704</v>
      </c>
      <c r="K973" t="s">
        <v>25</v>
      </c>
      <c r="L973">
        <v>33</v>
      </c>
      <c r="M973">
        <v>1</v>
      </c>
      <c r="N973">
        <v>25</v>
      </c>
      <c r="O973" t="s">
        <v>247</v>
      </c>
      <c r="P973" t="s">
        <v>33</v>
      </c>
      <c r="Q973" t="s">
        <v>58</v>
      </c>
      <c r="R973" t="s">
        <v>62</v>
      </c>
      <c r="S973" t="s">
        <v>30</v>
      </c>
      <c r="T973">
        <v>3</v>
      </c>
      <c r="U973" s="5">
        <v>978.57</v>
      </c>
      <c r="V973" s="5">
        <v>621.89</v>
      </c>
      <c r="W973">
        <v>5</v>
      </c>
      <c r="X973" t="s">
        <v>34</v>
      </c>
      <c r="Y973">
        <v>2024</v>
      </c>
      <c r="Z973" t="str">
        <f>TEXT(Table1[[#This Row],[Order Date]],"MMM")</f>
        <v>Jan</v>
      </c>
      <c r="AA973" s="5">
        <f>Table1[[#This Row],[Unit Price]]*Table1[[#This Row],[Quantity]]*(1-Table1[[#This Row],[Discount %]]/100)</f>
        <v>733.92750000000001</v>
      </c>
      <c r="AB973" s="5">
        <f>Table1[[#This Row],[Sales]]-Table1[[#This Row],[Cost]]</f>
        <v>112.03750000000002</v>
      </c>
    </row>
    <row r="974" spans="1:28" x14ac:dyDescent="0.3">
      <c r="A974" t="s">
        <v>2558</v>
      </c>
      <c r="B974" s="1">
        <v>45356</v>
      </c>
      <c r="C974" t="s">
        <v>2559</v>
      </c>
      <c r="D974" t="s">
        <v>3651</v>
      </c>
      <c r="E974" s="1">
        <v>45358</v>
      </c>
      <c r="F974" t="s">
        <v>29</v>
      </c>
      <c r="G974" t="s">
        <v>27</v>
      </c>
      <c r="H974" t="s">
        <v>28</v>
      </c>
      <c r="I974" t="s">
        <v>2675</v>
      </c>
      <c r="J974" t="s">
        <v>2676</v>
      </c>
      <c r="K974" t="s">
        <v>25</v>
      </c>
      <c r="L974">
        <v>24</v>
      </c>
      <c r="M974">
        <v>5</v>
      </c>
      <c r="N974">
        <v>10</v>
      </c>
      <c r="O974" t="s">
        <v>526</v>
      </c>
      <c r="P974" t="s">
        <v>44</v>
      </c>
      <c r="Q974" t="s">
        <v>117</v>
      </c>
      <c r="R974" t="s">
        <v>43</v>
      </c>
      <c r="S974" t="s">
        <v>30</v>
      </c>
      <c r="T974">
        <v>3</v>
      </c>
      <c r="U974" s="5">
        <v>896.05</v>
      </c>
      <c r="V974" s="5">
        <v>2235.54</v>
      </c>
      <c r="W974">
        <v>2</v>
      </c>
      <c r="X974" t="s">
        <v>34</v>
      </c>
      <c r="Y974">
        <v>2024</v>
      </c>
      <c r="Z974" t="str">
        <f>TEXT(Table1[[#This Row],[Order Date]],"MMM")</f>
        <v>Mar</v>
      </c>
      <c r="AA974" s="5">
        <f>Table1[[#This Row],[Unit Price]]*Table1[[#This Row],[Quantity]]*(1-Table1[[#This Row],[Discount %]]/100)</f>
        <v>4032.2249999999999</v>
      </c>
      <c r="AB974" s="5">
        <f>Table1[[#This Row],[Sales]]-Table1[[#This Row],[Cost]]</f>
        <v>1796.6849999999999</v>
      </c>
    </row>
    <row r="975" spans="1:28" x14ac:dyDescent="0.3">
      <c r="A975" t="s">
        <v>2560</v>
      </c>
      <c r="B975" s="1">
        <v>45486</v>
      </c>
      <c r="C975" t="s">
        <v>2561</v>
      </c>
      <c r="D975" t="s">
        <v>3652</v>
      </c>
      <c r="E975" s="1">
        <v>45493</v>
      </c>
      <c r="F975" t="s">
        <v>29</v>
      </c>
      <c r="G975" t="s">
        <v>27</v>
      </c>
      <c r="H975" t="s">
        <v>28</v>
      </c>
      <c r="I975" t="s">
        <v>2629</v>
      </c>
      <c r="J975" t="s">
        <v>2674</v>
      </c>
      <c r="K975" t="s">
        <v>52</v>
      </c>
      <c r="L975">
        <v>20</v>
      </c>
      <c r="M975">
        <v>5</v>
      </c>
      <c r="N975">
        <v>5</v>
      </c>
      <c r="O975" t="s">
        <v>2281</v>
      </c>
      <c r="P975" t="s">
        <v>33</v>
      </c>
      <c r="Q975" t="s">
        <v>31</v>
      </c>
      <c r="R975" t="s">
        <v>32</v>
      </c>
      <c r="S975" t="s">
        <v>30</v>
      </c>
      <c r="T975">
        <v>3</v>
      </c>
      <c r="U975" s="5">
        <v>212.99</v>
      </c>
      <c r="V975" s="5">
        <v>708.84</v>
      </c>
      <c r="W975">
        <v>7</v>
      </c>
      <c r="X975" t="s">
        <v>45</v>
      </c>
      <c r="Y975">
        <v>2024</v>
      </c>
      <c r="Z975" t="str">
        <f>TEXT(Table1[[#This Row],[Order Date]],"MMM")</f>
        <v>Jul</v>
      </c>
      <c r="AA975" s="5">
        <f>Table1[[#This Row],[Unit Price]]*Table1[[#This Row],[Quantity]]*(1-Table1[[#This Row],[Discount %]]/100)</f>
        <v>1011.7025</v>
      </c>
      <c r="AB975" s="5">
        <f>Table1[[#This Row],[Sales]]-Table1[[#This Row],[Cost]]</f>
        <v>302.86249999999995</v>
      </c>
    </row>
    <row r="976" spans="1:28" x14ac:dyDescent="0.3">
      <c r="A976" t="s">
        <v>2562</v>
      </c>
      <c r="B976" s="1">
        <v>46180</v>
      </c>
      <c r="C976" t="s">
        <v>2563</v>
      </c>
      <c r="D976" t="s">
        <v>3653</v>
      </c>
      <c r="E976" s="1">
        <v>46185</v>
      </c>
      <c r="F976" t="s">
        <v>122</v>
      </c>
      <c r="G976" t="s">
        <v>120</v>
      </c>
      <c r="H976" t="s">
        <v>121</v>
      </c>
      <c r="I976" t="s">
        <v>2671</v>
      </c>
      <c r="J976" t="s">
        <v>2695</v>
      </c>
      <c r="K976" t="s">
        <v>25</v>
      </c>
      <c r="L976">
        <v>42</v>
      </c>
      <c r="M976">
        <v>3</v>
      </c>
      <c r="N976">
        <v>5</v>
      </c>
      <c r="O976" t="s">
        <v>1114</v>
      </c>
      <c r="P976" t="s">
        <v>75</v>
      </c>
      <c r="Q976" t="s">
        <v>58</v>
      </c>
      <c r="R976" t="s">
        <v>71</v>
      </c>
      <c r="S976" t="s">
        <v>123</v>
      </c>
      <c r="T976">
        <v>3</v>
      </c>
      <c r="U976" s="5">
        <v>758.48</v>
      </c>
      <c r="V976" s="5">
        <v>1485.26</v>
      </c>
      <c r="W976">
        <v>5</v>
      </c>
      <c r="X976" t="s">
        <v>49</v>
      </c>
      <c r="Y976">
        <v>2026</v>
      </c>
      <c r="Z976" t="str">
        <f>TEXT(Table1[[#This Row],[Order Date]],"MMM")</f>
        <v>Jun</v>
      </c>
      <c r="AA976" s="5">
        <f>Table1[[#This Row],[Unit Price]]*Table1[[#This Row],[Quantity]]*(1-Table1[[#This Row],[Discount %]]/100)</f>
        <v>2161.6680000000001</v>
      </c>
      <c r="AB976" s="5">
        <f>Table1[[#This Row],[Sales]]-Table1[[#This Row],[Cost]]</f>
        <v>676.40800000000013</v>
      </c>
    </row>
    <row r="977" spans="1:28" x14ac:dyDescent="0.3">
      <c r="A977" t="s">
        <v>2564</v>
      </c>
      <c r="B977" s="1">
        <v>45723</v>
      </c>
      <c r="C977" t="s">
        <v>2565</v>
      </c>
      <c r="D977" t="s">
        <v>3654</v>
      </c>
      <c r="E977" s="1">
        <v>45725</v>
      </c>
      <c r="F977" t="s">
        <v>68</v>
      </c>
      <c r="G977" t="s">
        <v>66</v>
      </c>
      <c r="H977" t="s">
        <v>67</v>
      </c>
      <c r="I977" t="s">
        <v>2625</v>
      </c>
      <c r="J977" t="s">
        <v>2693</v>
      </c>
      <c r="K977" t="s">
        <v>52</v>
      </c>
      <c r="L977">
        <v>52</v>
      </c>
      <c r="M977">
        <v>1</v>
      </c>
      <c r="N977">
        <v>25</v>
      </c>
      <c r="O977" t="s">
        <v>1522</v>
      </c>
      <c r="P977" t="s">
        <v>75</v>
      </c>
      <c r="Q977" t="s">
        <v>42</v>
      </c>
      <c r="R977" t="s">
        <v>71</v>
      </c>
      <c r="S977" t="s">
        <v>69</v>
      </c>
      <c r="T977">
        <v>1</v>
      </c>
      <c r="U977" s="5">
        <v>196.55</v>
      </c>
      <c r="V977" s="5">
        <v>119.13</v>
      </c>
      <c r="W977">
        <v>2</v>
      </c>
      <c r="X977" t="s">
        <v>34</v>
      </c>
      <c r="Y977">
        <v>2025</v>
      </c>
      <c r="Z977" t="str">
        <f>TEXT(Table1[[#This Row],[Order Date]],"MMM")</f>
        <v>Mar</v>
      </c>
      <c r="AA977" s="5">
        <f>Table1[[#This Row],[Unit Price]]*Table1[[#This Row],[Quantity]]*(1-Table1[[#This Row],[Discount %]]/100)</f>
        <v>147.41250000000002</v>
      </c>
      <c r="AB977" s="5">
        <f>Table1[[#This Row],[Sales]]-Table1[[#This Row],[Cost]]</f>
        <v>28.282500000000027</v>
      </c>
    </row>
    <row r="978" spans="1:28" x14ac:dyDescent="0.3">
      <c r="A978" t="s">
        <v>2566</v>
      </c>
      <c r="B978" s="1">
        <v>45518</v>
      </c>
      <c r="C978" t="s">
        <v>2567</v>
      </c>
      <c r="D978" t="s">
        <v>3655</v>
      </c>
      <c r="E978" s="1">
        <v>45522</v>
      </c>
      <c r="F978" t="s">
        <v>100</v>
      </c>
      <c r="G978" t="s">
        <v>98</v>
      </c>
      <c r="H978" t="s">
        <v>99</v>
      </c>
      <c r="I978" t="s">
        <v>2625</v>
      </c>
      <c r="J978" t="s">
        <v>2626</v>
      </c>
      <c r="K978" t="s">
        <v>25</v>
      </c>
      <c r="L978">
        <v>20</v>
      </c>
      <c r="M978">
        <v>3</v>
      </c>
      <c r="N978">
        <v>25</v>
      </c>
      <c r="O978" t="s">
        <v>1837</v>
      </c>
      <c r="P978" t="s">
        <v>44</v>
      </c>
      <c r="Q978" t="s">
        <v>42</v>
      </c>
      <c r="R978" t="s">
        <v>71</v>
      </c>
      <c r="S978" t="s">
        <v>101</v>
      </c>
      <c r="T978">
        <v>4</v>
      </c>
      <c r="U978" s="5">
        <v>79.69</v>
      </c>
      <c r="V978" s="5">
        <v>117.84</v>
      </c>
      <c r="W978">
        <v>4</v>
      </c>
      <c r="X978" t="s">
        <v>45</v>
      </c>
      <c r="Y978">
        <v>2024</v>
      </c>
      <c r="Z978" t="str">
        <f>TEXT(Table1[[#This Row],[Order Date]],"MMM")</f>
        <v>Aug</v>
      </c>
      <c r="AA978" s="5">
        <f>Table1[[#This Row],[Unit Price]]*Table1[[#This Row],[Quantity]]*(1-Table1[[#This Row],[Discount %]]/100)</f>
        <v>179.30250000000001</v>
      </c>
      <c r="AB978" s="5">
        <f>Table1[[#This Row],[Sales]]-Table1[[#This Row],[Cost]]</f>
        <v>61.462500000000006</v>
      </c>
    </row>
    <row r="979" spans="1:28" x14ac:dyDescent="0.3">
      <c r="A979" t="s">
        <v>2568</v>
      </c>
      <c r="B979" s="1">
        <v>45469</v>
      </c>
      <c r="C979" t="s">
        <v>2569</v>
      </c>
      <c r="D979" t="s">
        <v>3656</v>
      </c>
      <c r="E979" s="1">
        <v>45472</v>
      </c>
      <c r="F979" t="s">
        <v>56</v>
      </c>
      <c r="G979" t="s">
        <v>54</v>
      </c>
      <c r="H979" t="s">
        <v>55</v>
      </c>
      <c r="I979" t="s">
        <v>2652</v>
      </c>
      <c r="J979" t="s">
        <v>2679</v>
      </c>
      <c r="K979" t="s">
        <v>25</v>
      </c>
      <c r="L979">
        <v>32</v>
      </c>
      <c r="M979">
        <v>5</v>
      </c>
      <c r="N979">
        <v>10</v>
      </c>
      <c r="O979" t="s">
        <v>1070</v>
      </c>
      <c r="P979" t="s">
        <v>44</v>
      </c>
      <c r="Q979" t="s">
        <v>31</v>
      </c>
      <c r="R979" t="s">
        <v>62</v>
      </c>
      <c r="S979" t="s">
        <v>57</v>
      </c>
      <c r="T979">
        <v>3</v>
      </c>
      <c r="U979" s="5">
        <v>403.9</v>
      </c>
      <c r="V979" s="5">
        <v>1021.45</v>
      </c>
      <c r="W979">
        <v>3</v>
      </c>
      <c r="X979" t="s">
        <v>49</v>
      </c>
      <c r="Y979">
        <v>2024</v>
      </c>
      <c r="Z979" t="str">
        <f>TEXT(Table1[[#This Row],[Order Date]],"MMM")</f>
        <v>Jun</v>
      </c>
      <c r="AA979" s="5">
        <f>Table1[[#This Row],[Unit Price]]*Table1[[#This Row],[Quantity]]*(1-Table1[[#This Row],[Discount %]]/100)</f>
        <v>1817.55</v>
      </c>
      <c r="AB979" s="5">
        <f>Table1[[#This Row],[Sales]]-Table1[[#This Row],[Cost]]</f>
        <v>796.09999999999991</v>
      </c>
    </row>
    <row r="980" spans="1:28" x14ac:dyDescent="0.3">
      <c r="A980" t="s">
        <v>2570</v>
      </c>
      <c r="B980" s="1">
        <v>45823</v>
      </c>
      <c r="C980" t="s">
        <v>2571</v>
      </c>
      <c r="D980" t="s">
        <v>3657</v>
      </c>
      <c r="E980" s="1">
        <v>45827</v>
      </c>
      <c r="F980" t="s">
        <v>29</v>
      </c>
      <c r="G980" t="s">
        <v>27</v>
      </c>
      <c r="H980" t="s">
        <v>28</v>
      </c>
      <c r="I980" t="s">
        <v>2652</v>
      </c>
      <c r="J980" t="s">
        <v>2653</v>
      </c>
      <c r="K980" t="s">
        <v>52</v>
      </c>
      <c r="L980">
        <v>32</v>
      </c>
      <c r="M980">
        <v>4</v>
      </c>
      <c r="N980">
        <v>5</v>
      </c>
      <c r="O980" t="s">
        <v>2572</v>
      </c>
      <c r="P980" t="s">
        <v>44</v>
      </c>
      <c r="Q980" t="s">
        <v>31</v>
      </c>
      <c r="R980" t="s">
        <v>32</v>
      </c>
      <c r="S980" t="s">
        <v>30</v>
      </c>
      <c r="T980">
        <v>1</v>
      </c>
      <c r="U980" s="5">
        <v>546.95000000000005</v>
      </c>
      <c r="V980" s="5">
        <v>1243.27</v>
      </c>
      <c r="W980">
        <v>4</v>
      </c>
      <c r="X980" t="s">
        <v>49</v>
      </c>
      <c r="Y980">
        <v>2025</v>
      </c>
      <c r="Z980" t="str">
        <f>TEXT(Table1[[#This Row],[Order Date]],"MMM")</f>
        <v>Jun</v>
      </c>
      <c r="AA980" s="5">
        <f>Table1[[#This Row],[Unit Price]]*Table1[[#This Row],[Quantity]]*(1-Table1[[#This Row],[Discount %]]/100)</f>
        <v>2078.41</v>
      </c>
      <c r="AB980" s="5">
        <f>Table1[[#This Row],[Sales]]-Table1[[#This Row],[Cost]]</f>
        <v>835.13999999999987</v>
      </c>
    </row>
    <row r="981" spans="1:28" x14ac:dyDescent="0.3">
      <c r="A981" t="s">
        <v>2573</v>
      </c>
      <c r="B981" s="1">
        <v>45834</v>
      </c>
      <c r="C981" t="s">
        <v>2574</v>
      </c>
      <c r="D981" t="s">
        <v>3658</v>
      </c>
      <c r="E981" s="1">
        <v>45835</v>
      </c>
      <c r="F981" t="s">
        <v>122</v>
      </c>
      <c r="G981" t="s">
        <v>120</v>
      </c>
      <c r="H981" t="s">
        <v>121</v>
      </c>
      <c r="I981" t="s">
        <v>2621</v>
      </c>
      <c r="J981" t="s">
        <v>2622</v>
      </c>
      <c r="K981" t="s">
        <v>52</v>
      </c>
      <c r="L981">
        <v>61</v>
      </c>
      <c r="M981">
        <v>5</v>
      </c>
      <c r="N981">
        <v>5</v>
      </c>
      <c r="O981" t="s">
        <v>78</v>
      </c>
      <c r="P981" t="s">
        <v>33</v>
      </c>
      <c r="Q981" t="s">
        <v>31</v>
      </c>
      <c r="R981" t="s">
        <v>71</v>
      </c>
      <c r="S981" t="s">
        <v>123</v>
      </c>
      <c r="T981">
        <v>5</v>
      </c>
      <c r="U981" s="5">
        <v>390.5</v>
      </c>
      <c r="V981" s="5">
        <v>943.12</v>
      </c>
      <c r="W981">
        <v>1</v>
      </c>
      <c r="X981" t="s">
        <v>49</v>
      </c>
      <c r="Y981">
        <v>2025</v>
      </c>
      <c r="Z981" t="str">
        <f>TEXT(Table1[[#This Row],[Order Date]],"MMM")</f>
        <v>Jun</v>
      </c>
      <c r="AA981" s="5">
        <f>Table1[[#This Row],[Unit Price]]*Table1[[#This Row],[Quantity]]*(1-Table1[[#This Row],[Discount %]]/100)</f>
        <v>1854.875</v>
      </c>
      <c r="AB981" s="5">
        <f>Table1[[#This Row],[Sales]]-Table1[[#This Row],[Cost]]</f>
        <v>911.755</v>
      </c>
    </row>
    <row r="982" spans="1:28" x14ac:dyDescent="0.3">
      <c r="A982" t="s">
        <v>2575</v>
      </c>
      <c r="B982" s="1">
        <v>45821</v>
      </c>
      <c r="C982" t="s">
        <v>2576</v>
      </c>
      <c r="D982" t="s">
        <v>3705</v>
      </c>
      <c r="E982" s="1">
        <v>45828</v>
      </c>
      <c r="F982" t="s">
        <v>29</v>
      </c>
      <c r="G982" t="s">
        <v>27</v>
      </c>
      <c r="H982" t="s">
        <v>28</v>
      </c>
      <c r="I982" t="s">
        <v>2618</v>
      </c>
      <c r="J982" t="s">
        <v>2700</v>
      </c>
      <c r="K982" t="s">
        <v>52</v>
      </c>
      <c r="L982">
        <v>51</v>
      </c>
      <c r="M982">
        <v>2</v>
      </c>
      <c r="N982">
        <v>30</v>
      </c>
      <c r="O982" t="s">
        <v>2577</v>
      </c>
      <c r="P982" t="s">
        <v>33</v>
      </c>
      <c r="Q982" t="s">
        <v>58</v>
      </c>
      <c r="R982" t="s">
        <v>62</v>
      </c>
      <c r="S982" t="s">
        <v>30</v>
      </c>
      <c r="T982">
        <v>4</v>
      </c>
      <c r="U982" s="5">
        <v>727.5</v>
      </c>
      <c r="V982" s="5">
        <v>578.54999999999995</v>
      </c>
      <c r="W982">
        <v>7</v>
      </c>
      <c r="X982" t="s">
        <v>49</v>
      </c>
      <c r="Y982">
        <v>2025</v>
      </c>
      <c r="Z982" t="str">
        <f>TEXT(Table1[[#This Row],[Order Date]],"MMM")</f>
        <v>Jun</v>
      </c>
      <c r="AA982" s="5">
        <f>Table1[[#This Row],[Unit Price]]*Table1[[#This Row],[Quantity]]*(1-Table1[[#This Row],[Discount %]]/100)</f>
        <v>1018.4999999999999</v>
      </c>
      <c r="AB982" s="5">
        <f>Table1[[#This Row],[Sales]]-Table1[[#This Row],[Cost]]</f>
        <v>439.94999999999993</v>
      </c>
    </row>
    <row r="983" spans="1:28" x14ac:dyDescent="0.3">
      <c r="A983" t="s">
        <v>2578</v>
      </c>
      <c r="B983" s="1">
        <v>45594</v>
      </c>
      <c r="C983" t="s">
        <v>1476</v>
      </c>
      <c r="D983" t="s">
        <v>3706</v>
      </c>
      <c r="E983" s="1">
        <v>45595</v>
      </c>
      <c r="F983" t="s">
        <v>56</v>
      </c>
      <c r="G983" t="s">
        <v>54</v>
      </c>
      <c r="H983" t="s">
        <v>55</v>
      </c>
      <c r="I983" t="s">
        <v>2659</v>
      </c>
      <c r="J983" t="s">
        <v>2690</v>
      </c>
      <c r="K983" t="s">
        <v>52</v>
      </c>
      <c r="L983">
        <v>40</v>
      </c>
      <c r="M983">
        <v>3</v>
      </c>
      <c r="N983">
        <v>0</v>
      </c>
      <c r="O983" t="s">
        <v>2579</v>
      </c>
      <c r="P983" t="s">
        <v>75</v>
      </c>
      <c r="Q983" t="s">
        <v>31</v>
      </c>
      <c r="R983" t="s">
        <v>43</v>
      </c>
      <c r="S983" t="s">
        <v>57</v>
      </c>
      <c r="T983">
        <v>4</v>
      </c>
      <c r="U983" s="5">
        <v>853.64</v>
      </c>
      <c r="V983" s="5">
        <v>1561.47</v>
      </c>
      <c r="W983">
        <v>1</v>
      </c>
      <c r="X983" t="s">
        <v>94</v>
      </c>
      <c r="Y983">
        <v>2024</v>
      </c>
      <c r="Z983" t="str">
        <f>TEXT(Table1[[#This Row],[Order Date]],"MMM")</f>
        <v>Oct</v>
      </c>
      <c r="AA983" s="5">
        <f>Table1[[#This Row],[Unit Price]]*Table1[[#This Row],[Quantity]]*(1-Table1[[#This Row],[Discount %]]/100)</f>
        <v>2560.92</v>
      </c>
      <c r="AB983" s="5">
        <f>Table1[[#This Row],[Sales]]-Table1[[#This Row],[Cost]]</f>
        <v>999.45</v>
      </c>
    </row>
    <row r="984" spans="1:28" x14ac:dyDescent="0.3">
      <c r="A984" t="s">
        <v>2580</v>
      </c>
      <c r="B984" s="1">
        <v>45443</v>
      </c>
      <c r="C984" t="s">
        <v>2581</v>
      </c>
      <c r="D984" t="s">
        <v>3707</v>
      </c>
      <c r="E984" s="1">
        <v>45450</v>
      </c>
      <c r="F984" t="s">
        <v>68</v>
      </c>
      <c r="G984" t="s">
        <v>66</v>
      </c>
      <c r="H984" t="s">
        <v>67</v>
      </c>
      <c r="I984" t="s">
        <v>2625</v>
      </c>
      <c r="J984" t="s">
        <v>2705</v>
      </c>
      <c r="K984" t="s">
        <v>52</v>
      </c>
      <c r="L984">
        <v>55</v>
      </c>
      <c r="M984">
        <v>3</v>
      </c>
      <c r="N984">
        <v>0</v>
      </c>
      <c r="O984" t="s">
        <v>2582</v>
      </c>
      <c r="P984" t="s">
        <v>75</v>
      </c>
      <c r="Q984" t="s">
        <v>70</v>
      </c>
      <c r="R984" t="s">
        <v>71</v>
      </c>
      <c r="S984" t="s">
        <v>69</v>
      </c>
      <c r="T984">
        <v>5</v>
      </c>
      <c r="U984" s="5">
        <v>81.34</v>
      </c>
      <c r="V984" s="5">
        <v>201.33</v>
      </c>
      <c r="W984">
        <v>7</v>
      </c>
      <c r="X984" t="s">
        <v>49</v>
      </c>
      <c r="Y984">
        <v>2024</v>
      </c>
      <c r="Z984" t="str">
        <f>TEXT(Table1[[#This Row],[Order Date]],"MMM")</f>
        <v>May</v>
      </c>
      <c r="AA984" s="5">
        <f>Table1[[#This Row],[Unit Price]]*Table1[[#This Row],[Quantity]]*(1-Table1[[#This Row],[Discount %]]/100)</f>
        <v>244.02</v>
      </c>
      <c r="AB984" s="5">
        <f>Table1[[#This Row],[Sales]]-Table1[[#This Row],[Cost]]</f>
        <v>42.69</v>
      </c>
    </row>
    <row r="985" spans="1:28" x14ac:dyDescent="0.3">
      <c r="A985" t="s">
        <v>2583</v>
      </c>
      <c r="B985" s="1">
        <v>45419</v>
      </c>
      <c r="C985" t="s">
        <v>2584</v>
      </c>
      <c r="D985" t="s">
        <v>3708</v>
      </c>
      <c r="E985" s="1">
        <v>45425</v>
      </c>
      <c r="F985" t="s">
        <v>56</v>
      </c>
      <c r="G985" t="s">
        <v>54</v>
      </c>
      <c r="H985" t="s">
        <v>55</v>
      </c>
      <c r="I985" t="s">
        <v>2675</v>
      </c>
      <c r="J985" t="s">
        <v>2676</v>
      </c>
      <c r="K985" t="s">
        <v>25</v>
      </c>
      <c r="L985">
        <v>38</v>
      </c>
      <c r="M985">
        <v>1</v>
      </c>
      <c r="N985">
        <v>20</v>
      </c>
      <c r="O985" t="s">
        <v>302</v>
      </c>
      <c r="P985" t="s">
        <v>33</v>
      </c>
      <c r="Q985" t="s">
        <v>117</v>
      </c>
      <c r="R985" t="s">
        <v>71</v>
      </c>
      <c r="S985" t="s">
        <v>57</v>
      </c>
      <c r="T985">
        <v>4</v>
      </c>
      <c r="U985" s="5">
        <v>470.84</v>
      </c>
      <c r="V985" s="5">
        <v>248.13</v>
      </c>
      <c r="W985">
        <v>6</v>
      </c>
      <c r="X985" t="s">
        <v>49</v>
      </c>
      <c r="Y985">
        <v>2024</v>
      </c>
      <c r="Z985" t="str">
        <f>TEXT(Table1[[#This Row],[Order Date]],"MMM")</f>
        <v>May</v>
      </c>
      <c r="AA985" s="5">
        <f>Table1[[#This Row],[Unit Price]]*Table1[[#This Row],[Quantity]]*(1-Table1[[#This Row],[Discount %]]/100)</f>
        <v>376.67200000000003</v>
      </c>
      <c r="AB985" s="5">
        <f>Table1[[#This Row],[Sales]]-Table1[[#This Row],[Cost]]</f>
        <v>128.54200000000003</v>
      </c>
    </row>
    <row r="986" spans="1:28" x14ac:dyDescent="0.3">
      <c r="A986" t="s">
        <v>2585</v>
      </c>
      <c r="B986" s="1">
        <v>45731</v>
      </c>
      <c r="C986" t="s">
        <v>2586</v>
      </c>
      <c r="D986" t="s">
        <v>3709</v>
      </c>
      <c r="E986" s="1">
        <v>45732</v>
      </c>
      <c r="F986" t="s">
        <v>140</v>
      </c>
      <c r="G986" t="s">
        <v>38</v>
      </c>
      <c r="H986" t="s">
        <v>139</v>
      </c>
      <c r="I986" t="s">
        <v>2664</v>
      </c>
      <c r="J986" t="s">
        <v>2704</v>
      </c>
      <c r="K986" t="s">
        <v>52</v>
      </c>
      <c r="L986">
        <v>38</v>
      </c>
      <c r="M986">
        <v>2</v>
      </c>
      <c r="N986">
        <v>10</v>
      </c>
      <c r="O986" t="s">
        <v>2587</v>
      </c>
      <c r="P986" t="s">
        <v>33</v>
      </c>
      <c r="Q986" t="s">
        <v>117</v>
      </c>
      <c r="R986" t="s">
        <v>62</v>
      </c>
      <c r="S986" t="s">
        <v>141</v>
      </c>
      <c r="T986">
        <v>3</v>
      </c>
      <c r="U986" s="5">
        <v>489.97</v>
      </c>
      <c r="V986" s="5">
        <v>540.54999999999995</v>
      </c>
      <c r="W986">
        <v>1</v>
      </c>
      <c r="X986" t="s">
        <v>34</v>
      </c>
      <c r="Y986">
        <v>2025</v>
      </c>
      <c r="Z986" t="str">
        <f>TEXT(Table1[[#This Row],[Order Date]],"MMM")</f>
        <v>Mar</v>
      </c>
      <c r="AA986" s="5">
        <f>Table1[[#This Row],[Unit Price]]*Table1[[#This Row],[Quantity]]*(1-Table1[[#This Row],[Discount %]]/100)</f>
        <v>881.94600000000003</v>
      </c>
      <c r="AB986" s="5">
        <f>Table1[[#This Row],[Sales]]-Table1[[#This Row],[Cost]]</f>
        <v>341.39600000000007</v>
      </c>
    </row>
    <row r="987" spans="1:28" x14ac:dyDescent="0.3">
      <c r="A987" t="s">
        <v>2588</v>
      </c>
      <c r="B987" s="1">
        <v>45924</v>
      </c>
      <c r="C987" t="s">
        <v>2589</v>
      </c>
      <c r="D987" t="s">
        <v>3710</v>
      </c>
      <c r="E987" s="1">
        <v>45929</v>
      </c>
      <c r="F987" t="s">
        <v>100</v>
      </c>
      <c r="G987" t="s">
        <v>98</v>
      </c>
      <c r="H987" t="s">
        <v>99</v>
      </c>
      <c r="I987" t="s">
        <v>2625</v>
      </c>
      <c r="J987" t="s">
        <v>2705</v>
      </c>
      <c r="K987" t="s">
        <v>52</v>
      </c>
      <c r="L987">
        <v>57</v>
      </c>
      <c r="M987">
        <v>2</v>
      </c>
      <c r="N987">
        <v>25</v>
      </c>
      <c r="O987" t="s">
        <v>479</v>
      </c>
      <c r="P987" t="s">
        <v>33</v>
      </c>
      <c r="Q987" t="s">
        <v>31</v>
      </c>
      <c r="R987" t="s">
        <v>32</v>
      </c>
      <c r="S987" t="s">
        <v>101</v>
      </c>
      <c r="T987">
        <v>5</v>
      </c>
      <c r="U987" s="5">
        <v>64.44</v>
      </c>
      <c r="V987" s="5">
        <v>54.81</v>
      </c>
      <c r="W987">
        <v>5</v>
      </c>
      <c r="X987" t="s">
        <v>45</v>
      </c>
      <c r="Y987">
        <v>2025</v>
      </c>
      <c r="Z987" t="str">
        <f>TEXT(Table1[[#This Row],[Order Date]],"MMM")</f>
        <v>Sep</v>
      </c>
      <c r="AA987" s="5">
        <f>Table1[[#This Row],[Unit Price]]*Table1[[#This Row],[Quantity]]*(1-Table1[[#This Row],[Discount %]]/100)</f>
        <v>96.66</v>
      </c>
      <c r="AB987" s="5">
        <f>Table1[[#This Row],[Sales]]-Table1[[#This Row],[Cost]]</f>
        <v>41.849999999999994</v>
      </c>
    </row>
    <row r="988" spans="1:28" x14ac:dyDescent="0.3">
      <c r="A988" t="s">
        <v>2590</v>
      </c>
      <c r="B988" s="1">
        <v>46068</v>
      </c>
      <c r="C988" t="s">
        <v>2591</v>
      </c>
      <c r="D988" t="s">
        <v>3711</v>
      </c>
      <c r="E988" s="1">
        <v>46069</v>
      </c>
      <c r="F988" t="s">
        <v>29</v>
      </c>
      <c r="G988" t="s">
        <v>27</v>
      </c>
      <c r="H988" t="s">
        <v>28</v>
      </c>
      <c r="I988" t="s">
        <v>2623</v>
      </c>
      <c r="J988" t="s">
        <v>2624</v>
      </c>
      <c r="K988" t="s">
        <v>52</v>
      </c>
      <c r="L988">
        <v>51</v>
      </c>
      <c r="M988">
        <v>1</v>
      </c>
      <c r="N988">
        <v>20</v>
      </c>
      <c r="O988" t="s">
        <v>2592</v>
      </c>
      <c r="P988" t="s">
        <v>44</v>
      </c>
      <c r="Q988" t="s">
        <v>117</v>
      </c>
      <c r="R988" t="s">
        <v>32</v>
      </c>
      <c r="S988" t="s">
        <v>30</v>
      </c>
      <c r="T988">
        <v>5</v>
      </c>
      <c r="U988" s="5">
        <v>513.03</v>
      </c>
      <c r="V988" s="5">
        <v>275.32</v>
      </c>
      <c r="W988">
        <v>1</v>
      </c>
      <c r="X988" t="s">
        <v>34</v>
      </c>
      <c r="Y988">
        <v>2026</v>
      </c>
      <c r="Z988" t="str">
        <f>TEXT(Table1[[#This Row],[Order Date]],"MMM")</f>
        <v>Feb</v>
      </c>
      <c r="AA988" s="5">
        <f>Table1[[#This Row],[Unit Price]]*Table1[[#This Row],[Quantity]]*(1-Table1[[#This Row],[Discount %]]/100)</f>
        <v>410.42399999999998</v>
      </c>
      <c r="AB988" s="5">
        <f>Table1[[#This Row],[Sales]]-Table1[[#This Row],[Cost]]</f>
        <v>135.10399999999998</v>
      </c>
    </row>
    <row r="989" spans="1:28" x14ac:dyDescent="0.3">
      <c r="A989" t="s">
        <v>2593</v>
      </c>
      <c r="B989" s="1">
        <v>45471</v>
      </c>
      <c r="C989" t="s">
        <v>2599</v>
      </c>
      <c r="D989" t="s">
        <v>3712</v>
      </c>
      <c r="E989" s="1">
        <v>45477</v>
      </c>
      <c r="F989" t="s">
        <v>40</v>
      </c>
      <c r="G989" t="s">
        <v>38</v>
      </c>
      <c r="H989" t="s">
        <v>39</v>
      </c>
      <c r="I989" t="s">
        <v>2652</v>
      </c>
      <c r="J989" t="s">
        <v>2679</v>
      </c>
      <c r="K989" t="s">
        <v>25</v>
      </c>
      <c r="L989">
        <v>34</v>
      </c>
      <c r="M989">
        <v>5</v>
      </c>
      <c r="N989">
        <v>5</v>
      </c>
      <c r="O989" t="s">
        <v>1739</v>
      </c>
      <c r="P989" t="s">
        <v>44</v>
      </c>
      <c r="Q989" t="s">
        <v>42</v>
      </c>
      <c r="R989" t="s">
        <v>71</v>
      </c>
      <c r="S989" t="s">
        <v>41</v>
      </c>
      <c r="T989">
        <v>2</v>
      </c>
      <c r="U989" s="5">
        <v>248.92</v>
      </c>
      <c r="V989" s="5">
        <v>919.11</v>
      </c>
      <c r="W989">
        <v>6</v>
      </c>
      <c r="X989" t="s">
        <v>49</v>
      </c>
      <c r="Y989">
        <v>2024</v>
      </c>
      <c r="Z989" t="str">
        <f>TEXT(Table1[[#This Row],[Order Date]],"MMM")</f>
        <v>Jun</v>
      </c>
      <c r="AA989" s="5">
        <f>Table1[[#This Row],[Unit Price]]*Table1[[#This Row],[Quantity]]*(1-Table1[[#This Row],[Discount %]]/100)</f>
        <v>1182.3699999999999</v>
      </c>
      <c r="AB989" s="5">
        <f>Table1[[#This Row],[Sales]]-Table1[[#This Row],[Cost]]</f>
        <v>263.25999999999988</v>
      </c>
    </row>
    <row r="990" spans="1:28" x14ac:dyDescent="0.3">
      <c r="A990" t="s">
        <v>2594</v>
      </c>
      <c r="B990" s="1">
        <v>45664</v>
      </c>
      <c r="C990" t="s">
        <v>2601</v>
      </c>
      <c r="D990" t="s">
        <v>3713</v>
      </c>
      <c r="E990" s="1">
        <v>45667</v>
      </c>
      <c r="F990" t="s">
        <v>29</v>
      </c>
      <c r="G990" t="s">
        <v>27</v>
      </c>
      <c r="H990" t="s">
        <v>28</v>
      </c>
      <c r="I990" t="s">
        <v>2629</v>
      </c>
      <c r="J990" t="s">
        <v>2674</v>
      </c>
      <c r="K990" t="s">
        <v>25</v>
      </c>
      <c r="L990">
        <v>49</v>
      </c>
      <c r="M990">
        <v>1</v>
      </c>
      <c r="N990">
        <v>0</v>
      </c>
      <c r="O990" t="s">
        <v>1998</v>
      </c>
      <c r="P990" t="s">
        <v>75</v>
      </c>
      <c r="Q990" t="s">
        <v>58</v>
      </c>
      <c r="R990" t="s">
        <v>71</v>
      </c>
      <c r="S990" t="s">
        <v>30</v>
      </c>
      <c r="T990">
        <v>1</v>
      </c>
      <c r="U990" s="5">
        <v>740.15</v>
      </c>
      <c r="V990" s="5">
        <v>467.7</v>
      </c>
      <c r="W990">
        <v>3</v>
      </c>
      <c r="X990" t="s">
        <v>34</v>
      </c>
      <c r="Y990">
        <v>2025</v>
      </c>
      <c r="Z990" t="str">
        <f>TEXT(Table1[[#This Row],[Order Date]],"MMM")</f>
        <v>Jan</v>
      </c>
      <c r="AA990" s="5">
        <f>Table1[[#This Row],[Unit Price]]*Table1[[#This Row],[Quantity]]*(1-Table1[[#This Row],[Discount %]]/100)</f>
        <v>740.15</v>
      </c>
      <c r="AB990" s="5">
        <f>Table1[[#This Row],[Sales]]-Table1[[#This Row],[Cost]]</f>
        <v>272.45</v>
      </c>
    </row>
    <row r="991" spans="1:28" x14ac:dyDescent="0.3">
      <c r="A991" t="s">
        <v>2595</v>
      </c>
      <c r="B991" s="1">
        <v>45999</v>
      </c>
      <c r="C991" t="s">
        <v>2603</v>
      </c>
      <c r="D991" t="s">
        <v>3714</v>
      </c>
      <c r="E991" s="1">
        <v>46002</v>
      </c>
      <c r="F991" t="s">
        <v>56</v>
      </c>
      <c r="G991" t="s">
        <v>54</v>
      </c>
      <c r="H991" t="s">
        <v>55</v>
      </c>
      <c r="I991" t="s">
        <v>2657</v>
      </c>
      <c r="J991" t="s">
        <v>2696</v>
      </c>
      <c r="K991" t="s">
        <v>25</v>
      </c>
      <c r="L991">
        <v>38</v>
      </c>
      <c r="M991">
        <v>4</v>
      </c>
      <c r="N991">
        <v>10</v>
      </c>
      <c r="O991" t="s">
        <v>2604</v>
      </c>
      <c r="P991" t="s">
        <v>33</v>
      </c>
      <c r="Q991" t="s">
        <v>58</v>
      </c>
      <c r="R991" t="s">
        <v>32</v>
      </c>
      <c r="S991" t="s">
        <v>57</v>
      </c>
      <c r="T991">
        <v>3</v>
      </c>
      <c r="U991" s="5">
        <v>359.41</v>
      </c>
      <c r="V991" s="5">
        <v>744.26</v>
      </c>
      <c r="W991">
        <v>3</v>
      </c>
      <c r="X991" t="s">
        <v>94</v>
      </c>
      <c r="Y991">
        <v>2025</v>
      </c>
      <c r="Z991" t="str">
        <f>TEXT(Table1[[#This Row],[Order Date]],"MMM")</f>
        <v>Dec</v>
      </c>
      <c r="AA991" s="5">
        <f>Table1[[#This Row],[Unit Price]]*Table1[[#This Row],[Quantity]]*(1-Table1[[#This Row],[Discount %]]/100)</f>
        <v>1293.8760000000002</v>
      </c>
      <c r="AB991" s="5">
        <f>Table1[[#This Row],[Sales]]-Table1[[#This Row],[Cost]]</f>
        <v>549.61600000000021</v>
      </c>
    </row>
    <row r="992" spans="1:28" x14ac:dyDescent="0.3">
      <c r="A992" t="s">
        <v>2596</v>
      </c>
      <c r="B992" s="1">
        <v>45530</v>
      </c>
      <c r="C992" t="s">
        <v>2058</v>
      </c>
      <c r="D992" t="s">
        <v>3715</v>
      </c>
      <c r="E992" s="1">
        <v>45532</v>
      </c>
      <c r="F992" t="s">
        <v>115</v>
      </c>
      <c r="G992" t="s">
        <v>66</v>
      </c>
      <c r="H992" t="s">
        <v>114</v>
      </c>
      <c r="I992" t="s">
        <v>2619</v>
      </c>
      <c r="J992" t="s">
        <v>2697</v>
      </c>
      <c r="K992" t="s">
        <v>52</v>
      </c>
      <c r="L992">
        <v>43</v>
      </c>
      <c r="M992">
        <v>5</v>
      </c>
      <c r="N992">
        <v>25</v>
      </c>
      <c r="O992" t="s">
        <v>2606</v>
      </c>
      <c r="P992" t="s">
        <v>44</v>
      </c>
      <c r="Q992" t="s">
        <v>31</v>
      </c>
      <c r="R992" t="s">
        <v>71</v>
      </c>
      <c r="S992" t="s">
        <v>116</v>
      </c>
      <c r="T992">
        <v>3</v>
      </c>
      <c r="U992" s="5">
        <v>621.39</v>
      </c>
      <c r="V992" s="5">
        <v>1905.06</v>
      </c>
      <c r="W992">
        <v>2</v>
      </c>
      <c r="X992" t="s">
        <v>45</v>
      </c>
      <c r="Y992">
        <v>2024</v>
      </c>
      <c r="Z992" t="str">
        <f>TEXT(Table1[[#This Row],[Order Date]],"MMM")</f>
        <v>Aug</v>
      </c>
      <c r="AA992" s="5">
        <f>Table1[[#This Row],[Unit Price]]*Table1[[#This Row],[Quantity]]*(1-Table1[[#This Row],[Discount %]]/100)</f>
        <v>2330.2124999999996</v>
      </c>
      <c r="AB992" s="5">
        <f>Table1[[#This Row],[Sales]]-Table1[[#This Row],[Cost]]</f>
        <v>425.15249999999969</v>
      </c>
    </row>
    <row r="993" spans="1:28" x14ac:dyDescent="0.3">
      <c r="A993" t="s">
        <v>2597</v>
      </c>
      <c r="B993" s="1">
        <v>45914</v>
      </c>
      <c r="C993" t="s">
        <v>1481</v>
      </c>
      <c r="D993" t="s">
        <v>3716</v>
      </c>
      <c r="E993" s="1">
        <v>45916</v>
      </c>
      <c r="F993" t="s">
        <v>100</v>
      </c>
      <c r="G993" t="s">
        <v>98</v>
      </c>
      <c r="H993" t="s">
        <v>99</v>
      </c>
      <c r="I993" t="s">
        <v>2633</v>
      </c>
      <c r="J993" t="s">
        <v>2645</v>
      </c>
      <c r="K993" t="s">
        <v>25</v>
      </c>
      <c r="L993">
        <v>37</v>
      </c>
      <c r="M993">
        <v>1</v>
      </c>
      <c r="N993">
        <v>15</v>
      </c>
      <c r="O993" t="s">
        <v>2454</v>
      </c>
      <c r="P993" t="s">
        <v>75</v>
      </c>
      <c r="Q993" t="s">
        <v>31</v>
      </c>
      <c r="R993" t="s">
        <v>32</v>
      </c>
      <c r="S993" t="s">
        <v>101</v>
      </c>
      <c r="T993">
        <v>5</v>
      </c>
      <c r="U993" s="5">
        <v>727.4</v>
      </c>
      <c r="V993" s="5">
        <v>369.45</v>
      </c>
      <c r="W993">
        <v>2</v>
      </c>
      <c r="X993" t="s">
        <v>45</v>
      </c>
      <c r="Y993">
        <v>2025</v>
      </c>
      <c r="Z993" t="str">
        <f>TEXT(Table1[[#This Row],[Order Date]],"MMM")</f>
        <v>Sep</v>
      </c>
      <c r="AA993" s="5">
        <f>Table1[[#This Row],[Unit Price]]*Table1[[#This Row],[Quantity]]*(1-Table1[[#This Row],[Discount %]]/100)</f>
        <v>618.29</v>
      </c>
      <c r="AB993" s="5">
        <f>Table1[[#This Row],[Sales]]-Table1[[#This Row],[Cost]]</f>
        <v>248.83999999999997</v>
      </c>
    </row>
    <row r="994" spans="1:28" x14ac:dyDescent="0.3">
      <c r="A994" t="s">
        <v>2598</v>
      </c>
      <c r="B994" s="1">
        <v>45991</v>
      </c>
      <c r="C994" t="s">
        <v>2609</v>
      </c>
      <c r="D994" t="s">
        <v>3717</v>
      </c>
      <c r="E994" s="1">
        <v>45994</v>
      </c>
      <c r="F994" t="s">
        <v>29</v>
      </c>
      <c r="G994" t="s">
        <v>27</v>
      </c>
      <c r="H994" t="s">
        <v>28</v>
      </c>
      <c r="I994" t="s">
        <v>2625</v>
      </c>
      <c r="J994" t="s">
        <v>2705</v>
      </c>
      <c r="K994" t="s">
        <v>25</v>
      </c>
      <c r="L994">
        <v>40</v>
      </c>
      <c r="M994">
        <v>3</v>
      </c>
      <c r="N994">
        <v>30</v>
      </c>
      <c r="O994" t="s">
        <v>640</v>
      </c>
      <c r="P994" t="s">
        <v>44</v>
      </c>
      <c r="Q994" t="s">
        <v>70</v>
      </c>
      <c r="R994" t="s">
        <v>62</v>
      </c>
      <c r="S994" t="s">
        <v>30</v>
      </c>
      <c r="T994">
        <v>5</v>
      </c>
      <c r="U994" s="5">
        <v>173.93</v>
      </c>
      <c r="V994" s="5">
        <v>281.77999999999997</v>
      </c>
      <c r="W994">
        <v>3</v>
      </c>
      <c r="X994" t="s">
        <v>94</v>
      </c>
      <c r="Y994">
        <v>2025</v>
      </c>
      <c r="Z994" t="str">
        <f>TEXT(Table1[[#This Row],[Order Date]],"MMM")</f>
        <v>Nov</v>
      </c>
      <c r="AA994" s="5">
        <f>Table1[[#This Row],[Unit Price]]*Table1[[#This Row],[Quantity]]*(1-Table1[[#This Row],[Discount %]]/100)</f>
        <v>365.25299999999993</v>
      </c>
      <c r="AB994" s="5">
        <f>Table1[[#This Row],[Sales]]-Table1[[#This Row],[Cost]]</f>
        <v>83.472999999999956</v>
      </c>
    </row>
    <row r="995" spans="1:28" x14ac:dyDescent="0.3">
      <c r="A995" t="s">
        <v>2600</v>
      </c>
      <c r="B995" s="1">
        <v>45345</v>
      </c>
      <c r="C995" t="s">
        <v>2611</v>
      </c>
      <c r="D995" t="s">
        <v>3718</v>
      </c>
      <c r="E995" s="1">
        <v>45350</v>
      </c>
      <c r="F995" t="s">
        <v>122</v>
      </c>
      <c r="G995" t="s">
        <v>120</v>
      </c>
      <c r="H995" t="s">
        <v>121</v>
      </c>
      <c r="I995" t="s">
        <v>2619</v>
      </c>
      <c r="J995" t="s">
        <v>2697</v>
      </c>
      <c r="K995" t="s">
        <v>25</v>
      </c>
      <c r="L995">
        <v>32</v>
      </c>
      <c r="M995">
        <v>5</v>
      </c>
      <c r="N995">
        <v>10</v>
      </c>
      <c r="O995" t="s">
        <v>2612</v>
      </c>
      <c r="P995" t="s">
        <v>75</v>
      </c>
      <c r="Q995" t="s">
        <v>70</v>
      </c>
      <c r="R995" t="s">
        <v>71</v>
      </c>
      <c r="S995" t="s">
        <v>123</v>
      </c>
      <c r="T995">
        <v>5</v>
      </c>
      <c r="U995" s="5">
        <v>928.21</v>
      </c>
      <c r="V995" s="5">
        <v>2117.91</v>
      </c>
      <c r="W995">
        <v>5</v>
      </c>
      <c r="X995" t="s">
        <v>34</v>
      </c>
      <c r="Y995">
        <v>2024</v>
      </c>
      <c r="Z995" t="str">
        <f>TEXT(Table1[[#This Row],[Order Date]],"MMM")</f>
        <v>Feb</v>
      </c>
      <c r="AA995" s="5">
        <f>Table1[[#This Row],[Unit Price]]*Table1[[#This Row],[Quantity]]*(1-Table1[[#This Row],[Discount %]]/100)</f>
        <v>4176.9450000000006</v>
      </c>
      <c r="AB995" s="5">
        <f>Table1[[#This Row],[Sales]]-Table1[[#This Row],[Cost]]</f>
        <v>2059.0350000000008</v>
      </c>
    </row>
    <row r="996" spans="1:28" x14ac:dyDescent="0.3">
      <c r="A996" t="s">
        <v>2602</v>
      </c>
      <c r="B996" s="1">
        <v>45960</v>
      </c>
      <c r="C996" t="s">
        <v>2614</v>
      </c>
      <c r="D996" t="s">
        <v>3719</v>
      </c>
      <c r="E996" s="1">
        <v>45964</v>
      </c>
      <c r="F996" t="s">
        <v>56</v>
      </c>
      <c r="G996" t="s">
        <v>54</v>
      </c>
      <c r="H996" t="s">
        <v>55</v>
      </c>
      <c r="I996" t="s">
        <v>2650</v>
      </c>
      <c r="J996" t="s">
        <v>2651</v>
      </c>
      <c r="K996" t="s">
        <v>52</v>
      </c>
      <c r="L996">
        <v>65</v>
      </c>
      <c r="M996">
        <v>1</v>
      </c>
      <c r="N996">
        <v>15</v>
      </c>
      <c r="O996" t="s">
        <v>1356</v>
      </c>
      <c r="P996" t="s">
        <v>33</v>
      </c>
      <c r="Q996" t="s">
        <v>42</v>
      </c>
      <c r="R996" t="s">
        <v>62</v>
      </c>
      <c r="S996" t="s">
        <v>57</v>
      </c>
      <c r="T996">
        <v>4</v>
      </c>
      <c r="U996" s="5">
        <v>982.12</v>
      </c>
      <c r="V996" s="5">
        <v>566.82000000000005</v>
      </c>
      <c r="W996">
        <v>4</v>
      </c>
      <c r="X996" t="s">
        <v>94</v>
      </c>
      <c r="Y996">
        <v>2025</v>
      </c>
      <c r="Z996" t="str">
        <f>TEXT(Table1[[#This Row],[Order Date]],"MMM")</f>
        <v>Oct</v>
      </c>
      <c r="AA996" s="5">
        <f>Table1[[#This Row],[Unit Price]]*Table1[[#This Row],[Quantity]]*(1-Table1[[#This Row],[Discount %]]/100)</f>
        <v>834.80200000000002</v>
      </c>
      <c r="AB996" s="5">
        <f>Table1[[#This Row],[Sales]]-Table1[[#This Row],[Cost]]</f>
        <v>267.98199999999997</v>
      </c>
    </row>
    <row r="997" spans="1:28" x14ac:dyDescent="0.3">
      <c r="A997" t="s">
        <v>2605</v>
      </c>
      <c r="B997" s="1">
        <v>45991</v>
      </c>
      <c r="C997" t="s">
        <v>2444</v>
      </c>
      <c r="D997" t="s">
        <v>3697</v>
      </c>
      <c r="E997" s="1">
        <v>45995</v>
      </c>
      <c r="F997" t="s">
        <v>68</v>
      </c>
      <c r="G997" t="s">
        <v>66</v>
      </c>
      <c r="H997" t="s">
        <v>67</v>
      </c>
      <c r="I997" t="s">
        <v>2621</v>
      </c>
      <c r="J997" t="s">
        <v>2622</v>
      </c>
      <c r="K997" t="s">
        <v>52</v>
      </c>
      <c r="L997">
        <v>22</v>
      </c>
      <c r="M997">
        <v>1</v>
      </c>
      <c r="N997">
        <v>5</v>
      </c>
      <c r="O997" t="s">
        <v>1857</v>
      </c>
      <c r="P997" t="s">
        <v>75</v>
      </c>
      <c r="Q997" t="s">
        <v>42</v>
      </c>
      <c r="R997" t="s">
        <v>71</v>
      </c>
      <c r="S997" t="s">
        <v>101</v>
      </c>
      <c r="T997">
        <v>5</v>
      </c>
      <c r="U997" s="5">
        <v>394.92</v>
      </c>
      <c r="V997" s="5">
        <v>672.66</v>
      </c>
      <c r="W997">
        <v>3</v>
      </c>
      <c r="X997" t="s">
        <v>94</v>
      </c>
      <c r="Z997" t="str">
        <f>TEXT(Table1[[#This Row],[Order Date]],"MMM")</f>
        <v>Nov</v>
      </c>
      <c r="AA997" s="5">
        <f>Table1[[#This Row],[Unit Price]]*Table1[[#This Row],[Quantity]]*(1-Table1[[#This Row],[Discount %]]/100)</f>
        <v>375.17399999999998</v>
      </c>
      <c r="AB997" s="5">
        <f>Table1[[#This Row],[Sales]]-Table1[[#This Row],[Cost]]</f>
        <v>-297.48599999999999</v>
      </c>
    </row>
    <row r="998" spans="1:28" x14ac:dyDescent="0.3">
      <c r="A998" t="s">
        <v>2607</v>
      </c>
      <c r="B998" s="1">
        <v>45846</v>
      </c>
      <c r="C998" t="s">
        <v>2447</v>
      </c>
      <c r="D998" t="s">
        <v>3698</v>
      </c>
      <c r="E998" s="1">
        <v>45850</v>
      </c>
      <c r="F998" t="s">
        <v>100</v>
      </c>
      <c r="G998" t="s">
        <v>98</v>
      </c>
      <c r="H998" t="s">
        <v>99</v>
      </c>
      <c r="I998" t="s">
        <v>2661</v>
      </c>
      <c r="J998" t="s">
        <v>2662</v>
      </c>
      <c r="K998" t="s">
        <v>52</v>
      </c>
      <c r="L998">
        <v>33</v>
      </c>
      <c r="M998">
        <v>3</v>
      </c>
      <c r="N998">
        <v>0</v>
      </c>
      <c r="O998" t="s">
        <v>886</v>
      </c>
      <c r="P998" t="s">
        <v>44</v>
      </c>
      <c r="Q998" t="s">
        <v>42</v>
      </c>
      <c r="R998" t="s">
        <v>43</v>
      </c>
      <c r="S998" t="s">
        <v>141</v>
      </c>
      <c r="T998">
        <v>6</v>
      </c>
      <c r="U998" s="5">
        <v>724.07</v>
      </c>
      <c r="V998" s="5">
        <v>716.26</v>
      </c>
      <c r="W998">
        <v>3</v>
      </c>
      <c r="X998" t="s">
        <v>49</v>
      </c>
      <c r="Z998" t="str">
        <f>TEXT(Table1[[#This Row],[Order Date]],"MMM")</f>
        <v>Jul</v>
      </c>
      <c r="AA998" s="5">
        <f>Table1[[#This Row],[Unit Price]]*Table1[[#This Row],[Quantity]]*(1-Table1[[#This Row],[Discount %]]/100)</f>
        <v>2172.21</v>
      </c>
      <c r="AB998" s="5">
        <f>Table1[[#This Row],[Sales]]-Table1[[#This Row],[Cost]]</f>
        <v>1455.95</v>
      </c>
    </row>
    <row r="999" spans="1:28" x14ac:dyDescent="0.3">
      <c r="A999" t="s">
        <v>2608</v>
      </c>
      <c r="B999" s="1">
        <v>45383</v>
      </c>
      <c r="C999" t="s">
        <v>2450</v>
      </c>
      <c r="D999" t="s">
        <v>3699</v>
      </c>
      <c r="E999" s="1">
        <v>45389</v>
      </c>
      <c r="F999" t="s">
        <v>29</v>
      </c>
      <c r="G999" t="s">
        <v>27</v>
      </c>
      <c r="H999" t="s">
        <v>28</v>
      </c>
      <c r="I999" t="s">
        <v>2621</v>
      </c>
      <c r="J999" t="s">
        <v>2699</v>
      </c>
      <c r="K999" t="s">
        <v>52</v>
      </c>
      <c r="L999">
        <v>24</v>
      </c>
      <c r="M999">
        <v>5</v>
      </c>
      <c r="N999">
        <v>10</v>
      </c>
      <c r="O999" t="s">
        <v>409</v>
      </c>
      <c r="P999" t="s">
        <v>44</v>
      </c>
      <c r="Q999" t="s">
        <v>42</v>
      </c>
      <c r="R999" t="s">
        <v>62</v>
      </c>
      <c r="S999" t="s">
        <v>123</v>
      </c>
      <c r="T999">
        <v>7</v>
      </c>
      <c r="U999" s="5">
        <v>940.18</v>
      </c>
      <c r="V999" s="5">
        <v>2707.63</v>
      </c>
      <c r="W999">
        <v>6</v>
      </c>
      <c r="X999" t="s">
        <v>45</v>
      </c>
      <c r="Z999" t="str">
        <f>TEXT(Table1[[#This Row],[Order Date]],"MMM")</f>
        <v>Apr</v>
      </c>
      <c r="AA999" s="5">
        <f>Table1[[#This Row],[Unit Price]]*Table1[[#This Row],[Quantity]]*(1-Table1[[#This Row],[Discount %]]/100)</f>
        <v>4230.8099999999995</v>
      </c>
      <c r="AB999" s="5">
        <f>Table1[[#This Row],[Sales]]-Table1[[#This Row],[Cost]]</f>
        <v>1523.1799999999994</v>
      </c>
    </row>
    <row r="1000" spans="1:28" x14ac:dyDescent="0.3">
      <c r="A1000" t="s">
        <v>2610</v>
      </c>
      <c r="B1000" s="1">
        <v>45671</v>
      </c>
      <c r="C1000" t="s">
        <v>2453</v>
      </c>
      <c r="D1000" t="s">
        <v>3700</v>
      </c>
      <c r="E1000" s="1">
        <v>45677</v>
      </c>
      <c r="F1000" t="s">
        <v>115</v>
      </c>
      <c r="G1000" t="s">
        <v>66</v>
      </c>
      <c r="H1000" t="s">
        <v>114</v>
      </c>
      <c r="I1000" t="s">
        <v>2657</v>
      </c>
      <c r="J1000" t="s">
        <v>2667</v>
      </c>
      <c r="K1000" t="s">
        <v>25</v>
      </c>
      <c r="L1000">
        <v>20</v>
      </c>
      <c r="M1000">
        <v>4</v>
      </c>
      <c r="N1000">
        <v>25</v>
      </c>
      <c r="O1000" t="s">
        <v>2744</v>
      </c>
      <c r="P1000" t="s">
        <v>44</v>
      </c>
      <c r="Q1000" t="s">
        <v>42</v>
      </c>
      <c r="R1000" t="s">
        <v>62</v>
      </c>
      <c r="S1000" t="s">
        <v>141</v>
      </c>
      <c r="T1000">
        <v>8</v>
      </c>
      <c r="U1000" s="5">
        <v>937.03</v>
      </c>
      <c r="V1000" s="5">
        <v>1768.64</v>
      </c>
      <c r="W1000">
        <v>4</v>
      </c>
      <c r="X1000" t="s">
        <v>94</v>
      </c>
      <c r="Z1000" t="str">
        <f>TEXT(Table1[[#This Row],[Order Date]],"MMM")</f>
        <v>Jan</v>
      </c>
      <c r="AA1000" s="5">
        <f>Table1[[#This Row],[Unit Price]]*Table1[[#This Row],[Quantity]]*(1-Table1[[#This Row],[Discount %]]/100)</f>
        <v>2811.09</v>
      </c>
      <c r="AB1000" s="5">
        <f>Table1[[#This Row],[Sales]]-Table1[[#This Row],[Cost]]</f>
        <v>1042.45</v>
      </c>
    </row>
    <row r="1001" spans="1:28" x14ac:dyDescent="0.3">
      <c r="A1001" t="s">
        <v>2613</v>
      </c>
      <c r="B1001" s="1">
        <v>45851</v>
      </c>
      <c r="C1001" t="s">
        <v>2456</v>
      </c>
      <c r="D1001" t="s">
        <v>3701</v>
      </c>
      <c r="E1001" s="1">
        <v>45854</v>
      </c>
      <c r="F1001" t="s">
        <v>100</v>
      </c>
      <c r="G1001" t="s">
        <v>98</v>
      </c>
      <c r="H1001" t="s">
        <v>99</v>
      </c>
      <c r="I1001" t="s">
        <v>2625</v>
      </c>
      <c r="J1001" t="s">
        <v>2693</v>
      </c>
      <c r="K1001" t="s">
        <v>25</v>
      </c>
      <c r="L1001">
        <v>42</v>
      </c>
      <c r="M1001">
        <v>5</v>
      </c>
      <c r="N1001">
        <v>15</v>
      </c>
      <c r="O1001" t="s">
        <v>1339</v>
      </c>
      <c r="P1001" t="s">
        <v>33</v>
      </c>
      <c r="Q1001" t="s">
        <v>42</v>
      </c>
      <c r="R1001" t="s">
        <v>71</v>
      </c>
      <c r="S1001" t="s">
        <v>57</v>
      </c>
      <c r="T1001">
        <v>4</v>
      </c>
      <c r="U1001" s="5">
        <v>910.98</v>
      </c>
      <c r="V1001" s="5">
        <v>1184.8499999999999</v>
      </c>
      <c r="W1001">
        <v>4</v>
      </c>
      <c r="X1001" t="s">
        <v>45</v>
      </c>
      <c r="Z1001" t="str">
        <f>TEXT(Table1[[#This Row],[Order Date]],"MMM")</f>
        <v>Jul</v>
      </c>
      <c r="AA1001" s="5">
        <f>Table1[[#This Row],[Unit Price]]*Table1[[#This Row],[Quantity]]*(1-Table1[[#This Row],[Discount %]]/100)</f>
        <v>3871.6649999999995</v>
      </c>
      <c r="AB1001" s="5">
        <f>Table1[[#This Row],[Sales]]-Table1[[#This Row],[Cost]]</f>
        <v>2686.8149999999996</v>
      </c>
    </row>
    <row r="1002" spans="1:28" x14ac:dyDescent="0.3">
      <c r="A1002" t="s">
        <v>2726</v>
      </c>
      <c r="B1002" s="1">
        <v>45689</v>
      </c>
      <c r="C1002" t="s">
        <v>2458</v>
      </c>
      <c r="D1002" t="s">
        <v>3702</v>
      </c>
      <c r="E1002" s="1">
        <v>45696</v>
      </c>
      <c r="F1002" t="s">
        <v>122</v>
      </c>
      <c r="G1002" t="s">
        <v>120</v>
      </c>
      <c r="H1002" t="s">
        <v>121</v>
      </c>
      <c r="I1002" t="s">
        <v>2668</v>
      </c>
      <c r="J1002" t="s">
        <v>2686</v>
      </c>
      <c r="K1002" t="s">
        <v>25</v>
      </c>
      <c r="L1002">
        <v>52</v>
      </c>
      <c r="M1002">
        <v>2</v>
      </c>
      <c r="N1002">
        <v>30</v>
      </c>
      <c r="O1002" t="s">
        <v>1541</v>
      </c>
      <c r="P1002" t="s">
        <v>33</v>
      </c>
      <c r="Q1002" t="s">
        <v>42</v>
      </c>
      <c r="R1002" t="s">
        <v>62</v>
      </c>
      <c r="S1002" t="s">
        <v>123</v>
      </c>
      <c r="T1002">
        <v>5</v>
      </c>
      <c r="U1002" s="5">
        <v>252.82</v>
      </c>
      <c r="V1002" s="5">
        <v>447.42</v>
      </c>
      <c r="W1002">
        <v>6</v>
      </c>
      <c r="X1002" t="s">
        <v>49</v>
      </c>
      <c r="Z1002" t="str">
        <f>TEXT(Table1[[#This Row],[Order Date]],"MMM")</f>
        <v>Feb</v>
      </c>
      <c r="AA1002" s="5">
        <f>Table1[[#This Row],[Unit Price]]*Table1[[#This Row],[Quantity]]*(1-Table1[[#This Row],[Discount %]]/100)</f>
        <v>353.94799999999998</v>
      </c>
      <c r="AB1002" s="5">
        <f>Table1[[#This Row],[Sales]]-Table1[[#This Row],[Cost]]</f>
        <v>-93.472000000000037</v>
      </c>
    </row>
    <row r="1003" spans="1:28" x14ac:dyDescent="0.3">
      <c r="A1003" t="s">
        <v>2727</v>
      </c>
      <c r="B1003" s="1">
        <v>45427</v>
      </c>
      <c r="C1003" t="s">
        <v>2460</v>
      </c>
      <c r="D1003" t="s">
        <v>3703</v>
      </c>
      <c r="E1003" s="1">
        <v>45431</v>
      </c>
      <c r="F1003" t="s">
        <v>115</v>
      </c>
      <c r="G1003" t="s">
        <v>66</v>
      </c>
      <c r="H1003" t="s">
        <v>114</v>
      </c>
      <c r="I1003" t="s">
        <v>2619</v>
      </c>
      <c r="J1003" t="s">
        <v>2620</v>
      </c>
      <c r="K1003" t="s">
        <v>52</v>
      </c>
      <c r="L1003">
        <v>20</v>
      </c>
      <c r="M1003">
        <v>3</v>
      </c>
      <c r="N1003">
        <v>5</v>
      </c>
      <c r="O1003" t="s">
        <v>2745</v>
      </c>
      <c r="P1003" t="s">
        <v>75</v>
      </c>
      <c r="Q1003" t="s">
        <v>42</v>
      </c>
      <c r="R1003" t="s">
        <v>62</v>
      </c>
      <c r="S1003" t="s">
        <v>129</v>
      </c>
      <c r="T1003">
        <v>4</v>
      </c>
      <c r="U1003" s="5">
        <v>356.26</v>
      </c>
      <c r="V1003" s="5">
        <v>308.16000000000003</v>
      </c>
      <c r="W1003">
        <v>6</v>
      </c>
      <c r="X1003" t="s">
        <v>34</v>
      </c>
      <c r="Z1003" t="str">
        <f>TEXT(Table1[[#This Row],[Order Date]],"MMM")</f>
        <v>May</v>
      </c>
      <c r="AA1003" s="5">
        <f>Table1[[#This Row],[Unit Price]]*Table1[[#This Row],[Quantity]]*(1-Table1[[#This Row],[Discount %]]/100)</f>
        <v>1015.3409999999999</v>
      </c>
      <c r="AB1003" s="5">
        <f>Table1[[#This Row],[Sales]]-Table1[[#This Row],[Cost]]</f>
        <v>707.18099999999981</v>
      </c>
    </row>
    <row r="1004" spans="1:28" x14ac:dyDescent="0.3">
      <c r="A1004" t="s">
        <v>2728</v>
      </c>
      <c r="B1004" s="1">
        <v>45562</v>
      </c>
      <c r="C1004" t="s">
        <v>2462</v>
      </c>
      <c r="D1004" t="s">
        <v>3704</v>
      </c>
      <c r="E1004" s="1">
        <v>45566</v>
      </c>
      <c r="F1004" t="s">
        <v>100</v>
      </c>
      <c r="G1004" t="s">
        <v>98</v>
      </c>
      <c r="H1004" t="s">
        <v>99</v>
      </c>
      <c r="I1004" t="s">
        <v>2675</v>
      </c>
      <c r="J1004" t="s">
        <v>2681</v>
      </c>
      <c r="K1004" t="s">
        <v>25</v>
      </c>
      <c r="L1004">
        <v>32</v>
      </c>
      <c r="M1004">
        <v>3</v>
      </c>
      <c r="N1004">
        <v>0</v>
      </c>
      <c r="O1004" t="s">
        <v>1848</v>
      </c>
      <c r="P1004" t="s">
        <v>75</v>
      </c>
      <c r="Q1004" t="s">
        <v>42</v>
      </c>
      <c r="R1004" t="s">
        <v>71</v>
      </c>
      <c r="S1004" t="s">
        <v>57</v>
      </c>
      <c r="T1004">
        <v>3</v>
      </c>
      <c r="U1004" s="5">
        <v>418.12</v>
      </c>
      <c r="V1004" s="5">
        <v>685.76</v>
      </c>
      <c r="W1004">
        <v>3</v>
      </c>
      <c r="X1004" t="s">
        <v>45</v>
      </c>
      <c r="Z1004" t="str">
        <f>TEXT(Table1[[#This Row],[Order Date]],"MMM")</f>
        <v>Sep</v>
      </c>
      <c r="AA1004" s="5">
        <f>Table1[[#This Row],[Unit Price]]*Table1[[#This Row],[Quantity]]*(1-Table1[[#This Row],[Discount %]]/100)</f>
        <v>1254.3600000000001</v>
      </c>
      <c r="AB1004" s="5">
        <f>Table1[[#This Row],[Sales]]-Table1[[#This Row],[Cost]]</f>
        <v>568.60000000000014</v>
      </c>
    </row>
    <row r="1005" spans="1:28" x14ac:dyDescent="0.3">
      <c r="A1005" t="s">
        <v>2729</v>
      </c>
      <c r="B1005" s="1">
        <v>45971</v>
      </c>
      <c r="C1005" t="s">
        <v>2464</v>
      </c>
      <c r="D1005" t="s">
        <v>3612</v>
      </c>
      <c r="E1005" s="1">
        <v>45978</v>
      </c>
      <c r="F1005" t="s">
        <v>29</v>
      </c>
      <c r="G1005" t="s">
        <v>27</v>
      </c>
      <c r="H1005" t="s">
        <v>28</v>
      </c>
      <c r="I1005" t="s">
        <v>2659</v>
      </c>
      <c r="J1005" t="s">
        <v>2690</v>
      </c>
      <c r="K1005" t="s">
        <v>25</v>
      </c>
      <c r="L1005">
        <v>32</v>
      </c>
      <c r="M1005">
        <v>1</v>
      </c>
      <c r="N1005">
        <v>10</v>
      </c>
      <c r="O1005" t="s">
        <v>434</v>
      </c>
      <c r="P1005" t="s">
        <v>33</v>
      </c>
      <c r="Q1005" t="s">
        <v>42</v>
      </c>
      <c r="R1005" t="s">
        <v>62</v>
      </c>
      <c r="S1005" t="s">
        <v>116</v>
      </c>
      <c r="T1005">
        <v>4</v>
      </c>
      <c r="U1005" s="5">
        <v>554.15</v>
      </c>
      <c r="V1005" s="5">
        <v>813.15</v>
      </c>
      <c r="W1005">
        <v>7</v>
      </c>
      <c r="X1005" t="s">
        <v>34</v>
      </c>
      <c r="Z1005" t="str">
        <f>TEXT(Table1[[#This Row],[Order Date]],"MMM")</f>
        <v>Nov</v>
      </c>
      <c r="AA1005" s="5">
        <f>Table1[[#This Row],[Unit Price]]*Table1[[#This Row],[Quantity]]*(1-Table1[[#This Row],[Discount %]]/100)</f>
        <v>498.73500000000001</v>
      </c>
      <c r="AB1005" s="5">
        <f>Table1[[#This Row],[Sales]]-Table1[[#This Row],[Cost]]</f>
        <v>-314.41499999999996</v>
      </c>
    </row>
    <row r="1006" spans="1:28" x14ac:dyDescent="0.3">
      <c r="A1006" t="s">
        <v>2730</v>
      </c>
      <c r="B1006" s="1">
        <v>45763</v>
      </c>
      <c r="C1006" t="s">
        <v>2466</v>
      </c>
      <c r="D1006" t="s">
        <v>3613</v>
      </c>
      <c r="E1006" s="1">
        <v>45768</v>
      </c>
      <c r="F1006" t="s">
        <v>68</v>
      </c>
      <c r="G1006" t="s">
        <v>66</v>
      </c>
      <c r="H1006" t="s">
        <v>67</v>
      </c>
      <c r="I1006" t="s">
        <v>2621</v>
      </c>
      <c r="J1006" t="s">
        <v>2699</v>
      </c>
      <c r="K1006" t="s">
        <v>25</v>
      </c>
      <c r="L1006">
        <v>61</v>
      </c>
      <c r="M1006">
        <v>2</v>
      </c>
      <c r="N1006">
        <v>25</v>
      </c>
      <c r="O1006" t="s">
        <v>829</v>
      </c>
      <c r="P1006" t="s">
        <v>33</v>
      </c>
      <c r="Q1006" t="s">
        <v>42</v>
      </c>
      <c r="R1006" t="s">
        <v>32</v>
      </c>
      <c r="S1006" t="s">
        <v>123</v>
      </c>
      <c r="T1006">
        <v>3</v>
      </c>
      <c r="U1006" s="5">
        <v>680.97</v>
      </c>
      <c r="V1006" s="5">
        <v>1178.71</v>
      </c>
      <c r="W1006">
        <v>4</v>
      </c>
      <c r="X1006" t="s">
        <v>49</v>
      </c>
      <c r="Z1006" t="str">
        <f>TEXT(Table1[[#This Row],[Order Date]],"MMM")</f>
        <v>Apr</v>
      </c>
      <c r="AA1006" s="5">
        <f>Table1[[#This Row],[Unit Price]]*Table1[[#This Row],[Quantity]]*(1-Table1[[#This Row],[Discount %]]/100)</f>
        <v>1021.455</v>
      </c>
      <c r="AB1006" s="5">
        <f>Table1[[#This Row],[Sales]]-Table1[[#This Row],[Cost]]</f>
        <v>-157.255</v>
      </c>
    </row>
    <row r="1007" spans="1:28" x14ac:dyDescent="0.3">
      <c r="A1007" t="s">
        <v>2731</v>
      </c>
      <c r="B1007" s="1">
        <v>45982</v>
      </c>
      <c r="C1007" t="s">
        <v>2469</v>
      </c>
      <c r="D1007" t="s">
        <v>3614</v>
      </c>
      <c r="E1007" s="1">
        <v>45986</v>
      </c>
      <c r="F1007" t="s">
        <v>40</v>
      </c>
      <c r="G1007" t="s">
        <v>38</v>
      </c>
      <c r="H1007" t="s">
        <v>39</v>
      </c>
      <c r="I1007" t="s">
        <v>2657</v>
      </c>
      <c r="J1007" t="s">
        <v>2696</v>
      </c>
      <c r="K1007" t="s">
        <v>25</v>
      </c>
      <c r="L1007">
        <v>51</v>
      </c>
      <c r="M1007">
        <v>2</v>
      </c>
      <c r="N1007">
        <v>15</v>
      </c>
      <c r="O1007" t="s">
        <v>1572</v>
      </c>
      <c r="P1007" t="s">
        <v>33</v>
      </c>
      <c r="Q1007" t="s">
        <v>42</v>
      </c>
      <c r="R1007" t="s">
        <v>71</v>
      </c>
      <c r="S1007" t="s">
        <v>57</v>
      </c>
      <c r="T1007">
        <v>1</v>
      </c>
      <c r="U1007" s="5">
        <v>256.25</v>
      </c>
      <c r="V1007" s="5">
        <v>224.44</v>
      </c>
      <c r="W1007">
        <v>4</v>
      </c>
      <c r="X1007" t="s">
        <v>45</v>
      </c>
      <c r="Z1007" t="str">
        <f>TEXT(Table1[[#This Row],[Order Date]],"MMM")</f>
        <v>Nov</v>
      </c>
      <c r="AA1007" s="5">
        <f>Table1[[#This Row],[Unit Price]]*Table1[[#This Row],[Quantity]]*(1-Table1[[#This Row],[Discount %]]/100)</f>
        <v>435.625</v>
      </c>
      <c r="AB1007" s="5">
        <f>Table1[[#This Row],[Sales]]-Table1[[#This Row],[Cost]]</f>
        <v>211.185</v>
      </c>
    </row>
    <row r="1008" spans="1:28" x14ac:dyDescent="0.3">
      <c r="A1008" t="s">
        <v>2732</v>
      </c>
      <c r="B1008" s="1">
        <v>45552</v>
      </c>
      <c r="C1008" t="s">
        <v>2471</v>
      </c>
      <c r="D1008" t="s">
        <v>3615</v>
      </c>
      <c r="E1008" s="1">
        <v>45558</v>
      </c>
      <c r="F1008" t="s">
        <v>115</v>
      </c>
      <c r="G1008" t="s">
        <v>66</v>
      </c>
      <c r="H1008" t="s">
        <v>114</v>
      </c>
      <c r="I1008" t="s">
        <v>2650</v>
      </c>
      <c r="J1008" t="s">
        <v>2651</v>
      </c>
      <c r="K1008" t="s">
        <v>25</v>
      </c>
      <c r="L1008">
        <v>40</v>
      </c>
      <c r="M1008">
        <v>1</v>
      </c>
      <c r="N1008">
        <v>30</v>
      </c>
      <c r="O1008" t="s">
        <v>204</v>
      </c>
      <c r="P1008" t="s">
        <v>44</v>
      </c>
      <c r="Q1008" t="s">
        <v>42</v>
      </c>
      <c r="R1008" t="s">
        <v>43</v>
      </c>
      <c r="S1008" t="s">
        <v>30</v>
      </c>
      <c r="T1008">
        <v>4</v>
      </c>
      <c r="U1008" s="5">
        <v>340.44</v>
      </c>
      <c r="V1008" s="5">
        <v>186.83</v>
      </c>
      <c r="W1008">
        <v>7</v>
      </c>
      <c r="X1008" t="s">
        <v>94</v>
      </c>
      <c r="Z1008" t="str">
        <f>TEXT(Table1[[#This Row],[Order Date]],"MMM")</f>
        <v>Sep</v>
      </c>
      <c r="AA1008" s="5">
        <f>Table1[[#This Row],[Unit Price]]*Table1[[#This Row],[Quantity]]*(1-Table1[[#This Row],[Discount %]]/100)</f>
        <v>238.30799999999999</v>
      </c>
      <c r="AB1008" s="5">
        <f>Table1[[#This Row],[Sales]]-Table1[[#This Row],[Cost]]</f>
        <v>51.47799999999998</v>
      </c>
    </row>
    <row r="1009" spans="1:28" x14ac:dyDescent="0.3">
      <c r="A1009" t="s">
        <v>2733</v>
      </c>
      <c r="B1009" s="1">
        <v>45923</v>
      </c>
      <c r="C1009" t="s">
        <v>2474</v>
      </c>
      <c r="D1009" t="s">
        <v>3616</v>
      </c>
      <c r="E1009" s="1">
        <v>45924</v>
      </c>
      <c r="F1009" t="s">
        <v>115</v>
      </c>
      <c r="G1009" t="s">
        <v>66</v>
      </c>
      <c r="H1009" t="s">
        <v>114</v>
      </c>
      <c r="I1009" t="s">
        <v>2637</v>
      </c>
      <c r="J1009" t="s">
        <v>2638</v>
      </c>
      <c r="K1009" t="s">
        <v>25</v>
      </c>
      <c r="L1009">
        <v>55</v>
      </c>
      <c r="M1009">
        <v>5</v>
      </c>
      <c r="N1009">
        <v>5</v>
      </c>
      <c r="O1009" t="s">
        <v>183</v>
      </c>
      <c r="P1009" t="s">
        <v>44</v>
      </c>
      <c r="Q1009" t="s">
        <v>42</v>
      </c>
      <c r="R1009" t="s">
        <v>62</v>
      </c>
      <c r="S1009" t="s">
        <v>30</v>
      </c>
      <c r="T1009">
        <v>2</v>
      </c>
      <c r="U1009" s="5">
        <v>674.64</v>
      </c>
      <c r="V1009" s="5">
        <v>1988.82</v>
      </c>
      <c r="W1009">
        <v>5</v>
      </c>
      <c r="X1009" t="s">
        <v>49</v>
      </c>
      <c r="Z1009" t="str">
        <f>TEXT(Table1[[#This Row],[Order Date]],"MMM")</f>
        <v>Sep</v>
      </c>
      <c r="AA1009" s="5">
        <f>Table1[[#This Row],[Unit Price]]*Table1[[#This Row],[Quantity]]*(1-Table1[[#This Row],[Discount %]]/100)</f>
        <v>3204.5399999999995</v>
      </c>
      <c r="AB1009" s="5">
        <f>Table1[[#This Row],[Sales]]-Table1[[#This Row],[Cost]]</f>
        <v>1215.7199999999996</v>
      </c>
    </row>
    <row r="1010" spans="1:28" x14ac:dyDescent="0.3">
      <c r="A1010" t="s">
        <v>2734</v>
      </c>
      <c r="B1010" s="1">
        <v>45296</v>
      </c>
      <c r="C1010" t="s">
        <v>2477</v>
      </c>
      <c r="D1010" t="s">
        <v>3617</v>
      </c>
      <c r="E1010" s="1">
        <v>45300</v>
      </c>
      <c r="F1010" t="s">
        <v>122</v>
      </c>
      <c r="G1010" t="s">
        <v>120</v>
      </c>
      <c r="H1010" t="s">
        <v>121</v>
      </c>
      <c r="I1010" t="s">
        <v>2621</v>
      </c>
      <c r="J1010" t="s">
        <v>2663</v>
      </c>
      <c r="K1010" t="s">
        <v>52</v>
      </c>
      <c r="L1010">
        <v>38</v>
      </c>
      <c r="M1010">
        <v>1</v>
      </c>
      <c r="N1010">
        <v>0</v>
      </c>
      <c r="O1010" t="s">
        <v>255</v>
      </c>
      <c r="P1010" t="s">
        <v>75</v>
      </c>
      <c r="Q1010" t="s">
        <v>42</v>
      </c>
      <c r="R1010" t="s">
        <v>62</v>
      </c>
      <c r="S1010" t="s">
        <v>30</v>
      </c>
      <c r="T1010">
        <v>3</v>
      </c>
      <c r="U1010" s="5">
        <v>637.44000000000005</v>
      </c>
      <c r="V1010" s="5">
        <v>1555.32</v>
      </c>
      <c r="W1010">
        <v>4</v>
      </c>
      <c r="X1010" t="s">
        <v>94</v>
      </c>
      <c r="Z1010" t="str">
        <f>TEXT(Table1[[#This Row],[Order Date]],"MMM")</f>
        <v>Jan</v>
      </c>
      <c r="AA1010" s="5">
        <f>Table1[[#This Row],[Unit Price]]*Table1[[#This Row],[Quantity]]*(1-Table1[[#This Row],[Discount %]]/100)</f>
        <v>637.44000000000005</v>
      </c>
      <c r="AB1010" s="5">
        <f>Table1[[#This Row],[Sales]]-Table1[[#This Row],[Cost]]</f>
        <v>-917.87999999999988</v>
      </c>
    </row>
    <row r="1011" spans="1:28" x14ac:dyDescent="0.3">
      <c r="A1011" t="s">
        <v>2735</v>
      </c>
      <c r="B1011" s="1">
        <v>45933</v>
      </c>
      <c r="C1011" t="s">
        <v>2479</v>
      </c>
      <c r="D1011" t="s">
        <v>3618</v>
      </c>
      <c r="E1011" s="1">
        <v>45939</v>
      </c>
      <c r="F1011" t="s">
        <v>140</v>
      </c>
      <c r="G1011" t="s">
        <v>38</v>
      </c>
      <c r="H1011" t="s">
        <v>139</v>
      </c>
      <c r="I1011" t="s">
        <v>2627</v>
      </c>
      <c r="J1011" t="s">
        <v>2690</v>
      </c>
      <c r="K1011" t="s">
        <v>52</v>
      </c>
      <c r="L1011">
        <v>38</v>
      </c>
      <c r="M1011">
        <v>4</v>
      </c>
      <c r="N1011">
        <v>10</v>
      </c>
      <c r="O1011" t="s">
        <v>2237</v>
      </c>
      <c r="P1011" t="s">
        <v>33</v>
      </c>
      <c r="Q1011" t="s">
        <v>42</v>
      </c>
      <c r="R1011" t="s">
        <v>71</v>
      </c>
      <c r="S1011" t="s">
        <v>123</v>
      </c>
      <c r="T1011">
        <v>1</v>
      </c>
      <c r="U1011" s="5">
        <v>800.88</v>
      </c>
      <c r="V1011" s="5">
        <v>1889.51</v>
      </c>
      <c r="W1011">
        <v>6</v>
      </c>
      <c r="X1011" t="s">
        <v>45</v>
      </c>
      <c r="Z1011" t="str">
        <f>TEXT(Table1[[#This Row],[Order Date]],"MMM")</f>
        <v>Oct</v>
      </c>
      <c r="AA1011" s="5">
        <f>Table1[[#This Row],[Unit Price]]*Table1[[#This Row],[Quantity]]*(1-Table1[[#This Row],[Discount %]]/100)</f>
        <v>2883.1680000000001</v>
      </c>
      <c r="AB1011" s="5">
        <f>Table1[[#This Row],[Sales]]-Table1[[#This Row],[Cost]]</f>
        <v>993.65800000000013</v>
      </c>
    </row>
    <row r="1012" spans="1:28" x14ac:dyDescent="0.3">
      <c r="A1012" t="s">
        <v>2736</v>
      </c>
      <c r="B1012" s="1">
        <v>45856</v>
      </c>
      <c r="C1012" t="s">
        <v>2493</v>
      </c>
      <c r="D1012" t="s">
        <v>3624</v>
      </c>
      <c r="E1012" s="1">
        <v>45863</v>
      </c>
      <c r="F1012" t="s">
        <v>40</v>
      </c>
      <c r="G1012" t="s">
        <v>38</v>
      </c>
      <c r="H1012" t="s">
        <v>39</v>
      </c>
      <c r="I1012" t="s">
        <v>2625</v>
      </c>
      <c r="J1012" t="s">
        <v>2693</v>
      </c>
      <c r="K1012" t="s">
        <v>52</v>
      </c>
      <c r="L1012">
        <v>57</v>
      </c>
      <c r="M1012">
        <v>5</v>
      </c>
      <c r="N1012">
        <v>25</v>
      </c>
      <c r="O1012" t="s">
        <v>2746</v>
      </c>
      <c r="P1012" t="s">
        <v>44</v>
      </c>
      <c r="Q1012" t="s">
        <v>42</v>
      </c>
      <c r="R1012" t="s">
        <v>62</v>
      </c>
      <c r="S1012" t="s">
        <v>69</v>
      </c>
      <c r="T1012">
        <v>1</v>
      </c>
      <c r="U1012" s="5">
        <v>217.31</v>
      </c>
      <c r="V1012" s="5">
        <v>373.2</v>
      </c>
      <c r="W1012">
        <v>1</v>
      </c>
      <c r="X1012" t="s">
        <v>45</v>
      </c>
      <c r="Z1012" t="str">
        <f>TEXT(Table1[[#This Row],[Order Date]],"MMM")</f>
        <v>Jul</v>
      </c>
      <c r="AA1012" s="5">
        <f>Table1[[#This Row],[Unit Price]]*Table1[[#This Row],[Quantity]]*(1-Table1[[#This Row],[Discount %]]/100)</f>
        <v>814.91249999999991</v>
      </c>
      <c r="AB1012" s="5">
        <f>Table1[[#This Row],[Sales]]-Table1[[#This Row],[Cost]]</f>
        <v>441.71249999999992</v>
      </c>
    </row>
    <row r="1013" spans="1:28" x14ac:dyDescent="0.3">
      <c r="A1013" t="s">
        <v>2737</v>
      </c>
      <c r="B1013" s="1">
        <v>45916</v>
      </c>
      <c r="C1013" t="s">
        <v>2496</v>
      </c>
      <c r="D1013" t="s">
        <v>2723</v>
      </c>
      <c r="E1013" s="1">
        <v>45917</v>
      </c>
      <c r="F1013" t="s">
        <v>56</v>
      </c>
      <c r="G1013" t="s">
        <v>54</v>
      </c>
      <c r="H1013" t="s">
        <v>55</v>
      </c>
      <c r="I1013" t="s">
        <v>2657</v>
      </c>
      <c r="J1013" t="s">
        <v>2667</v>
      </c>
      <c r="K1013" t="s">
        <v>25</v>
      </c>
      <c r="L1013">
        <v>51</v>
      </c>
      <c r="M1013">
        <v>1</v>
      </c>
      <c r="N1013">
        <v>15</v>
      </c>
      <c r="O1013" t="s">
        <v>2747</v>
      </c>
      <c r="P1013" t="s">
        <v>75</v>
      </c>
      <c r="Q1013" t="s">
        <v>42</v>
      </c>
      <c r="R1013" t="s">
        <v>62</v>
      </c>
      <c r="S1013" t="s">
        <v>101</v>
      </c>
      <c r="T1013">
        <v>3</v>
      </c>
      <c r="U1013" s="5">
        <v>242.03</v>
      </c>
      <c r="V1013" s="5">
        <v>213.33</v>
      </c>
      <c r="W1013">
        <v>4</v>
      </c>
      <c r="X1013" t="s">
        <v>34</v>
      </c>
      <c r="Z1013" t="str">
        <f>TEXT(Table1[[#This Row],[Order Date]],"MMM")</f>
        <v>Sep</v>
      </c>
      <c r="AA1013" s="5">
        <f>Table1[[#This Row],[Unit Price]]*Table1[[#This Row],[Quantity]]*(1-Table1[[#This Row],[Discount %]]/100)</f>
        <v>205.72549999999998</v>
      </c>
      <c r="AB1013" s="5">
        <f>Table1[[#This Row],[Sales]]-Table1[[#This Row],[Cost]]</f>
        <v>-7.60450000000003</v>
      </c>
    </row>
    <row r="1014" spans="1:28" x14ac:dyDescent="0.3">
      <c r="A1014" t="s">
        <v>2738</v>
      </c>
      <c r="B1014" s="1">
        <v>45794</v>
      </c>
      <c r="C1014" t="s">
        <v>2499</v>
      </c>
      <c r="D1014" t="s">
        <v>3625</v>
      </c>
      <c r="E1014" s="1">
        <v>45801</v>
      </c>
      <c r="F1014" t="s">
        <v>122</v>
      </c>
      <c r="G1014" t="s">
        <v>120</v>
      </c>
      <c r="H1014" t="s">
        <v>121</v>
      </c>
      <c r="I1014" t="s">
        <v>2633</v>
      </c>
      <c r="J1014" t="s">
        <v>99</v>
      </c>
      <c r="K1014" t="s">
        <v>25</v>
      </c>
      <c r="L1014">
        <v>34</v>
      </c>
      <c r="M1014">
        <v>3</v>
      </c>
      <c r="N1014">
        <v>30</v>
      </c>
      <c r="O1014" t="s">
        <v>2748</v>
      </c>
      <c r="P1014" t="s">
        <v>44</v>
      </c>
      <c r="Q1014" t="s">
        <v>42</v>
      </c>
      <c r="R1014" t="s">
        <v>71</v>
      </c>
      <c r="S1014" t="s">
        <v>57</v>
      </c>
      <c r="T1014">
        <v>3</v>
      </c>
      <c r="U1014" s="5">
        <v>335.53</v>
      </c>
      <c r="V1014" s="5">
        <v>1155.73</v>
      </c>
      <c r="W1014">
        <v>6</v>
      </c>
      <c r="X1014" t="s">
        <v>94</v>
      </c>
      <c r="Z1014" t="str">
        <f>TEXT(Table1[[#This Row],[Order Date]],"MMM")</f>
        <v>May</v>
      </c>
      <c r="AA1014" s="5">
        <f>Table1[[#This Row],[Unit Price]]*Table1[[#This Row],[Quantity]]*(1-Table1[[#This Row],[Discount %]]/100)</f>
        <v>704.61299999999994</v>
      </c>
      <c r="AB1014" s="5">
        <f>Table1[[#This Row],[Sales]]-Table1[[#This Row],[Cost]]</f>
        <v>-451.11700000000008</v>
      </c>
    </row>
    <row r="1015" spans="1:28" x14ac:dyDescent="0.3">
      <c r="A1015" t="s">
        <v>2739</v>
      </c>
      <c r="B1015" s="1">
        <v>45889</v>
      </c>
      <c r="C1015" t="s">
        <v>2501</v>
      </c>
      <c r="D1015" t="s">
        <v>2722</v>
      </c>
      <c r="E1015" s="1">
        <v>45896</v>
      </c>
      <c r="F1015" t="s">
        <v>100</v>
      </c>
      <c r="G1015" t="s">
        <v>98</v>
      </c>
      <c r="H1015" t="s">
        <v>99</v>
      </c>
      <c r="I1015" t="s">
        <v>2664</v>
      </c>
      <c r="J1015" t="s">
        <v>2665</v>
      </c>
      <c r="K1015" t="s">
        <v>25</v>
      </c>
      <c r="L1015">
        <v>49</v>
      </c>
      <c r="M1015">
        <v>5</v>
      </c>
      <c r="N1015">
        <v>32.5</v>
      </c>
      <c r="O1015" t="s">
        <v>1029</v>
      </c>
      <c r="P1015" t="s">
        <v>75</v>
      </c>
      <c r="Q1015" t="s">
        <v>42</v>
      </c>
      <c r="R1015" t="s">
        <v>62</v>
      </c>
      <c r="S1015" t="s">
        <v>30</v>
      </c>
      <c r="T1015">
        <v>3</v>
      </c>
      <c r="U1015" s="5">
        <v>713.22</v>
      </c>
      <c r="V1015" s="5">
        <v>1970.88</v>
      </c>
      <c r="W1015">
        <v>7</v>
      </c>
      <c r="X1015" t="s">
        <v>34</v>
      </c>
      <c r="Z1015" t="str">
        <f>TEXT(Table1[[#This Row],[Order Date]],"MMM")</f>
        <v>Aug</v>
      </c>
      <c r="AA1015" s="5">
        <f>Table1[[#This Row],[Unit Price]]*Table1[[#This Row],[Quantity]]*(1-Table1[[#This Row],[Discount %]]/100)</f>
        <v>2407.1175000000003</v>
      </c>
      <c r="AB1015" s="5">
        <f>Table1[[#This Row],[Sales]]-Table1[[#This Row],[Cost]]</f>
        <v>436.23750000000018</v>
      </c>
    </row>
    <row r="1016" spans="1:28" x14ac:dyDescent="0.3">
      <c r="A1016" t="s">
        <v>2740</v>
      </c>
      <c r="B1016" s="1">
        <v>45595</v>
      </c>
      <c r="C1016" t="s">
        <v>2504</v>
      </c>
      <c r="D1016" t="s">
        <v>3626</v>
      </c>
      <c r="E1016" s="1">
        <v>45597</v>
      </c>
      <c r="F1016" t="s">
        <v>115</v>
      </c>
      <c r="G1016" t="s">
        <v>66</v>
      </c>
      <c r="H1016" t="s">
        <v>114</v>
      </c>
      <c r="I1016" t="s">
        <v>2661</v>
      </c>
      <c r="J1016" t="s">
        <v>2662</v>
      </c>
      <c r="K1016" t="s">
        <v>25</v>
      </c>
      <c r="L1016">
        <v>38</v>
      </c>
      <c r="M1016">
        <v>4</v>
      </c>
      <c r="N1016">
        <v>37.5</v>
      </c>
      <c r="O1016" t="s">
        <v>264</v>
      </c>
      <c r="P1016" t="s">
        <v>33</v>
      </c>
      <c r="Q1016" t="s">
        <v>42</v>
      </c>
      <c r="R1016" t="s">
        <v>32</v>
      </c>
      <c r="S1016" t="s">
        <v>30</v>
      </c>
      <c r="T1016">
        <v>3</v>
      </c>
      <c r="U1016" s="5">
        <v>146.41999999999999</v>
      </c>
      <c r="V1016" s="5">
        <v>357.52</v>
      </c>
      <c r="W1016">
        <v>6</v>
      </c>
      <c r="X1016" t="s">
        <v>45</v>
      </c>
      <c r="Z1016" t="str">
        <f>TEXT(Table1[[#This Row],[Order Date]],"MMM")</f>
        <v>Oct</v>
      </c>
      <c r="AA1016" s="5">
        <f>Table1[[#This Row],[Unit Price]]*Table1[[#This Row],[Quantity]]*(1-Table1[[#This Row],[Discount %]]/100)</f>
        <v>366.04999999999995</v>
      </c>
      <c r="AB1016" s="5">
        <f>Table1[[#This Row],[Sales]]-Table1[[#This Row],[Cost]]</f>
        <v>8.5299999999999727</v>
      </c>
    </row>
    <row r="1017" spans="1:28" x14ac:dyDescent="0.3">
      <c r="A1017" t="s">
        <v>2741</v>
      </c>
      <c r="B1017" s="1">
        <v>45871</v>
      </c>
      <c r="C1017" t="s">
        <v>2506</v>
      </c>
      <c r="D1017" t="s">
        <v>3627</v>
      </c>
      <c r="E1017" s="1">
        <v>45873</v>
      </c>
      <c r="F1017" t="s">
        <v>29</v>
      </c>
      <c r="G1017" t="s">
        <v>27</v>
      </c>
      <c r="H1017" t="s">
        <v>28</v>
      </c>
      <c r="I1017" t="s">
        <v>2619</v>
      </c>
      <c r="J1017" t="s">
        <v>2620</v>
      </c>
      <c r="K1017" t="s">
        <v>25</v>
      </c>
      <c r="L1017">
        <v>43</v>
      </c>
      <c r="M1017">
        <v>4.2</v>
      </c>
      <c r="N1017">
        <v>42.5</v>
      </c>
      <c r="O1017" t="s">
        <v>2592</v>
      </c>
      <c r="P1017" t="s">
        <v>75</v>
      </c>
      <c r="Q1017" t="s">
        <v>42</v>
      </c>
      <c r="R1017" t="s">
        <v>71</v>
      </c>
      <c r="S1017" t="s">
        <v>30</v>
      </c>
      <c r="T1017">
        <v>1</v>
      </c>
      <c r="U1017" s="5">
        <v>215.84</v>
      </c>
      <c r="V1017" s="5">
        <v>513.41</v>
      </c>
      <c r="W1017">
        <v>2</v>
      </c>
      <c r="X1017" t="s">
        <v>94</v>
      </c>
      <c r="Z1017" t="str">
        <f>TEXT(Table1[[#This Row],[Order Date]],"MMM")</f>
        <v>Aug</v>
      </c>
      <c r="AA1017" s="5">
        <f>Table1[[#This Row],[Unit Price]]*Table1[[#This Row],[Quantity]]*(1-Table1[[#This Row],[Discount %]]/100)</f>
        <v>521.25360000000001</v>
      </c>
      <c r="AB1017" s="5">
        <f>Table1[[#This Row],[Sales]]-Table1[[#This Row],[Cost]]</f>
        <v>7.8436000000000377</v>
      </c>
    </row>
    <row r="1018" spans="1:28" x14ac:dyDescent="0.3">
      <c r="A1018" t="s">
        <v>2742</v>
      </c>
      <c r="B1018" s="1">
        <v>45764</v>
      </c>
      <c r="C1018" t="s">
        <v>2509</v>
      </c>
      <c r="D1018" t="s">
        <v>3628</v>
      </c>
      <c r="E1018" s="1">
        <v>45770</v>
      </c>
      <c r="F1018" t="s">
        <v>29</v>
      </c>
      <c r="G1018" t="s">
        <v>27</v>
      </c>
      <c r="H1018" t="s">
        <v>28</v>
      </c>
      <c r="I1018" t="s">
        <v>2627</v>
      </c>
      <c r="J1018" t="s">
        <v>2707</v>
      </c>
      <c r="K1018" t="s">
        <v>52</v>
      </c>
      <c r="L1018">
        <v>37</v>
      </c>
      <c r="M1018">
        <v>4.4000000000000004</v>
      </c>
      <c r="N1018">
        <v>47.5</v>
      </c>
      <c r="O1018" t="s">
        <v>862</v>
      </c>
      <c r="P1018" t="s">
        <v>44</v>
      </c>
      <c r="Q1018" t="s">
        <v>42</v>
      </c>
      <c r="R1018" t="s">
        <v>71</v>
      </c>
      <c r="S1018" t="s">
        <v>123</v>
      </c>
      <c r="T1018">
        <v>1</v>
      </c>
      <c r="U1018" s="5">
        <v>516.5</v>
      </c>
      <c r="V1018" s="5">
        <v>1313.65</v>
      </c>
      <c r="W1018">
        <v>4</v>
      </c>
      <c r="X1018" t="s">
        <v>45</v>
      </c>
      <c r="Z1018" t="str">
        <f>TEXT(Table1[[#This Row],[Order Date]],"MMM")</f>
        <v>Apr</v>
      </c>
      <c r="AA1018" s="5">
        <f>Table1[[#This Row],[Unit Price]]*Table1[[#This Row],[Quantity]]*(1-Table1[[#This Row],[Discount %]]/100)</f>
        <v>1193.1150000000002</v>
      </c>
      <c r="AB1018" s="5">
        <f>Table1[[#This Row],[Sales]]-Table1[[#This Row],[Cost]]</f>
        <v>-120.53499999999985</v>
      </c>
    </row>
    <row r="1019" spans="1:28" x14ac:dyDescent="0.3">
      <c r="A1019" t="s">
        <v>2743</v>
      </c>
      <c r="B1019" s="1">
        <v>45865</v>
      </c>
      <c r="C1019" t="s">
        <v>2511</v>
      </c>
      <c r="D1019" t="s">
        <v>3629</v>
      </c>
      <c r="E1019" s="1">
        <v>45871</v>
      </c>
      <c r="F1019" t="s">
        <v>100</v>
      </c>
      <c r="G1019" t="s">
        <v>98</v>
      </c>
      <c r="H1019" t="s">
        <v>99</v>
      </c>
      <c r="I1019" t="s">
        <v>2661</v>
      </c>
      <c r="J1019" t="s">
        <v>2715</v>
      </c>
      <c r="K1019" t="s">
        <v>25</v>
      </c>
      <c r="L1019">
        <v>37</v>
      </c>
      <c r="M1019">
        <v>4.5999999999999996</v>
      </c>
      <c r="N1019">
        <v>52.5</v>
      </c>
      <c r="O1019" t="s">
        <v>2351</v>
      </c>
      <c r="P1019" t="s">
        <v>75</v>
      </c>
      <c r="Q1019" t="s">
        <v>42</v>
      </c>
      <c r="R1019" t="s">
        <v>43</v>
      </c>
      <c r="S1019" t="s">
        <v>69</v>
      </c>
      <c r="T1019">
        <v>2</v>
      </c>
      <c r="U1019" s="5">
        <v>790.89</v>
      </c>
      <c r="V1019" s="5">
        <v>1990.33</v>
      </c>
      <c r="W1019">
        <v>4</v>
      </c>
      <c r="X1019" t="s">
        <v>45</v>
      </c>
      <c r="Z1019" t="str">
        <f>TEXT(Table1[[#This Row],[Order Date]],"MMM")</f>
        <v>Jul</v>
      </c>
      <c r="AA1019" s="5">
        <f>Table1[[#This Row],[Unit Price]]*Table1[[#This Row],[Quantity]]*(1-Table1[[#This Row],[Discount %]]/100)</f>
        <v>1728.0946499999998</v>
      </c>
      <c r="AB1019" s="5">
        <f>Table1[[#This Row],[Sales]]-Table1[[#This Row],[Cost]]</f>
        <v>-262.23535000000015</v>
      </c>
    </row>
  </sheetData>
  <phoneticPr fontId="2" type="noConversion"/>
  <pageMargins left="0.75" right="0.75" top="1" bottom="1" header="0.5" footer="0.5"/>
  <pageSetup paperSize="9" orientation="portrait" horizontalDpi="4294967293" verticalDpi="4294967293"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DA4E4A-0D46-439F-A192-548DCD900F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EcommerceData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fatima tech</cp:lastModifiedBy>
  <dcterms:created xsi:type="dcterms:W3CDTF">2026-07-25T07:10:08Z</dcterms:created>
  <dcterms:modified xsi:type="dcterms:W3CDTF">2026-10-16T19:07:42Z</dcterms:modified>
</cp:coreProperties>
</file>